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20" windowWidth="19220" windowHeight="19880" tabRatio="600" firstSheet="0" activeTab="3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Work Item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Planned vs Actual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Change Requests" sheetId="6" state="visible" r:id="rId6"/>
    <sheet xmlns:r="http://schemas.openxmlformats.org/officeDocument/2006/relationships" name="Financial Tracker" sheetId="7" state="visible" r:id="rId7"/>
    <sheet xmlns:r="http://schemas.openxmlformats.org/officeDocument/2006/relationships" name="Projects Master" sheetId="8" state="visible" r:id="rId8"/>
    <sheet xmlns:r="http://schemas.openxmlformats.org/officeDocument/2006/relationships" name="CONFIG" sheetId="9" state="visible" r:id="rId9"/>
    <sheet xmlns:r="http://schemas.openxmlformats.org/officeDocument/2006/relationships" name="LookUp Master" sheetId="10" state="visible" r:id="rId10"/>
    <sheet xmlns:r="http://schemas.openxmlformats.org/officeDocument/2006/relationships" name="Drill-Down" sheetId="11" state="visible" r:id="rId11"/>
    <sheet xmlns:r="http://schemas.openxmlformats.org/officeDocument/2006/relationships" name="Billing Milestones" sheetId="12" state="visible" r:id="rId12"/>
    <sheet xmlns:r="http://schemas.openxmlformats.org/officeDocument/2006/relationships" name="Resource Cost" sheetId="13" state="visible" r:id="rId13"/>
  </sheets>
  <definedNames>
    <definedName name="Act_Bug">'LookUp Master'!#REF!</definedName>
    <definedName name="Act_CR">'LookUp Master'!#REF!</definedName>
    <definedName name="Act_Risk">'LookUp Master'!#REF!</definedName>
    <definedName name="Act_Task">'LookUp Master'!#REF!</definedName>
    <definedName name="ResourceList">Resources!$A$7:$A$1000</definedName>
    <definedName name="Sub_Bug">'LookUp Master'!#REF!</definedName>
    <definedName name="Sub_CR">'LookUp Master'!#REF!</definedName>
    <definedName name="Sub_Risk">'LookUp Master'!#REF!</definedName>
    <definedName name="Sub_Task">'LookUp Master'!#REF!</definedName>
    <definedName name="_xlnm._FilterDatabase" localSheetId="1" hidden="1">'Work Items'!$A$5:$Q$64</definedName>
    <definedName name="_xlnm._FilterDatabase" localSheetId="3" hidden="1">'Planned vs Actual'!$A$4:$H$33</definedName>
    <definedName name="_xlnm._FilterDatabase" localSheetId="4" hidden="1">'Risk Register'!$A$4:$M$12</definedName>
    <definedName name="_xlnm._FilterDatabase" localSheetId="5" hidden="1">'Change Requests'!$A$4:$M$9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dd\-mmm\-yy"/>
    <numFmt numFmtId="165" formatCode="#,##0;[Red]\-#,##0"/>
    <numFmt numFmtId="166" formatCode="#,##0;[Red]\-#,##0;0"/>
    <numFmt numFmtId="167" formatCode="0.0%;[Red]\-0.0%"/>
    <numFmt numFmtId="168" formatCode="&quot;$&quot;#,##0"/>
    <numFmt numFmtId="169" formatCode="&quot;$&quot;#,##0;[Red]&quot;$&quot;\-#,##0"/>
    <numFmt numFmtId="170" formatCode="0.0"/>
    <numFmt numFmtId="171" formatCode="&quot;$&quot;#,##0.00"/>
    <numFmt numFmtId="172" formatCode="0.0%"/>
    <numFmt numFmtId="173" formatCode="#,##0.0"/>
    <numFmt numFmtId="174" formatCode="yyyy-mm-dd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i val="1"/>
      <color rgb="FFFFFFFF"/>
      <sz val="10"/>
    </font>
    <font>
      <name val="Calibri"/>
      <family val="2"/>
      <b val="1"/>
      <color rgb="FF2F5496"/>
      <sz val="9"/>
    </font>
    <font>
      <name val="Calibri"/>
      <family val="2"/>
      <b val="1"/>
      <color rgb="FF375623"/>
      <sz val="9"/>
    </font>
    <font>
      <name val="Calibri"/>
      <family val="2"/>
      <b val="1"/>
      <color rgb="FF7F600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2F5496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C55A11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1F3864"/>
      <sz val="10"/>
    </font>
    <font>
      <name val="Calibri"/>
      <family val="2"/>
      <b val="1"/>
      <color rgb="FF595959"/>
      <sz val="9"/>
    </font>
    <font>
      <name val="Calibri"/>
      <family val="2"/>
      <b val="1"/>
      <color rgb="FF9C0006"/>
      <sz val="10"/>
    </font>
    <font>
      <name val="Calibri"/>
      <family val="2"/>
      <b val="1"/>
      <color rgb="FF7F6000"/>
      <sz val="10"/>
    </font>
    <font>
      <name val="Calibri"/>
      <family val="2"/>
      <b val="1"/>
      <color rgb="FF375623"/>
      <sz val="10"/>
    </font>
    <font>
      <name val="Calibri"/>
      <family val="2"/>
      <i val="1"/>
      <color rgb="FFFFFFFF"/>
      <sz val="9"/>
    </font>
    <font>
      <name val="Calibri"/>
      <family val="2"/>
      <i val="1"/>
      <color rgb="FFC55A11"/>
      <sz val="9"/>
    </font>
    <font>
      <name val="Calibri"/>
      <family val="2"/>
      <i val="1"/>
      <color rgb="FF2F5496"/>
      <sz val="9"/>
    </font>
    <font>
      <name val="Calibri"/>
      <family val="2"/>
      <b val="1"/>
      <color rgb="FF595959"/>
      <sz val="10"/>
    </font>
    <font>
      <name val="Calibri"/>
      <family val="2"/>
      <i val="1"/>
      <color rgb="FF000000"/>
      <sz val="10"/>
    </font>
    <font>
      <name val="Calibri"/>
      <family val="2"/>
      <color theme="10"/>
      <sz val="11"/>
      <u val="single"/>
      <scheme val="minor"/>
    </font>
    <font>
      <name val="Aptos Display"/>
      <color rgb="FF000000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8000"/>
      <sz val="10"/>
    </font>
    <font>
      <name val="Calibri"/>
      <family val="2"/>
      <color rgb="FF008000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595959"/>
      <sz val="11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1F3864"/>
      <sz val="12"/>
      <scheme val="minor"/>
    </font>
    <font>
      <name val="Aptos"/>
      <b val="1"/>
      <color rgb="FFFFFFFF"/>
      <sz val="14"/>
    </font>
    <font>
      <name val="Aptos"/>
      <color theme="1"/>
      <sz val="11"/>
    </font>
    <font>
      <name val="Aptos"/>
      <i val="1"/>
      <color rgb="FF595959"/>
      <sz val="9"/>
    </font>
    <font>
      <name val="Aptos"/>
      <b val="1"/>
      <color rgb="FFFFFFFF"/>
      <sz val="12"/>
    </font>
    <font>
      <name val="Aptos"/>
      <b val="1"/>
      <color rgb="FFFFFFFF"/>
      <sz val="10"/>
    </font>
    <font>
      <name val="Aptos"/>
      <b val="1"/>
      <color rgb="FFC65911"/>
      <sz val="10"/>
    </font>
    <font>
      <name val="Aptos"/>
      <color rgb="FF000000"/>
      <sz val="10"/>
    </font>
    <font>
      <name val="Aptos"/>
      <b val="1"/>
      <color theme="1"/>
      <sz val="11"/>
    </font>
    <font>
      <name val="Aptos"/>
      <b val="1"/>
      <color rgb="FF000000"/>
      <sz val="10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7391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C55A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1F4E79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4B5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5" fillId="0" borderId="0"/>
  </cellStyleXfs>
  <cellXfs count="236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3" fontId="9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3" fontId="11" fillId="2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0" fontId="16" fillId="5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3" fontId="8" fillId="10" borderId="2" applyAlignment="1" pivotButton="0" quotePrefix="0" xfId="0">
      <alignment horizontal="center" vertical="center"/>
    </xf>
    <xf numFmtId="3" fontId="9" fillId="10" borderId="2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3" fontId="11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/>
    </xf>
    <xf numFmtId="1" fontId="9" fillId="7" borderId="2" applyAlignment="1" pivotButton="0" quotePrefix="0" xfId="0">
      <alignment horizontal="center" vertical="center"/>
    </xf>
    <xf numFmtId="1" fontId="9" fillId="11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3" fontId="11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168" fontId="8" fillId="0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center" vertical="center"/>
    </xf>
    <xf numFmtId="169" fontId="9" fillId="0" borderId="2" applyAlignment="1" pivotButton="0" quotePrefix="0" xfId="0">
      <alignment horizontal="right" vertical="center"/>
    </xf>
    <xf numFmtId="168" fontId="8" fillId="10" borderId="2" applyAlignment="1" pivotButton="0" quotePrefix="0" xfId="0">
      <alignment horizontal="right" vertical="center"/>
    </xf>
    <xf numFmtId="168" fontId="8" fillId="10" borderId="2" applyAlignment="1" pivotButton="0" quotePrefix="0" xfId="0">
      <alignment horizontal="center" vertical="center"/>
    </xf>
    <xf numFmtId="168" fontId="9" fillId="11" borderId="2" applyAlignment="1" pivotButton="0" quotePrefix="0" xfId="0">
      <alignment horizontal="right" vertical="center"/>
    </xf>
    <xf numFmtId="168" fontId="11" fillId="2" borderId="0" applyAlignment="1" pivotButton="0" quotePrefix="0" xfId="0">
      <alignment horizontal="right" vertical="center"/>
    </xf>
    <xf numFmtId="3" fontId="11" fillId="2" borderId="0" applyAlignment="1" pivotButton="0" quotePrefix="0" xfId="0">
      <alignment horizontal="right" vertical="center"/>
    </xf>
    <xf numFmtId="169" fontId="11" fillId="2" borderId="0" applyAlignment="1" pivotButton="0" quotePrefix="0" xfId="0">
      <alignment horizontal="right" vertical="center"/>
    </xf>
    <xf numFmtId="0" fontId="23" fillId="10" borderId="0" applyAlignment="1" pivotButton="0" quotePrefix="0" xfId="0">
      <alignment horizontal="right" vertical="center"/>
    </xf>
    <xf numFmtId="3" fontId="15" fillId="5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8" fontId="9" fillId="5" borderId="2" applyAlignment="1" pivotButton="0" quotePrefix="0" xfId="0">
      <alignment horizontal="center" vertical="center"/>
    </xf>
    <xf numFmtId="168" fontId="8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14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0" fillId="9" borderId="0" pivotButton="0" quotePrefix="0" xfId="0"/>
    <xf numFmtId="0" fontId="1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5" fillId="5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" fillId="1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1" fillId="3" borderId="0" applyAlignment="1" pivotButton="0" quotePrefix="0" xfId="0">
      <alignment horizontal="left" vertical="center"/>
    </xf>
    <xf numFmtId="0" fontId="11" fillId="14" borderId="6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26" fillId="0" borderId="0" pivotButton="0" quotePrefix="0" xfId="0"/>
    <xf numFmtId="0" fontId="28" fillId="23" borderId="0" applyAlignment="1" pivotButton="0" quotePrefix="0" xfId="0">
      <alignment horizontal="left"/>
    </xf>
    <xf numFmtId="0" fontId="27" fillId="24" borderId="0" pivotButton="0" quotePrefix="0" xfId="0"/>
    <xf numFmtId="0" fontId="27" fillId="24" borderId="0" applyAlignment="1" pivotButton="0" quotePrefix="0" xfId="0">
      <alignment horizontal="left"/>
    </xf>
    <xf numFmtId="0" fontId="30" fillId="25" borderId="0" applyAlignment="1" pivotButton="0" quotePrefix="0" xfId="0">
      <alignment horizontal="center"/>
    </xf>
    <xf numFmtId="164" fontId="0" fillId="0" borderId="0" pivotButton="0" quotePrefix="0" xfId="0"/>
    <xf numFmtId="0" fontId="25" fillId="0" borderId="2" applyAlignment="1" pivotButton="0" quotePrefix="1" xfId="1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1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8" fillId="10" borderId="15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11" fillId="24" borderId="4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/>
    </xf>
    <xf numFmtId="0" fontId="15" fillId="26" borderId="0" applyAlignment="1" pivotButton="0" quotePrefix="0" xfId="0">
      <alignment horizontal="center" vertical="center"/>
    </xf>
    <xf numFmtId="0" fontId="16" fillId="25" borderId="0" applyAlignment="1" pivotButton="0" quotePrefix="0" xfId="0">
      <alignment horizontal="right" vertical="center"/>
    </xf>
    <xf numFmtId="0" fontId="29" fillId="0" borderId="0" pivotButton="0" quotePrefix="0" xfId="0"/>
    <xf numFmtId="0" fontId="11" fillId="23" borderId="4" applyAlignment="1" pivotButton="0" quotePrefix="0" xfId="0">
      <alignment horizontal="center" vertical="center" wrapText="1"/>
    </xf>
    <xf numFmtId="0" fontId="31" fillId="0" borderId="0" pivotButton="0" quotePrefix="0" xfId="0"/>
    <xf numFmtId="168" fontId="31" fillId="0" borderId="0" applyAlignment="1" pivotButton="0" quotePrefix="0" xfId="0">
      <alignment horizontal="center"/>
    </xf>
    <xf numFmtId="168" fontId="31" fillId="0" borderId="0" applyAlignment="1" pivotButton="0" quotePrefix="0" xfId="0">
      <alignment horizontal="center"/>
    </xf>
    <xf numFmtId="168" fontId="32" fillId="0" borderId="2" applyAlignment="1" pivotButton="0" quotePrefix="0" xfId="0">
      <alignment horizontal="center" vertical="center"/>
    </xf>
    <xf numFmtId="168" fontId="32" fillId="10" borderId="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/>
    </xf>
    <xf numFmtId="3" fontId="0" fillId="0" borderId="0" pivotButton="0" quotePrefix="0" xfId="0"/>
    <xf numFmtId="0" fontId="34" fillId="23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27" fillId="23" borderId="0" applyAlignment="1" pivotButton="0" quotePrefix="0" xfId="0">
      <alignment horizontal="center"/>
    </xf>
    <xf numFmtId="168" fontId="0" fillId="0" borderId="0" pivotButton="0" quotePrefix="0" xfId="0"/>
    <xf numFmtId="0" fontId="0" fillId="0" borderId="16" pivotButton="0" quotePrefix="0" xfId="0"/>
    <xf numFmtId="168" fontId="0" fillId="0" borderId="16" pivotButton="0" quotePrefix="0" xfId="0"/>
    <xf numFmtId="0" fontId="0" fillId="0" borderId="17" pivotButton="0" quotePrefix="0" xfId="0"/>
    <xf numFmtId="168" fontId="0" fillId="0" borderId="17" pivotButton="0" quotePrefix="0" xfId="0"/>
    <xf numFmtId="0" fontId="0" fillId="0" borderId="18" pivotButton="0" quotePrefix="0" xfId="0"/>
    <xf numFmtId="168" fontId="0" fillId="0" borderId="18" pivotButton="0" quotePrefix="0" xfId="0"/>
    <xf numFmtId="9" fontId="0" fillId="0" borderId="0" applyAlignment="1" pivotButton="0" quotePrefix="0" xfId="0">
      <alignment horizontal="center"/>
    </xf>
    <xf numFmtId="0" fontId="37" fillId="25" borderId="0" pivotButton="0" quotePrefix="0" xfId="0"/>
    <xf numFmtId="0" fontId="29" fillId="26" borderId="0" applyAlignment="1" pivotButton="0" quotePrefix="0" xfId="0">
      <alignment horizontal="center"/>
    </xf>
    <xf numFmtId="170" fontId="31" fillId="0" borderId="0" pivotButton="0" quotePrefix="0" xfId="0"/>
    <xf numFmtId="1" fontId="0" fillId="0" borderId="0" pivotButton="0" quotePrefix="0" xfId="0"/>
    <xf numFmtId="0" fontId="29" fillId="0" borderId="0" applyAlignment="1" pivotButton="0" quotePrefix="0" xfId="0">
      <alignment horizontal="right"/>
    </xf>
    <xf numFmtId="168" fontId="29" fillId="0" borderId="0" pivotButton="0" quotePrefix="0" xfId="0"/>
    <xf numFmtId="170" fontId="29" fillId="0" borderId="0" pivotButton="0" quotePrefix="0" xfId="0"/>
    <xf numFmtId="168" fontId="29" fillId="27" borderId="0" pivotButton="0" quotePrefix="0" xfId="0"/>
    <xf numFmtId="0" fontId="38" fillId="0" borderId="0" pivotButton="0" quotePrefix="0" xfId="0"/>
    <xf numFmtId="0" fontId="37" fillId="0" borderId="0" pivotButton="0" quotePrefix="0" xfId="0"/>
    <xf numFmtId="3" fontId="31" fillId="0" borderId="0" pivotButton="0" quotePrefix="0" xfId="0"/>
    <xf numFmtId="171" fontId="0" fillId="0" borderId="0" pivotButton="0" quotePrefix="0" xfId="0"/>
    <xf numFmtId="0" fontId="29" fillId="25" borderId="16" pivotButton="0" quotePrefix="0" xfId="0"/>
    <xf numFmtId="0" fontId="39" fillId="25" borderId="0" pivotButton="0" quotePrefix="0" xfId="0"/>
    <xf numFmtId="0" fontId="40" fillId="0" borderId="0" pivotButton="0" quotePrefix="0" xfId="0"/>
    <xf numFmtId="0" fontId="27" fillId="23" borderId="10" applyAlignment="1" pivotButton="0" quotePrefix="0" xfId="0">
      <alignment horizontal="center" wrapText="1"/>
    </xf>
    <xf numFmtId="0" fontId="27" fillId="23" borderId="9" applyAlignment="1" pivotButton="0" quotePrefix="0" xfId="0">
      <alignment horizontal="center" wrapText="1"/>
    </xf>
    <xf numFmtId="0" fontId="27" fillId="23" borderId="19" applyAlignment="1" pivotButton="0" quotePrefix="0" xfId="0">
      <alignment horizontal="center" wrapText="1"/>
    </xf>
    <xf numFmtId="0" fontId="0" fillId="0" borderId="8" pivotButton="0" quotePrefix="0" xfId="0"/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168" fontId="0" fillId="0" borderId="7" pivotButton="0" quotePrefix="0" xfId="0"/>
    <xf numFmtId="3" fontId="0" fillId="0" borderId="7" pivotButton="0" quotePrefix="0" xfId="0"/>
    <xf numFmtId="172" fontId="0" fillId="0" borderId="20" pivotButton="0" quotePrefix="0" xfId="0"/>
    <xf numFmtId="0" fontId="0" fillId="0" borderId="21" pivotButton="0" quotePrefix="0" xfId="0"/>
    <xf numFmtId="0" fontId="0" fillId="0" borderId="13" applyAlignment="1" pivotButton="0" quotePrefix="0" xfId="0">
      <alignment horizontal="center"/>
    </xf>
    <xf numFmtId="0" fontId="0" fillId="0" borderId="13" pivotButton="0" quotePrefix="0" xfId="0"/>
    <xf numFmtId="168" fontId="0" fillId="0" borderId="13" pivotButton="0" quotePrefix="0" xfId="0"/>
    <xf numFmtId="3" fontId="0" fillId="0" borderId="13" pivotButton="0" quotePrefix="0" xfId="0"/>
    <xf numFmtId="172" fontId="0" fillId="0" borderId="22" pivotButton="0" quotePrefix="0" xfId="0"/>
    <xf numFmtId="0" fontId="41" fillId="0" borderId="0" pivotButton="0" quotePrefix="0" xfId="0"/>
    <xf numFmtId="171" fontId="0" fillId="0" borderId="7" pivotButton="0" quotePrefix="0" xfId="0"/>
    <xf numFmtId="171" fontId="0" fillId="0" borderId="13" pivotButton="0" quotePrefix="0" xfId="0"/>
    <xf numFmtId="0" fontId="42" fillId="12" borderId="0" applyAlignment="1" pivotButton="0" quotePrefix="0" xfId="0">
      <alignment horizontal="left" vertical="center"/>
    </xf>
    <xf numFmtId="0" fontId="43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/>
    </xf>
    <xf numFmtId="0" fontId="43" fillId="6" borderId="0" pivotButton="0" quotePrefix="0" xfId="0"/>
    <xf numFmtId="0" fontId="45" fillId="23" borderId="0" pivotButton="0" quotePrefix="0" xfId="0"/>
    <xf numFmtId="0" fontId="46" fillId="16" borderId="7" applyAlignment="1" pivotButton="0" quotePrefix="0" xfId="0">
      <alignment horizontal="center"/>
    </xf>
    <xf numFmtId="0" fontId="46" fillId="16" borderId="8" applyAlignment="1" pivotButton="0" quotePrefix="0" xfId="0">
      <alignment horizontal="center"/>
    </xf>
    <xf numFmtId="0" fontId="46" fillId="16" borderId="0" applyAlignment="1" pivotButton="0" quotePrefix="0" xfId="0">
      <alignment horizontal="center"/>
    </xf>
    <xf numFmtId="0" fontId="46" fillId="23" borderId="0" applyAlignment="1" pivotButton="0" quotePrefix="0" xfId="0">
      <alignment horizontal="center"/>
    </xf>
    <xf numFmtId="0" fontId="46" fillId="23" borderId="0" applyAlignment="1" pivotButton="0" quotePrefix="0" xfId="0">
      <alignment horizontal="left"/>
    </xf>
    <xf numFmtId="0" fontId="46" fillId="17" borderId="9" pivotButton="0" quotePrefix="0" xfId="0"/>
    <xf numFmtId="0" fontId="46" fillId="17" borderId="10" applyAlignment="1" pivotButton="0" quotePrefix="0" xfId="0">
      <alignment horizontal="center"/>
    </xf>
    <xf numFmtId="0" fontId="46" fillId="17" borderId="10" pivotButton="0" quotePrefix="0" xfId="0"/>
    <xf numFmtId="173" fontId="46" fillId="17" borderId="10" applyAlignment="1" pivotButton="0" quotePrefix="0" xfId="0">
      <alignment horizontal="center"/>
    </xf>
    <xf numFmtId="172" fontId="47" fillId="18" borderId="7" applyAlignment="1" pivotButton="0" quotePrefix="0" xfId="0">
      <alignment horizontal="center"/>
    </xf>
    <xf numFmtId="3" fontId="48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9" fillId="0" borderId="0" pivotButton="0" quotePrefix="0" xfId="0"/>
    <xf numFmtId="164" fontId="43" fillId="0" borderId="0" applyAlignment="1" pivotButton="0" quotePrefix="0" xfId="0">
      <alignment horizontal="center"/>
    </xf>
    <xf numFmtId="0" fontId="46" fillId="19" borderId="9" pivotButton="0" quotePrefix="0" xfId="0"/>
    <xf numFmtId="0" fontId="46" fillId="19" borderId="10" applyAlignment="1" pivotButton="0" quotePrefix="0" xfId="0">
      <alignment horizontal="center"/>
    </xf>
    <xf numFmtId="0" fontId="46" fillId="19" borderId="10" pivotButton="0" quotePrefix="0" xfId="0"/>
    <xf numFmtId="0" fontId="50" fillId="20" borderId="9" pivotButton="0" quotePrefix="0" xfId="0"/>
    <xf numFmtId="0" fontId="50" fillId="20" borderId="10" applyAlignment="1" pivotButton="0" quotePrefix="0" xfId="0">
      <alignment horizontal="center"/>
    </xf>
    <xf numFmtId="0" fontId="50" fillId="20" borderId="10" pivotButton="0" quotePrefix="0" xfId="0"/>
    <xf numFmtId="0" fontId="50" fillId="19" borderId="9" pivotButton="0" quotePrefix="0" xfId="0"/>
    <xf numFmtId="0" fontId="50" fillId="19" borderId="10" applyAlignment="1" pivotButton="0" quotePrefix="0" xfId="0">
      <alignment horizontal="center"/>
    </xf>
    <xf numFmtId="0" fontId="50" fillId="19" borderId="10" pivotButton="0" quotePrefix="0" xfId="0"/>
    <xf numFmtId="0" fontId="49" fillId="27" borderId="0" applyAlignment="1" pivotButton="0" quotePrefix="0" xfId="0">
      <alignment horizontal="center"/>
    </xf>
    <xf numFmtId="0" fontId="48" fillId="21" borderId="9" pivotButton="0" quotePrefix="0" xfId="0"/>
    <xf numFmtId="0" fontId="48" fillId="21" borderId="10" applyAlignment="1" pivotButton="0" quotePrefix="0" xfId="0">
      <alignment horizontal="center"/>
    </xf>
    <xf numFmtId="0" fontId="48" fillId="21" borderId="10" pivotButton="0" quotePrefix="0" xfId="0"/>
    <xf numFmtId="0" fontId="48" fillId="19" borderId="9" pivotButton="0" quotePrefix="0" xfId="0"/>
    <xf numFmtId="0" fontId="48" fillId="19" borderId="10" applyAlignment="1" pivotButton="0" quotePrefix="0" xfId="0">
      <alignment horizontal="center"/>
    </xf>
    <xf numFmtId="0" fontId="48" fillId="19" borderId="10" pivotButton="0" quotePrefix="0" xfId="0"/>
    <xf numFmtId="0" fontId="48" fillId="19" borderId="11" pivotButton="0" quotePrefix="0" xfId="0"/>
    <xf numFmtId="0" fontId="48" fillId="19" borderId="12" applyAlignment="1" pivotButton="0" quotePrefix="0" xfId="0">
      <alignment horizontal="center"/>
    </xf>
    <xf numFmtId="0" fontId="48" fillId="19" borderId="12" pivotButton="0" quotePrefix="0" xfId="0"/>
    <xf numFmtId="0" fontId="48" fillId="22" borderId="7" pivotButton="0" quotePrefix="0" xfId="0"/>
    <xf numFmtId="0" fontId="48" fillId="22" borderId="8" applyAlignment="1" pivotButton="0" quotePrefix="0" xfId="0">
      <alignment horizontal="center"/>
    </xf>
    <xf numFmtId="0" fontId="48" fillId="22" borderId="8" pivotButton="0" quotePrefix="0" xfId="0"/>
    <xf numFmtId="0" fontId="48" fillId="22" borderId="9" pivotButton="0" quotePrefix="0" xfId="0"/>
    <xf numFmtId="0" fontId="48" fillId="22" borderId="10" applyAlignment="1" pivotButton="0" quotePrefix="0" xfId="0">
      <alignment horizontal="center"/>
    </xf>
    <xf numFmtId="0" fontId="48" fillId="22" borderId="10" pivotButton="0" quotePrefix="0" xfId="0"/>
    <xf numFmtId="0" fontId="44" fillId="22" borderId="0" pivotButton="0" quotePrefix="0" xfId="0"/>
    <xf numFmtId="0" fontId="0" fillId="0" borderId="25" pivotButton="0" quotePrefix="0" xfId="0"/>
    <xf numFmtId="0" fontId="0" fillId="0" borderId="15" pivotButton="0" quotePrefix="0" xfId="0"/>
    <xf numFmtId="0" fontId="13" fillId="4" borderId="6" applyAlignment="1" pivotButton="0" quotePrefix="0" xfId="0">
      <alignment horizontal="left" vertical="center"/>
    </xf>
    <xf numFmtId="173" fontId="46" fillId="17" borderId="10" applyAlignment="1" pivotButton="0" quotePrefix="0" xfId="0">
      <alignment horizontal="center"/>
    </xf>
    <xf numFmtId="172" fontId="47" fillId="18" borderId="7" applyAlignment="1" pivotButton="0" quotePrefix="0" xfId="0">
      <alignment horizontal="center"/>
    </xf>
    <xf numFmtId="167" fontId="8" fillId="0" borderId="2" applyAlignment="1" pivotButton="0" quotePrefix="0" xfId="0">
      <alignment horizontal="center" vertical="center"/>
    </xf>
    <xf numFmtId="174" fontId="8" fillId="0" borderId="2" applyAlignment="1" pivotButton="0" quotePrefix="0" xfId="0">
      <alignment horizontal="center" vertical="center"/>
    </xf>
    <xf numFmtId="174" fontId="0" fillId="0" borderId="0" pivotButton="0" quotePrefix="0" xfId="0"/>
    <xf numFmtId="168" fontId="32" fillId="0" borderId="2" applyAlignment="1" pivotButton="0" quotePrefix="0" xfId="0">
      <alignment horizontal="center" vertical="center"/>
    </xf>
    <xf numFmtId="168" fontId="8" fillId="0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center" vertical="center"/>
    </xf>
    <xf numFmtId="169" fontId="9" fillId="0" borderId="2" applyAlignment="1" pivotButton="0" quotePrefix="0" xfId="0">
      <alignment horizontal="right" vertical="center"/>
    </xf>
    <xf numFmtId="168" fontId="31" fillId="0" borderId="0" applyAlignment="1" pivotButton="0" quotePrefix="0" xfId="0">
      <alignment horizontal="center"/>
    </xf>
    <xf numFmtId="168" fontId="9" fillId="5" borderId="2" applyAlignment="1" pivotButton="0" quotePrefix="0" xfId="0">
      <alignment horizontal="center" vertical="center"/>
    </xf>
    <xf numFmtId="168" fontId="8" fillId="5" borderId="2" applyAlignment="1" pivotButton="0" quotePrefix="0" xfId="0">
      <alignment horizontal="center" vertical="center"/>
    </xf>
    <xf numFmtId="168" fontId="0" fillId="0" borderId="16" pivotButton="0" quotePrefix="0" xfId="0"/>
    <xf numFmtId="168" fontId="0" fillId="0" borderId="17" pivotButton="0" quotePrefix="0" xfId="0"/>
    <xf numFmtId="168" fontId="0" fillId="0" borderId="18" pivotButton="0" quotePrefix="0" xfId="0"/>
    <xf numFmtId="168" fontId="0" fillId="0" borderId="0" pivotButton="0" quotePrefix="0" xfId="0"/>
    <xf numFmtId="170" fontId="31" fillId="0" borderId="0" pivotButton="0" quotePrefix="0" xfId="0"/>
    <xf numFmtId="168" fontId="29" fillId="0" borderId="0" pivotButton="0" quotePrefix="0" xfId="0"/>
    <xf numFmtId="170" fontId="29" fillId="0" borderId="0" pivotButton="0" quotePrefix="0" xfId="0"/>
    <xf numFmtId="168" fontId="29" fillId="27" borderId="0" pivotButton="0" quotePrefix="0" xfId="0"/>
    <xf numFmtId="171" fontId="0" fillId="0" borderId="0" pivotButton="0" quotePrefix="0" xfId="0"/>
    <xf numFmtId="168" fontId="0" fillId="0" borderId="7" pivotButton="0" quotePrefix="0" xfId="0"/>
    <xf numFmtId="172" fontId="0" fillId="0" borderId="20" pivotButton="0" quotePrefix="0" xfId="0"/>
  </cellXfs>
  <cellStyles count="2">
    <cellStyle name="Normal" xfId="0" builtinId="0"/>
    <cellStyle name="Hyperlink" xfId="1" builtinId="8"/>
  </cellStyles>
  <dxfs count="17"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375623"/>
        <sz val="10"/>
      </font>
      <fill>
        <patternFill patternType="solid">
          <fgColor rgb="FFC6EFCE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375623"/>
        <sz val="10"/>
      </font>
      <fill>
        <patternFill patternType="solid">
          <fgColor rgb="FFC6EFCE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E8F4FD"/>
        </patternFill>
      </fill>
    </dxf>
    <dxf>
      <font>
        <name val="Calibri"/>
        <b val="1"/>
        <color rgb="FF375623"/>
        <sz val="10"/>
      </font>
      <fill>
        <patternFill patternType="solid">
          <fgColor rgb="FFC6EFCE"/>
        </patternFill>
      </fill>
    </dxf>
    <dxf>
      <font>
        <name val="Calibri"/>
        <b val="1"/>
        <color rgb="FF7F6000"/>
        <sz val="10"/>
      </font>
      <fill>
        <patternFill patternType="solid">
          <fgColor rgb="FFFFEB9C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375623"/>
        <sz val="10"/>
      </font>
      <fill>
        <patternFill patternType="solid">
          <fgColor rgb="FFC6EFCE"/>
        </patternFill>
      </fill>
    </dxf>
    <dxf>
      <font>
        <name val="Calibri"/>
        <b val="1"/>
        <color rgb="FF7F6000"/>
        <sz val="10"/>
      </font>
      <fill>
        <patternFill patternType="solid">
          <fgColor rgb="FFFFEB9C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375623"/>
        <sz val="10"/>
      </font>
      <fill>
        <patternFill patternType="solid">
          <fgColor rgb="FFC6EFCE"/>
        </patternFill>
      </fill>
    </dxf>
    <dxf>
      <font>
        <name val="Calibri"/>
        <b val="1"/>
        <color rgb="FF7F6000"/>
        <sz val="10"/>
      </font>
      <fill>
        <patternFill patternType="solid">
          <fgColor rgb="FFFFEB9C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  <dxf>
      <font>
        <name val="Calibri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U157"/>
  <sheetViews>
    <sheetView zoomScale="120" zoomScaleNormal="120" workbookViewId="0">
      <pane xSplit="6" ySplit="5" topLeftCell="H6" activePane="bottomRight" state="frozen"/>
      <selection pane="topRight" activeCell="A1" sqref="A1"/>
      <selection pane="bottomLeft" activeCell="A1" sqref="A1"/>
      <selection pane="bottomRight" activeCell="T6" sqref="T6"/>
    </sheetView>
  </sheetViews>
  <sheetFormatPr baseColWidth="10" defaultColWidth="8.83203125" defaultRowHeight="15"/>
  <cols>
    <col width="7.33203125" bestFit="1" customWidth="1" style="66" min="1" max="1"/>
    <col width="16.6640625" bestFit="1" customWidth="1" style="66" min="2" max="2"/>
    <col width="12.1640625" bestFit="1" customWidth="1" style="66" min="3" max="3"/>
    <col width="14.5" bestFit="1" customWidth="1" style="66" min="4" max="4"/>
    <col width="21" bestFit="1" customWidth="1" style="66" min="5" max="5"/>
    <col width="6.83203125" customWidth="1" style="66" min="6" max="6"/>
    <col width="9.6640625" bestFit="1" customWidth="1" style="66" min="7" max="7"/>
    <col width="9" bestFit="1" customWidth="1" style="66" min="8" max="8"/>
    <col width="9.1640625" bestFit="1" customWidth="1" style="66" min="9" max="9"/>
    <col width="10.6640625" bestFit="1" customWidth="1" style="66" min="10" max="10"/>
    <col width="14" customWidth="1" style="66" min="11" max="11"/>
    <col width="9.1640625" bestFit="1" customWidth="1" style="66" min="12" max="12"/>
    <col width="9.83203125" bestFit="1" customWidth="1" style="66" min="13" max="13"/>
    <col width="13" customWidth="1" style="66" min="14" max="14"/>
    <col width="10" bestFit="1" customWidth="1" style="66" min="15" max="15"/>
    <col width="9.83203125" bestFit="1" customWidth="1" style="66" min="16" max="16"/>
    <col width="6.5" bestFit="1" customWidth="1" style="66" min="17" max="17"/>
    <col width="8.6640625" bestFit="1" customWidth="1" style="66" min="18" max="18"/>
    <col width="7" bestFit="1" customWidth="1" style="66" min="19" max="19"/>
    <col width="6.6640625" bestFit="1" customWidth="1" style="66" min="20" max="20"/>
    <col width="5.6640625" bestFit="1" customWidth="1" style="66" min="21" max="21"/>
  </cols>
  <sheetData>
    <row r="1" ht="28" customHeight="1" s="66">
      <c r="A1" s="72" t="inlineStr">
        <is>
          <t>OrbitFlow — Project Dashboard  |  All metrics linked to Work Items</t>
        </is>
      </c>
    </row>
    <row r="2" ht="20" customHeight="1" s="66">
      <c r="A2" s="69" t="inlineStr">
        <is>
          <t>Click Task / Bug / Risk / CR counts to navigate to Work Items filter  ·  EV = SOW Contracted Hrs − Actual Task Effort  ·  SV = Planned End − Max Task/Bug End Date</t>
        </is>
      </c>
    </row>
    <row r="3" ht="6" customHeight="1" s="66">
      <c r="A3" s="73" t="n"/>
    </row>
    <row r="4" ht="18" customHeight="1" s="66">
      <c r="A4" s="71" t="inlineStr">
        <is>
          <t>PROJECT IDENTITY</t>
        </is>
      </c>
      <c r="G4" s="71" t="inlineStr">
        <is>
          <t>PLANNED SCHEDULE</t>
        </is>
      </c>
      <c r="J4" s="65" t="inlineStr">
        <is>
          <t>ACTUALS (from Work Items)</t>
        </is>
      </c>
      <c r="O4" s="68" t="inlineStr">
        <is>
          <t>WORK ITEMS (click to filter)</t>
        </is>
      </c>
      <c r="S4" s="70" t="inlineStr">
        <is>
          <t>RAG STATUS</t>
        </is>
      </c>
    </row>
    <row r="5" ht="40" customHeight="1" s="66">
      <c r="A5" s="1" t="inlineStr">
        <is>
          <t>Project ID</t>
        </is>
      </c>
      <c r="B5" s="1" t="inlineStr">
        <is>
          <t>Project Name</t>
        </is>
      </c>
      <c r="C5" s="1" t="inlineStr">
        <is>
          <t>PM</t>
        </is>
      </c>
      <c r="D5" s="1" t="inlineStr">
        <is>
          <t>Account Manager</t>
        </is>
      </c>
      <c r="E5" s="1" t="inlineStr">
        <is>
          <t>Project Type</t>
        </is>
      </c>
      <c r="F5" s="1" t="inlineStr">
        <is>
          <t>Status</t>
        </is>
      </c>
      <c r="G5" s="1" t="inlineStr">
        <is>
          <t>Planned Start</t>
        </is>
      </c>
      <c r="H5" s="1" t="inlineStr">
        <is>
          <t>Planned End</t>
        </is>
      </c>
      <c r="I5" s="1" t="inlineStr">
        <is>
          <t>SOW Hrs 
(Contracted)</t>
        </is>
      </c>
      <c r="J5" s="1" t="inlineStr">
        <is>
          <t>Actual Start
(Min Task/Bug)</t>
        </is>
      </c>
      <c r="K5" s="1" t="inlineStr">
        <is>
          <t>Actual End
(Max Task/Bug)</t>
        </is>
      </c>
      <c r="L5" s="1" t="inlineStr">
        <is>
          <t>Actual Effort 
(hrs)</t>
        </is>
      </c>
      <c r="M5" s="1" t="inlineStr">
        <is>
          <t>EV Hrs
(SOW−Actual)</t>
        </is>
      </c>
      <c r="N5" s="1" t="inlineStr">
        <is>
          <t>SV Days
(Planned−Actual End)</t>
        </is>
      </c>
      <c r="O5" s="1" t="inlineStr">
        <is>
          <t>Tasks
(Done / Total)</t>
        </is>
      </c>
      <c r="P5" s="1" t="inlineStr">
        <is>
          <t>Bugs
(Fixed / Total)</t>
        </is>
      </c>
      <c r="Q5" s="1" t="inlineStr">
        <is>
          <t>Open
Risks</t>
        </is>
      </c>
      <c r="R5" s="1" t="inlineStr">
        <is>
          <t>Pending
CRs</t>
        </is>
      </c>
      <c r="S5" s="1" t="inlineStr">
        <is>
          <t>Schedule
RAG</t>
        </is>
      </c>
      <c r="T5" s="1" t="inlineStr">
        <is>
          <t>Financial
RAG</t>
        </is>
      </c>
      <c r="U5" s="1" t="inlineStr">
        <is>
          <t>Overall
RAG</t>
        </is>
      </c>
    </row>
    <row r="6" ht="22" customHeight="1" s="66">
      <c r="A6" s="2">
        <f>IFERROR(INDEX('Projects Master'!$A:$A,ROW()-1),"")</f>
        <v/>
      </c>
      <c r="B6" s="101">
        <f>IFERROR(VLOOKUP(A6,'Projects Master'!$A:$I,2,0),"")</f>
        <v/>
      </c>
      <c r="C6" s="101">
        <f>IFERROR(VLOOKUP(A6,'Projects Master'!$A:$I,3,0),"")</f>
        <v/>
      </c>
      <c r="D6" s="101">
        <f>IFERROR(VLOOKUP(A6,'Projects Master'!$A:$I,4,0),"")</f>
        <v/>
      </c>
      <c r="E6" s="4">
        <f>IFERROR(VLOOKUP(A6,'Projects Master'!$A:$I,5,0),"")</f>
        <v/>
      </c>
      <c r="F6" s="92">
        <f>IFERROR(VLOOKUP(A6,'Projects Master'!$A:$I,6,0),"")</f>
        <v/>
      </c>
      <c r="G6" s="6">
        <f>IFERROR(VLOOKUP(A6,'Projects Master'!$A:$I,7,0),"")</f>
        <v/>
      </c>
      <c r="H6" s="6">
        <f>IFERROR(VLOOKUP(A6,'Projects Master'!$A:$I,8,0),"")</f>
        <v/>
      </c>
      <c r="I6" s="7">
        <f>IFERROR(VLOOKUP(A6,'Projects Master'!$A:$I,9,0),"")</f>
        <v/>
      </c>
      <c r="J6" s="6">
        <f>_xlfn.LET(_xlpm.t,_xlfn.MINIFS('Work Items'!P:P,'Work Items'!D:D,B6,'Work Items'!A:A,"Task"),_xlpm.b,_xlfn.MINIFS('Work Items'!P:P,'Work Items'!D:D,B6,'Work Items'!A:A,"Bug"),_xlpm.m,IF(AND(_xlpm.t=0,_xlpm.b=0),0,IF(_xlpm.t=0,_xlpm.b,IF(_xlpm.b=0,_xlpm.t,MIN(_xlpm.t,_xlpm.b)))),IF(_xlpm.m=0,G6,_xlpm.m))</f>
        <v/>
      </c>
      <c r="K6" s="6">
        <f>_xlfn.LET(_xlpm.t,_xlfn.MAXIFS('Work Items'!Q:Q,'Work Items'!D:D,B6,'Work Items'!A:A,"Task"),_xlpm.b,_xlfn.MAXIFS('Work Items'!Q:Q,'Work Items'!D:D,B6,'Work Items'!A:A,"Bug"),_xlpm.m,MAX(_xlpm.t,_xlpm.b),IF(_xlpm.m=0,H6,_xlpm.m))</f>
        <v/>
      </c>
      <c r="L6" s="8">
        <f>IFERROR(SUMIFS('Work Items'!O:O,'Work Items'!D:D,B6,'Work Items'!A:A,"Task"),0)</f>
        <v/>
      </c>
      <c r="M6" s="9">
        <f>IF(ISNUMBER(I6),I6-L6,"N/A")</f>
        <v/>
      </c>
      <c r="N6" s="10">
        <f>IF(AND(ISNUMBER(H6),K6&gt;0),INT(H6-K6),"TBD")</f>
        <v/>
      </c>
      <c r="O6" s="100">
        <f>TEXT(COUNTIFS('Work Items'!A:A,"Task",'Work Items'!D:D,B6,'Work Items'!L:L,"Completed"),"0")&amp;" / "&amp;TEXT(COUNTIFS('Work Items'!A:A,"Task",'Work Items'!D:D,B6),"0")&amp;" Tasks"</f>
        <v/>
      </c>
      <c r="P6" s="100">
        <f>TEXT(COUNTIFS('Work Items'!A:A,"Bug",'Work Items'!D:D,B6,'Work Items'!L:L,"Fixed"),"0")&amp;" / "&amp;TEXT(COUNTIFS('Work Items'!A:A,"Bug",'Work Items'!D:D,B6),"0")&amp;" Bugs"</f>
        <v/>
      </c>
      <c r="Q6" s="100">
        <f>TEXT(COUNTIFS('Work Items'!A:A,"Risk",'Work Items'!D:D,B6,'Work Items'!L:L,"Open"),"0")&amp;" Open"</f>
        <v/>
      </c>
      <c r="R6" s="100">
        <f>TEXT(COUNTIFS('Work Items'!A:A,"CR",'Work Items'!D:D,B6,'Work Items'!L:L,"Pending Approval"),"0")&amp;" Pending"</f>
        <v/>
      </c>
      <c r="S6" s="11">
        <f>IF(N6="TBD","Yellow",IF(ISNUMBER(N6),IF(N6&lt;0,"Red",IF(N6&lt;14,"Yellow","Green")),"Yellow"))</f>
        <v/>
      </c>
      <c r="T6" s="11">
        <f>IF(NOT(ISNUMBER(M6)),"Yellow",IF(M6&lt;0,"Red",IF(M6/I6&lt;0.05,"Yellow","Green")))</f>
        <v/>
      </c>
      <c r="U6" s="11">
        <f>IF(OR(S6="Red",T6="Red"),"Red",IF(OR(S6="Yellow",T6="Yellow"),"Yellow","Green"))</f>
        <v/>
      </c>
    </row>
    <row r="7" ht="22" customHeight="1" s="66">
      <c r="A7" s="2">
        <f>IFERROR(INDEX('Projects Master'!$A:$A,ROW()-1),"")</f>
        <v/>
      </c>
      <c r="B7" s="101">
        <f>IFERROR(VLOOKUP(A7,'Projects Master'!$A:$I,2,0),"")</f>
        <v/>
      </c>
      <c r="C7" s="101">
        <f>IFERROR(VLOOKUP(A7,'Projects Master'!$A:$I,3,0),"")</f>
        <v/>
      </c>
      <c r="D7" s="101">
        <f>IFERROR(VLOOKUP(A7,'Projects Master'!$A:$I,4,0),"")</f>
        <v/>
      </c>
      <c r="E7" s="4">
        <f>IFERROR(VLOOKUP(A7,'Projects Master'!$A:$I,5,0),"")</f>
        <v/>
      </c>
      <c r="F7" s="92">
        <f>IFERROR(VLOOKUP(A7,'Projects Master'!$A:$I,6,0),"")</f>
        <v/>
      </c>
      <c r="G7" s="6">
        <f>IFERROR(VLOOKUP(A7,'Projects Master'!$A:$I,7,0),"")</f>
        <v/>
      </c>
      <c r="H7" s="6">
        <f>IFERROR(VLOOKUP(A7,'Projects Master'!$A:$I,8,0),"")</f>
        <v/>
      </c>
      <c r="I7" s="7">
        <f>IFERROR(VLOOKUP(A7,'Projects Master'!$A:$I,9,0),"")</f>
        <v/>
      </c>
      <c r="J7" s="6">
        <f>_xlfn.LET(_xlpm.t,_xlfn.MINIFS('Work Items'!P:P,'Work Items'!D:D,B7,'Work Items'!A:A,"Task"),_xlpm.b,_xlfn.MINIFS('Work Items'!P:P,'Work Items'!D:D,B7,'Work Items'!A:A,"Bug"),_xlpm.m,IF(AND(_xlpm.t=0,_xlpm.b=0),0,IF(_xlpm.t=0,_xlpm.b,IF(_xlpm.b=0,_xlpm.t,MIN(_xlpm.t,_xlpm.b)))),IF(_xlpm.m=0,G7,_xlpm.m))</f>
        <v/>
      </c>
      <c r="K7" s="6">
        <f>_xlfn.LET(_xlpm.t,_xlfn.MAXIFS('Work Items'!Q:Q,'Work Items'!D:D,B7,'Work Items'!A:A,"Task"),_xlpm.b,_xlfn.MAXIFS('Work Items'!Q:Q,'Work Items'!D:D,B7,'Work Items'!A:A,"Bug"),_xlpm.m,MAX(_xlpm.t,_xlpm.b),IF(_xlpm.m=0,H7,_xlpm.m))</f>
        <v/>
      </c>
      <c r="L7" s="8">
        <f>IFERROR(SUMIFS('Work Items'!O:O,'Work Items'!D:D,B7,'Work Items'!A:A,"Task"),0)</f>
        <v/>
      </c>
      <c r="M7" s="9">
        <f>IF(ISNUMBER(I7),I7-L7,"N/A")</f>
        <v/>
      </c>
      <c r="N7" s="10">
        <f>IF(AND(ISNUMBER(H7),K7&gt;0),INT(H7-K7),"TBD")</f>
        <v/>
      </c>
      <c r="O7" s="100">
        <f>TEXT(COUNTIFS('Work Items'!A:A,"Task",'Work Items'!D:D,B7,'Work Items'!L:L,"Completed"),"0")&amp;" / "&amp;TEXT(COUNTIFS('Work Items'!A:A,"Task",'Work Items'!D:D,B7),"0")&amp;" Tasks"</f>
        <v/>
      </c>
      <c r="P7" s="100">
        <f>TEXT(COUNTIFS('Work Items'!A:A,"Bug",'Work Items'!D:D,B7,'Work Items'!L:L,"Fixed"),"0")&amp;" / "&amp;TEXT(COUNTIFS('Work Items'!A:A,"Bug",'Work Items'!D:D,B7),"0")&amp;" Bugs"</f>
        <v/>
      </c>
      <c r="Q7" s="100">
        <f>TEXT(COUNTIFS('Work Items'!A:A,"Risk",'Work Items'!D:D,B7,'Work Items'!L:L,"Open"),"0")&amp;" Open"</f>
        <v/>
      </c>
      <c r="R7" s="100">
        <f>TEXT(COUNTIFS('Work Items'!A:A,"CR",'Work Items'!D:D,B7,'Work Items'!L:L,"Pending Approval"),"0")&amp;" Pending"</f>
        <v/>
      </c>
      <c r="S7" s="11">
        <f>IF(N7="TBD","Yellow",IF(ISNUMBER(N7),IF(N7&lt;0,"Red",IF(N7&lt;14,"Yellow","Green")),"Yellow"))</f>
        <v/>
      </c>
      <c r="T7" s="11">
        <f>IF(NOT(ISNUMBER(M7)),"Yellow",IF(M7&lt;0,"Red",IF(M7/I7&lt;0.05,"Yellow","Green")))</f>
        <v/>
      </c>
      <c r="U7" s="11">
        <f>IF(OR(S7="Red",T7="Red"),"Red",IF(OR(S7="Yellow",T7="Yellow"),"Yellow","Green"))</f>
        <v/>
      </c>
    </row>
    <row r="8" ht="22" customHeight="1" s="66">
      <c r="A8" s="2">
        <f>IFERROR(INDEX('Projects Master'!$A:$A,ROW()-1),"")</f>
        <v/>
      </c>
      <c r="B8" s="101">
        <f>IFERROR(VLOOKUP(A8,'Projects Master'!$A:$I,2,0),"")</f>
        <v/>
      </c>
      <c r="C8" s="101">
        <f>IFERROR(VLOOKUP(A8,'Projects Master'!$A:$I,3,0),"")</f>
        <v/>
      </c>
      <c r="D8" s="101">
        <f>IFERROR(VLOOKUP(A8,'Projects Master'!$A:$I,4,0),"")</f>
        <v/>
      </c>
      <c r="E8" s="4">
        <f>IFERROR(VLOOKUP(A8,'Projects Master'!$A:$I,5,0),"")</f>
        <v/>
      </c>
      <c r="F8" s="92">
        <f>IFERROR(VLOOKUP(A8,'Projects Master'!$A:$I,6,0),"")</f>
        <v/>
      </c>
      <c r="G8" s="6">
        <f>IFERROR(VLOOKUP(A8,'Projects Master'!$A:$I,7,0),"")</f>
        <v/>
      </c>
      <c r="H8" s="6">
        <f>IFERROR(VLOOKUP(A8,'Projects Master'!$A:$I,8,0),"")</f>
        <v/>
      </c>
      <c r="I8" s="7">
        <f>IFERROR(VLOOKUP(A8,'Projects Master'!$A:$I,9,0),"")</f>
        <v/>
      </c>
      <c r="J8" s="6">
        <f>_xlfn.LET(_xlpm.t,_xlfn.MINIFS('Work Items'!P:P,'Work Items'!D:D,B8,'Work Items'!A:A,"Task"),_xlpm.b,_xlfn.MINIFS('Work Items'!P:P,'Work Items'!D:D,B8,'Work Items'!A:A,"Bug"),_xlpm.m,IF(AND(_xlpm.t=0,_xlpm.b=0),0,IF(_xlpm.t=0,_xlpm.b,IF(_xlpm.b=0,_xlpm.t,MIN(_xlpm.t,_xlpm.b)))),IF(_xlpm.m=0,G8,_xlpm.m))</f>
        <v/>
      </c>
      <c r="K8" s="6">
        <f>_xlfn.LET(_xlpm.t,_xlfn.MAXIFS('Work Items'!Q:Q,'Work Items'!D:D,B8,'Work Items'!A:A,"Task"),_xlpm.b,_xlfn.MAXIFS('Work Items'!Q:Q,'Work Items'!D:D,B8,'Work Items'!A:A,"Bug"),_xlpm.m,MAX(_xlpm.t,_xlpm.b),IF(_xlpm.m=0,H8,_xlpm.m))</f>
        <v/>
      </c>
      <c r="L8" s="8">
        <f>IFERROR(SUMIFS('Work Items'!O:O,'Work Items'!D:D,B8,'Work Items'!A:A,"Task"),0)</f>
        <v/>
      </c>
      <c r="M8" s="9">
        <f>IF(ISNUMBER(I8),I8-L8,"N/A")</f>
        <v/>
      </c>
      <c r="N8" s="10">
        <f>IF(AND(ISNUMBER(H8),K8&gt;0),INT(H8-K8),"TBD")</f>
        <v/>
      </c>
      <c r="O8" s="100">
        <f>TEXT(COUNTIFS('Work Items'!A:A,"Task",'Work Items'!D:D,B8,'Work Items'!L:L,"Completed"),"0")&amp;" / "&amp;TEXT(COUNTIFS('Work Items'!A:A,"Task",'Work Items'!D:D,B8),"0")&amp;" Tasks"</f>
        <v/>
      </c>
      <c r="P8" s="100">
        <f>TEXT(COUNTIFS('Work Items'!A:A,"Bug",'Work Items'!D:D,B8,'Work Items'!L:L,"Fixed"),"0")&amp;" / "&amp;TEXT(COUNTIFS('Work Items'!A:A,"Bug",'Work Items'!D:D,B8),"0")&amp;" Bugs"</f>
        <v/>
      </c>
      <c r="Q8" s="100">
        <f>TEXT(COUNTIFS('Work Items'!A:A,"Risk",'Work Items'!D:D,B8,'Work Items'!L:L,"Open"),"0")&amp;" Open"</f>
        <v/>
      </c>
      <c r="R8" s="100">
        <f>TEXT(COUNTIFS('Work Items'!A:A,"CR",'Work Items'!D:D,B8,'Work Items'!L:L,"Pending Approval"),"0")&amp;" Pending"</f>
        <v/>
      </c>
      <c r="S8" s="11">
        <f>IF(N8="TBD","Yellow",IF(ISNUMBER(N8),IF(N8&lt;0,"Red",IF(N8&lt;14,"Yellow","Green")),"Yellow"))</f>
        <v/>
      </c>
      <c r="T8" s="11">
        <f>IF(NOT(ISNUMBER(M8)),"Yellow",IF(M8&lt;0,"Red",IF(M8/I8&lt;0.05,"Yellow","Green")))</f>
        <v/>
      </c>
      <c r="U8" s="11">
        <f>IF(OR(S8="Red",T8="Red"),"Red",IF(OR(S8="Yellow",T8="Yellow"),"Yellow","Green"))</f>
        <v/>
      </c>
    </row>
    <row r="9" ht="22" customHeight="1" s="66">
      <c r="A9" s="2">
        <f>IFERROR(INDEX('Projects Master'!$A:$A,ROW()-1),"")</f>
        <v/>
      </c>
      <c r="B9" s="101">
        <f>IFERROR(VLOOKUP(A9,'Projects Master'!$A:$I,2,0),"")</f>
        <v/>
      </c>
      <c r="C9" s="101">
        <f>IFERROR(VLOOKUP(A9,'Projects Master'!$A:$I,3,0),"")</f>
        <v/>
      </c>
      <c r="D9" s="101">
        <f>IFERROR(VLOOKUP(A9,'Projects Master'!$A:$I,4,0),"")</f>
        <v/>
      </c>
      <c r="E9" s="4">
        <f>IFERROR(VLOOKUP(A9,'Projects Master'!$A:$I,5,0),"")</f>
        <v/>
      </c>
      <c r="F9" s="92">
        <f>IFERROR(VLOOKUP(A9,'Projects Master'!$A:$I,6,0),"")</f>
        <v/>
      </c>
      <c r="G9" s="6">
        <f>IFERROR(VLOOKUP(A9,'Projects Master'!$A:$I,7,0),"")</f>
        <v/>
      </c>
      <c r="H9" s="6">
        <f>IFERROR(VLOOKUP(A9,'Projects Master'!$A:$I,8,0),"")</f>
        <v/>
      </c>
      <c r="I9" s="7">
        <f>IFERROR(VLOOKUP(A9,'Projects Master'!$A:$I,9,0),"")</f>
        <v/>
      </c>
      <c r="J9" s="6">
        <f>_xlfn.LET(_xlpm.t,_xlfn.MINIFS('Work Items'!P:P,'Work Items'!D:D,B9,'Work Items'!A:A,"Task"),_xlpm.b,_xlfn.MINIFS('Work Items'!P:P,'Work Items'!D:D,B9,'Work Items'!A:A,"Bug"),_xlpm.m,IF(AND(_xlpm.t=0,_xlpm.b=0),0,IF(_xlpm.t=0,_xlpm.b,IF(_xlpm.b=0,_xlpm.t,MIN(_xlpm.t,_xlpm.b)))),IF(_xlpm.m=0,G9,_xlpm.m))</f>
        <v/>
      </c>
      <c r="K9" s="6">
        <f>_xlfn.LET(_xlpm.t,_xlfn.MAXIFS('Work Items'!Q:Q,'Work Items'!D:D,B9,'Work Items'!A:A,"Task"),_xlpm.b,_xlfn.MAXIFS('Work Items'!Q:Q,'Work Items'!D:D,B9,'Work Items'!A:A,"Bug"),_xlpm.m,MAX(_xlpm.t,_xlpm.b),IF(_xlpm.m=0,H9,_xlpm.m))</f>
        <v/>
      </c>
      <c r="L9" s="8">
        <f>IFERROR(SUMIFS('Work Items'!O:O,'Work Items'!D:D,B9,'Work Items'!A:A,"Task"),0)</f>
        <v/>
      </c>
      <c r="M9" s="9">
        <f>IF(ISNUMBER(I9),I9-L9,"N/A")</f>
        <v/>
      </c>
      <c r="N9" s="10">
        <f>IF(AND(ISNUMBER(H9),K9&gt;0),INT(H9-K9),"TBD")</f>
        <v/>
      </c>
      <c r="O9" s="100">
        <f>TEXT(COUNTIFS('Work Items'!A:A,"Task",'Work Items'!D:D,B9,'Work Items'!L:L,"Completed"),"0")&amp;" / "&amp;TEXT(COUNTIFS('Work Items'!A:A,"Task",'Work Items'!D:D,B9),"0")&amp;" Tasks"</f>
        <v/>
      </c>
      <c r="P9" s="100">
        <f>TEXT(COUNTIFS('Work Items'!A:A,"Bug",'Work Items'!D:D,B9,'Work Items'!L:L,"Fixed"),"0")&amp;" / "&amp;TEXT(COUNTIFS('Work Items'!A:A,"Bug",'Work Items'!D:D,B9),"0")&amp;" Bugs"</f>
        <v/>
      </c>
      <c r="Q9" s="100">
        <f>TEXT(COUNTIFS('Work Items'!A:A,"Risk",'Work Items'!D:D,B9,'Work Items'!L:L,"Open"),"0")&amp;" Open"</f>
        <v/>
      </c>
      <c r="R9" s="100">
        <f>TEXT(COUNTIFS('Work Items'!A:A,"CR",'Work Items'!D:D,B9,'Work Items'!L:L,"Pending Approval"),"0")&amp;" Pending"</f>
        <v/>
      </c>
      <c r="S9" s="11">
        <f>IF(N9="TBD","Yellow",IF(ISNUMBER(N9),IF(N9&lt;0,"Red",IF(N9&lt;14,"Yellow","Green")),"Yellow"))</f>
        <v/>
      </c>
      <c r="T9" s="11">
        <f>IF(NOT(ISNUMBER(M9)),"Yellow",IF(M9&lt;0,"Red",IF(M9/I9&lt;0.05,"Yellow","Green")))</f>
        <v/>
      </c>
      <c r="U9" s="11">
        <f>IF(OR(S9="Red",T9="Red"),"Red",IF(OR(S9="Yellow",T9="Yellow"),"Yellow","Green"))</f>
        <v/>
      </c>
    </row>
    <row r="10" ht="22" customHeight="1" s="66">
      <c r="A10" s="2">
        <f>IFERROR(INDEX('Projects Master'!$A:$A,ROW()-1),"")</f>
        <v/>
      </c>
      <c r="B10" s="101">
        <f>IFERROR(VLOOKUP(A10,'Projects Master'!$A:$I,2,0),"")</f>
        <v/>
      </c>
      <c r="C10" s="101">
        <f>IFERROR(VLOOKUP(A10,'Projects Master'!$A:$I,3,0),"")</f>
        <v/>
      </c>
      <c r="D10" s="101">
        <f>IFERROR(VLOOKUP(A10,'Projects Master'!$A:$I,4,0),"")</f>
        <v/>
      </c>
      <c r="E10" s="4">
        <f>IFERROR(VLOOKUP(A10,'Projects Master'!$A:$I,5,0),"")</f>
        <v/>
      </c>
      <c r="F10" s="92">
        <f>IFERROR(VLOOKUP(A10,'Projects Master'!$A:$I,6,0),"")</f>
        <v/>
      </c>
      <c r="G10" s="6">
        <f>IFERROR(VLOOKUP(A10,'Projects Master'!$A:$I,7,0),"")</f>
        <v/>
      </c>
      <c r="H10" s="6">
        <f>IFERROR(VLOOKUP(A10,'Projects Master'!$A:$I,8,0),"")</f>
        <v/>
      </c>
      <c r="I10" s="7">
        <f>IFERROR(VLOOKUP(A10,'Projects Master'!$A:$I,9,0),"")</f>
        <v/>
      </c>
      <c r="J10" s="6">
        <f>_xlfn.LET(_xlpm.t,_xlfn.MINIFS('Work Items'!P:P,'Work Items'!D:D,B10,'Work Items'!A:A,"Task"),_xlpm.b,_xlfn.MINIFS('Work Items'!P:P,'Work Items'!D:D,B10,'Work Items'!A:A,"Bug"),_xlpm.m,IF(AND(_xlpm.t=0,_xlpm.b=0),0,IF(_xlpm.t=0,_xlpm.b,IF(_xlpm.b=0,_xlpm.t,MIN(_xlpm.t,_xlpm.b)))),IF(_xlpm.m=0,G10,_xlpm.m))</f>
        <v/>
      </c>
      <c r="K10" s="6">
        <f>_xlfn.LET(_xlpm.t,_xlfn.MAXIFS('Work Items'!Q:Q,'Work Items'!D:D,B10,'Work Items'!A:A,"Task"),_xlpm.b,_xlfn.MAXIFS('Work Items'!Q:Q,'Work Items'!D:D,B10,'Work Items'!A:A,"Bug"),_xlpm.m,MAX(_xlpm.t,_xlpm.b),IF(_xlpm.m=0,H10,_xlpm.m))</f>
        <v/>
      </c>
      <c r="L10" s="8">
        <f>IFERROR(SUMIFS('Work Items'!O:O,'Work Items'!D:D,B10,'Work Items'!A:A,"Task"),0)</f>
        <v/>
      </c>
      <c r="M10" s="9">
        <f>IF(ISNUMBER(I10),I10-L10,"N/A")</f>
        <v/>
      </c>
      <c r="N10" s="10">
        <f>IF(AND(ISNUMBER(H10),K10&gt;0),INT(H10-K10),"TBD")</f>
        <v/>
      </c>
      <c r="O10" s="100">
        <f>TEXT(COUNTIFS('Work Items'!A:A,"Task",'Work Items'!D:D,B10,'Work Items'!L:L,"Completed"),"0")&amp;" / "&amp;TEXT(COUNTIFS('Work Items'!A:A,"Task",'Work Items'!D:D,B10),"0")&amp;" Tasks"</f>
        <v/>
      </c>
      <c r="P10" s="100">
        <f>TEXT(COUNTIFS('Work Items'!A:A,"Bug",'Work Items'!D:D,B10,'Work Items'!L:L,"Fixed"),"0")&amp;" / "&amp;TEXT(COUNTIFS('Work Items'!A:A,"Bug",'Work Items'!D:D,B10),"0")&amp;" Bugs"</f>
        <v/>
      </c>
      <c r="Q10" s="100">
        <f>TEXT(COUNTIFS('Work Items'!A:A,"Risk",'Work Items'!D:D,B10,'Work Items'!L:L,"Open"),"0")&amp;" Open"</f>
        <v/>
      </c>
      <c r="R10" s="100">
        <f>TEXT(COUNTIFS('Work Items'!A:A,"CR",'Work Items'!D:D,B10,'Work Items'!L:L,"Pending Approval"),"0")&amp;" Pending"</f>
        <v/>
      </c>
      <c r="S10" s="11">
        <f>IF(N10="TBD","Yellow",IF(ISNUMBER(N10),IF(N10&lt;0,"Red",IF(N10&lt;14,"Yellow","Green")),"Yellow"))</f>
        <v/>
      </c>
      <c r="T10" s="11">
        <f>IF(NOT(ISNUMBER(M10)),"Yellow",IF(M10&lt;0,"Red",IF(M10/I10&lt;0.05,"Yellow","Green")))</f>
        <v/>
      </c>
      <c r="U10" s="11">
        <f>IF(OR(S10="Red",T10="Red"),"Red",IF(OR(S10="Yellow",T10="Yellow"),"Yellow","Green"))</f>
        <v/>
      </c>
    </row>
    <row r="11">
      <c r="A11" s="2">
        <f>IFERROR(INDEX('Projects Master'!$A:$A,ROW()-1),"")</f>
        <v/>
      </c>
      <c r="B11" s="101">
        <f>IFERROR(VLOOKUP(A11,'Projects Master'!$A:$I,2,0),"")</f>
        <v/>
      </c>
      <c r="C11" s="101">
        <f>IFERROR(VLOOKUP(A11,'Projects Master'!$A:$I,3,0),"")</f>
        <v/>
      </c>
      <c r="D11" s="101">
        <f>IFERROR(VLOOKUP(A11,'Projects Master'!$A:$I,4,0),"")</f>
        <v/>
      </c>
      <c r="E11" s="4">
        <f>IFERROR(VLOOKUP(A11,'Projects Master'!$A:$I,5,0),"")</f>
        <v/>
      </c>
      <c r="F11" s="92">
        <f>IFERROR(VLOOKUP(A11,'Projects Master'!$A:$I,6,0),"")</f>
        <v/>
      </c>
      <c r="G11" s="6">
        <f>IFERROR(VLOOKUP(A11,'Projects Master'!$A:$I,7,0),"")</f>
        <v/>
      </c>
      <c r="H11" s="6">
        <f>IFERROR(VLOOKUP(A11,'Projects Master'!$A:$I,8,0),"")</f>
        <v/>
      </c>
      <c r="I11" s="7">
        <f>IFERROR(VLOOKUP(A11,'Projects Master'!$A:$I,9,0),"")</f>
        <v/>
      </c>
      <c r="J11" s="6">
        <f>_xlfn.LET(_xlpm.t,_xlfn.MINIFS('Work Items'!P:P,'Work Items'!D:D,B11,'Work Items'!A:A,"Task"),_xlpm.b,_xlfn.MINIFS('Work Items'!P:P,'Work Items'!D:D,B11,'Work Items'!A:A,"Bug"),_xlpm.m,IF(AND(_xlpm.t=0,_xlpm.b=0),0,IF(_xlpm.t=0,_xlpm.b,IF(_xlpm.b=0,_xlpm.t,MIN(_xlpm.t,_xlpm.b)))),IF(_xlpm.m=0,G11,_xlpm.m))</f>
        <v/>
      </c>
      <c r="K11" s="6">
        <f>_xlfn.LET(_xlpm.t,_xlfn.MAXIFS('Work Items'!Q:Q,'Work Items'!D:D,B11,'Work Items'!A:A,"Task"),_xlpm.b,_xlfn.MAXIFS('Work Items'!Q:Q,'Work Items'!D:D,B11,'Work Items'!A:A,"Bug"),_xlpm.m,MAX(_xlpm.t,_xlpm.b),IF(_xlpm.m=0,H11,_xlpm.m))</f>
        <v/>
      </c>
      <c r="L11" s="8">
        <f>IFERROR(SUMIFS('Work Items'!O:O,'Work Items'!D:D,B11,'Work Items'!A:A,"Task"),0)</f>
        <v/>
      </c>
      <c r="M11" s="9">
        <f>IF(ISNUMBER(I11),I11-L11,"N/A")</f>
        <v/>
      </c>
      <c r="N11" s="10">
        <f>IF(AND(ISNUMBER(H11),K11&gt;0),INT(H11-K11),"TBD")</f>
        <v/>
      </c>
      <c r="O11" s="100">
        <f>TEXT(COUNTIFS('Work Items'!A:A,"Task",'Work Items'!D:D,B11,'Work Items'!L:L,"Completed"),"0")&amp;" / "&amp;TEXT(COUNTIFS('Work Items'!A:A,"Task",'Work Items'!D:D,B11),"0")&amp;" Tasks"</f>
        <v/>
      </c>
      <c r="P11" s="100">
        <f>TEXT(COUNTIFS('Work Items'!A:A,"Bug",'Work Items'!D:D,B11,'Work Items'!L:L,"Fixed"),"0")&amp;" / "&amp;TEXT(COUNTIFS('Work Items'!A:A,"Bug",'Work Items'!D:D,B11),"0")&amp;" Bugs"</f>
        <v/>
      </c>
      <c r="Q11" s="100">
        <f>TEXT(COUNTIFS('Work Items'!A:A,"Risk",'Work Items'!D:D,B11,'Work Items'!L:L,"Open"),"0")&amp;" Open"</f>
        <v/>
      </c>
      <c r="R11" s="100">
        <f>TEXT(COUNTIFS('Work Items'!A:A,"CR",'Work Items'!D:D,B11,'Work Items'!L:L,"Pending Approval"),"0")&amp;" Pending"</f>
        <v/>
      </c>
      <c r="S11" s="11">
        <f>IF(N11="TBD","Yellow",IF(ISNUMBER(N11),IF(N11&lt;0,"Red",IF(N11&lt;14,"Yellow","Green")),"Yellow"))</f>
        <v/>
      </c>
      <c r="T11" s="11">
        <f>IF(NOT(ISNUMBER(M11)),"Yellow",IF(M11&lt;0,"Red",IF(M11/I11&lt;0.05,"Yellow","Green")))</f>
        <v/>
      </c>
      <c r="U11" s="11">
        <f>IF(OR(S11="Red",T11="Red"),"Red",IF(OR(S11="Yellow",T11="Yellow"),"Yellow","Green"))</f>
        <v/>
      </c>
    </row>
    <row r="12" ht="22" customHeight="1" s="66">
      <c r="A12" s="2">
        <f>IFERROR(INDEX('Projects Master'!$A:$A,ROW()-1),"")</f>
        <v/>
      </c>
      <c r="B12" s="101">
        <f>IFERROR(VLOOKUP(A12,'Projects Master'!$A:$I,2,0),"")</f>
        <v/>
      </c>
      <c r="C12" s="101">
        <f>IFERROR(VLOOKUP(A12,'Projects Master'!$A:$I,3,0),"")</f>
        <v/>
      </c>
      <c r="D12" s="101">
        <f>IFERROR(VLOOKUP(A12,'Projects Master'!$A:$I,4,0),"")</f>
        <v/>
      </c>
      <c r="E12" s="4">
        <f>IFERROR(VLOOKUP(A12,'Projects Master'!$A:$I,5,0),"")</f>
        <v/>
      </c>
      <c r="F12" s="92">
        <f>IFERROR(VLOOKUP(A12,'Projects Master'!$A:$I,6,0),"")</f>
        <v/>
      </c>
      <c r="G12" s="6">
        <f>IFERROR(VLOOKUP(A12,'Projects Master'!$A:$I,7,0),"")</f>
        <v/>
      </c>
      <c r="H12" s="6">
        <f>IFERROR(VLOOKUP(A12,'Projects Master'!$A:$I,8,0),"")</f>
        <v/>
      </c>
      <c r="I12" s="7">
        <f>IFERROR(VLOOKUP(A12,'Projects Master'!$A:$I,9,0),"")</f>
        <v/>
      </c>
      <c r="J12" s="6">
        <f>_xlfn.LET(_xlpm.t,_xlfn.MINIFS('Work Items'!P:P,'Work Items'!D:D,B12,'Work Items'!A:A,"Task"),_xlpm.b,_xlfn.MINIFS('Work Items'!P:P,'Work Items'!D:D,B12,'Work Items'!A:A,"Bug"),_xlpm.m,IF(AND(_xlpm.t=0,_xlpm.b=0),0,IF(_xlpm.t=0,_xlpm.b,IF(_xlpm.b=0,_xlpm.t,MIN(_xlpm.t,_xlpm.b)))),IF(_xlpm.m=0,G12,_xlpm.m))</f>
        <v/>
      </c>
      <c r="K12" s="6">
        <f>_xlfn.LET(_xlpm.t,_xlfn.MAXIFS('Work Items'!Q:Q,'Work Items'!D:D,B12,'Work Items'!A:A,"Task"),_xlpm.b,_xlfn.MAXIFS('Work Items'!Q:Q,'Work Items'!D:D,B12,'Work Items'!A:A,"Bug"),_xlpm.m,MAX(_xlpm.t,_xlpm.b),IF(_xlpm.m=0,H12,_xlpm.m))</f>
        <v/>
      </c>
      <c r="L12" s="8">
        <f>IFERROR(SUMIFS('Work Items'!O:O,'Work Items'!D:D,B12,'Work Items'!A:A,"Task"),0)</f>
        <v/>
      </c>
      <c r="M12" s="9">
        <f>IF(ISNUMBER(I12),I12-L12,"N/A")</f>
        <v/>
      </c>
      <c r="N12" s="10">
        <f>IF(AND(ISNUMBER(H12),K12&gt;0),INT(H12-K12),"TBD")</f>
        <v/>
      </c>
      <c r="O12" s="100">
        <f>TEXT(COUNTIFS('Work Items'!A:A,"Task",'Work Items'!D:D,B12,'Work Items'!L:L,"Completed"),"0")&amp;" / "&amp;TEXT(COUNTIFS('Work Items'!A:A,"Task",'Work Items'!D:D,B12),"0")&amp;" Tasks"</f>
        <v/>
      </c>
      <c r="P12" s="100">
        <f>TEXT(COUNTIFS('Work Items'!A:A,"Bug",'Work Items'!D:D,B12,'Work Items'!L:L,"Fixed"),"0")&amp;" / "&amp;TEXT(COUNTIFS('Work Items'!A:A,"Bug",'Work Items'!D:D,B12),"0")&amp;" Bugs"</f>
        <v/>
      </c>
      <c r="Q12" s="100">
        <f>TEXT(COUNTIFS('Work Items'!A:A,"Risk",'Work Items'!D:D,B12,'Work Items'!L:L,"Open"),"0")&amp;" Open"</f>
        <v/>
      </c>
      <c r="R12" s="100">
        <f>TEXT(COUNTIFS('Work Items'!A:A,"CR",'Work Items'!D:D,B12,'Work Items'!L:L,"Pending Approval"),"0")&amp;" Pending"</f>
        <v/>
      </c>
      <c r="S12" s="11">
        <f>IF(N12="TBD","Yellow",IF(ISNUMBER(N12),IF(N12&lt;0,"Red",IF(N12&lt;14,"Yellow","Green")),"Yellow"))</f>
        <v/>
      </c>
      <c r="T12" s="11">
        <f>IF(NOT(ISNUMBER(M12)),"Yellow",IF(M12&lt;0,"Red",IF(M12/I12&lt;0.05,"Yellow","Green")))</f>
        <v/>
      </c>
      <c r="U12" s="11">
        <f>IF(OR(S12="Red",T12="Red"),"Red",IF(OR(S12="Yellow",T12="Yellow"),"Yellow","Green"))</f>
        <v/>
      </c>
    </row>
    <row r="13">
      <c r="A13" s="2">
        <f>IFERROR(INDEX('Projects Master'!$A:$A,ROW()-1),"")</f>
        <v/>
      </c>
      <c r="B13" s="101">
        <f>IFERROR(VLOOKUP(A13,'Projects Master'!$A:$I,2,0),"")</f>
        <v/>
      </c>
      <c r="C13" s="101">
        <f>IFERROR(VLOOKUP(A13,'Projects Master'!$A:$I,3,0),"")</f>
        <v/>
      </c>
      <c r="D13" s="101">
        <f>IFERROR(VLOOKUP(A13,'Projects Master'!$A:$I,4,0),"")</f>
        <v/>
      </c>
      <c r="E13" s="4">
        <f>IFERROR(VLOOKUP(A13,'Projects Master'!$A:$I,5,0),"")</f>
        <v/>
      </c>
      <c r="F13" s="92">
        <f>IFERROR(VLOOKUP(A13,'Projects Master'!$A:$I,6,0),"")</f>
        <v/>
      </c>
      <c r="G13" s="6">
        <f>IFERROR(VLOOKUP(A13,'Projects Master'!$A:$I,7,0),"")</f>
        <v/>
      </c>
      <c r="H13" s="6">
        <f>IFERROR(VLOOKUP(A13,'Projects Master'!$A:$I,8,0),"")</f>
        <v/>
      </c>
      <c r="I13" s="7">
        <f>IFERROR(VLOOKUP(A13,'Projects Master'!$A:$I,9,0),"")</f>
        <v/>
      </c>
      <c r="J13" s="6">
        <f>_xlfn.LET(_xlpm.t,_xlfn.MINIFS('Work Items'!P:P,'Work Items'!D:D,B13,'Work Items'!A:A,"Task"),_xlpm.b,_xlfn.MINIFS('Work Items'!P:P,'Work Items'!D:D,B13,'Work Items'!A:A,"Bug"),_xlpm.m,IF(AND(_xlpm.t=0,_xlpm.b=0),0,IF(_xlpm.t=0,_xlpm.b,IF(_xlpm.b=0,_xlpm.t,MIN(_xlpm.t,_xlpm.b)))),IF(_xlpm.m=0,G13,_xlpm.m))</f>
        <v/>
      </c>
      <c r="K13" s="6">
        <f>_xlfn.LET(_xlpm.t,_xlfn.MAXIFS('Work Items'!Q:Q,'Work Items'!D:D,B13,'Work Items'!A:A,"Task"),_xlpm.b,_xlfn.MAXIFS('Work Items'!Q:Q,'Work Items'!D:D,B13,'Work Items'!A:A,"Bug"),_xlpm.m,MAX(_xlpm.t,_xlpm.b),IF(_xlpm.m=0,H13,_xlpm.m))</f>
        <v/>
      </c>
      <c r="L13" s="8">
        <f>IFERROR(SUMIFS('Work Items'!O:O,'Work Items'!D:D,B13,'Work Items'!A:A,"Task"),0)</f>
        <v/>
      </c>
      <c r="M13" s="9">
        <f>IF(ISNUMBER(I13),I13-L13,"N/A")</f>
        <v/>
      </c>
      <c r="N13" s="10">
        <f>IF(AND(ISNUMBER(H13),K13&gt;0),INT(H13-K13),"TBD")</f>
        <v/>
      </c>
      <c r="O13" s="100">
        <f>TEXT(COUNTIFS('Work Items'!A:A,"Task",'Work Items'!D:D,B13,'Work Items'!L:L,"Completed"),"0")&amp;" / "&amp;TEXT(COUNTIFS('Work Items'!A:A,"Task",'Work Items'!D:D,B13),"0")&amp;" Tasks"</f>
        <v/>
      </c>
      <c r="P13" s="100">
        <f>TEXT(COUNTIFS('Work Items'!A:A,"Bug",'Work Items'!D:D,B13,'Work Items'!L:L,"Fixed"),"0")&amp;" / "&amp;TEXT(COUNTIFS('Work Items'!A:A,"Bug",'Work Items'!D:D,B13),"0")&amp;" Bugs"</f>
        <v/>
      </c>
      <c r="Q13" s="100">
        <f>TEXT(COUNTIFS('Work Items'!A:A,"Risk",'Work Items'!D:D,B13,'Work Items'!L:L,"Open"),"0")&amp;" Open"</f>
        <v/>
      </c>
      <c r="R13" s="100">
        <f>TEXT(COUNTIFS('Work Items'!A:A,"CR",'Work Items'!D:D,B13,'Work Items'!L:L,"Pending Approval"),"0")&amp;" Pending"</f>
        <v/>
      </c>
      <c r="S13" s="11">
        <f>IF(N13="TBD","Yellow",IF(ISNUMBER(N13),IF(N13&lt;0,"Red",IF(N13&lt;14,"Yellow","Green")),"Yellow"))</f>
        <v/>
      </c>
      <c r="T13" s="11">
        <f>IF(NOT(ISNUMBER(M13)),"Yellow",IF(M13&lt;0,"Red",IF(M13/I13&lt;0.05,"Yellow","Green")))</f>
        <v/>
      </c>
      <c r="U13" s="11">
        <f>IF(OR(S13="Red",T13="Red"),"Red",IF(OR(S13="Yellow",T13="Yellow"),"Yellow","Green"))</f>
        <v/>
      </c>
    </row>
    <row r="14">
      <c r="A14" s="2">
        <f>IFERROR(INDEX('Projects Master'!$A:$A,ROW()-1),"")</f>
        <v/>
      </c>
      <c r="B14" s="101">
        <f>IFERROR(VLOOKUP(A14,'Projects Master'!$A:$I,2,0),"")</f>
        <v/>
      </c>
      <c r="C14" s="101">
        <f>IFERROR(VLOOKUP(A14,'Projects Master'!$A:$I,3,0),"")</f>
        <v/>
      </c>
      <c r="D14" s="101">
        <f>IFERROR(VLOOKUP(A14,'Projects Master'!$A:$I,4,0),"")</f>
        <v/>
      </c>
      <c r="E14" s="4">
        <f>IFERROR(VLOOKUP(A14,'Projects Master'!$A:$I,5,0),"")</f>
        <v/>
      </c>
      <c r="F14" s="92">
        <f>IFERROR(VLOOKUP(A14,'Projects Master'!$A:$I,6,0),"")</f>
        <v/>
      </c>
      <c r="G14" s="6">
        <f>IFERROR(VLOOKUP(A14,'Projects Master'!$A:$I,7,0),"")</f>
        <v/>
      </c>
      <c r="H14" s="6">
        <f>IFERROR(VLOOKUP(A14,'Projects Master'!$A:$I,8,0),"")</f>
        <v/>
      </c>
      <c r="I14" s="7">
        <f>IFERROR(VLOOKUP(A14,'Projects Master'!$A:$I,9,0),"")</f>
        <v/>
      </c>
      <c r="J14" s="6">
        <f>_xlfn.LET(_xlpm.t,_xlfn.MINIFS('Work Items'!P:P,'Work Items'!D:D,B14,'Work Items'!A:A,"Task"),_xlpm.b,_xlfn.MINIFS('Work Items'!P:P,'Work Items'!D:D,B14,'Work Items'!A:A,"Bug"),_xlpm.m,IF(AND(_xlpm.t=0,_xlpm.b=0),0,IF(_xlpm.t=0,_xlpm.b,IF(_xlpm.b=0,_xlpm.t,MIN(_xlpm.t,_xlpm.b)))),IF(_xlpm.m=0,G14,_xlpm.m))</f>
        <v/>
      </c>
      <c r="K14" s="6">
        <f>_xlfn.LET(_xlpm.t,_xlfn.MAXIFS('Work Items'!Q:Q,'Work Items'!D:D,B14,'Work Items'!A:A,"Task"),_xlpm.b,_xlfn.MAXIFS('Work Items'!Q:Q,'Work Items'!D:D,B14,'Work Items'!A:A,"Bug"),_xlpm.m,MAX(_xlpm.t,_xlpm.b),IF(_xlpm.m=0,H14,_xlpm.m))</f>
        <v/>
      </c>
      <c r="L14" s="8">
        <f>IFERROR(SUMIFS('Work Items'!O:O,'Work Items'!D:D,B14,'Work Items'!A:A,"Task"),0)</f>
        <v/>
      </c>
      <c r="M14" s="9">
        <f>IF(ISNUMBER(I14),I14-L14,"N/A")</f>
        <v/>
      </c>
      <c r="N14" s="10">
        <f>IF(AND(ISNUMBER(H14),K14&gt;0),INT(H14-K14),"TBD")</f>
        <v/>
      </c>
      <c r="O14" s="100">
        <f>TEXT(COUNTIFS('Work Items'!A:A,"Task",'Work Items'!D:D,B14,'Work Items'!L:L,"Completed"),"0")&amp;" / "&amp;TEXT(COUNTIFS('Work Items'!A:A,"Task",'Work Items'!D:D,B14),"0")&amp;" Tasks"</f>
        <v/>
      </c>
      <c r="P14" s="100">
        <f>TEXT(COUNTIFS('Work Items'!A:A,"Bug",'Work Items'!D:D,B14,'Work Items'!L:L,"Fixed"),"0")&amp;" / "&amp;TEXT(COUNTIFS('Work Items'!A:A,"Bug",'Work Items'!D:D,B14),"0")&amp;" Bugs"</f>
        <v/>
      </c>
      <c r="Q14" s="100">
        <f>TEXT(COUNTIFS('Work Items'!A:A,"Risk",'Work Items'!D:D,B14,'Work Items'!L:L,"Open"),"0")&amp;" Open"</f>
        <v/>
      </c>
      <c r="R14" s="100">
        <f>TEXT(COUNTIFS('Work Items'!A:A,"CR",'Work Items'!D:D,B14,'Work Items'!L:L,"Pending Approval"),"0")&amp;" Pending"</f>
        <v/>
      </c>
      <c r="S14" s="11">
        <f>IF(N14="TBD","Yellow",IF(ISNUMBER(N14),IF(N14&lt;0,"Red",IF(N14&lt;14,"Yellow","Green")),"Yellow"))</f>
        <v/>
      </c>
      <c r="T14" s="11">
        <f>IF(NOT(ISNUMBER(M14)),"Yellow",IF(M14&lt;0,"Red",IF(M14/I14&lt;0.05,"Yellow","Green")))</f>
        <v/>
      </c>
      <c r="U14" s="11">
        <f>IF(OR(S14="Red",T14="Red"),"Red",IF(OR(S14="Yellow",T14="Yellow"),"Yellow","Green"))</f>
        <v/>
      </c>
    </row>
    <row r="15">
      <c r="A15" s="2">
        <f>IFERROR(INDEX('Projects Master'!$A:$A,ROW()-1),"")</f>
        <v/>
      </c>
      <c r="B15" s="101">
        <f>IFERROR(VLOOKUP(A15,'Projects Master'!$A:$I,2,0),"")</f>
        <v/>
      </c>
      <c r="C15" s="101">
        <f>IFERROR(VLOOKUP(A15,'Projects Master'!$A:$I,3,0),"")</f>
        <v/>
      </c>
      <c r="D15" s="101">
        <f>IFERROR(VLOOKUP(A15,'Projects Master'!$A:$I,4,0),"")</f>
        <v/>
      </c>
      <c r="E15" s="4">
        <f>IFERROR(VLOOKUP(A15,'Projects Master'!$A:$I,5,0),"")</f>
        <v/>
      </c>
      <c r="F15" s="92">
        <f>IFERROR(VLOOKUP(A15,'Projects Master'!$A:$I,6,0),"")</f>
        <v/>
      </c>
      <c r="G15" s="6">
        <f>IFERROR(VLOOKUP(A15,'Projects Master'!$A:$I,7,0),"")</f>
        <v/>
      </c>
      <c r="H15" s="6">
        <f>IFERROR(VLOOKUP(A15,'Projects Master'!$A:$I,8,0),"")</f>
        <v/>
      </c>
      <c r="I15" s="7">
        <f>IFERROR(VLOOKUP(A15,'Projects Master'!$A:$I,9,0),"")</f>
        <v/>
      </c>
      <c r="J15" s="6">
        <f>_xlfn.LET(_xlpm.t,_xlfn.MINIFS('Work Items'!P:P,'Work Items'!D:D,B15,'Work Items'!A:A,"Task"),_xlpm.b,_xlfn.MINIFS('Work Items'!P:P,'Work Items'!D:D,B15,'Work Items'!A:A,"Bug"),_xlpm.m,IF(AND(_xlpm.t=0,_xlpm.b=0),0,IF(_xlpm.t=0,_xlpm.b,IF(_xlpm.b=0,_xlpm.t,MIN(_xlpm.t,_xlpm.b)))),IF(_xlpm.m=0,G15,_xlpm.m))</f>
        <v/>
      </c>
      <c r="K15" s="6">
        <f>_xlfn.LET(_xlpm.t,_xlfn.MAXIFS('Work Items'!Q:Q,'Work Items'!D:D,B15,'Work Items'!A:A,"Task"),_xlpm.b,_xlfn.MAXIFS('Work Items'!Q:Q,'Work Items'!D:D,B15,'Work Items'!A:A,"Bug"),_xlpm.m,MAX(_xlpm.t,_xlpm.b),IF(_xlpm.m=0,H15,_xlpm.m))</f>
        <v/>
      </c>
      <c r="L15" s="8">
        <f>IFERROR(SUMIFS('Work Items'!O:O,'Work Items'!D:D,B15,'Work Items'!A:A,"Task"),0)</f>
        <v/>
      </c>
      <c r="M15" s="9">
        <f>IF(ISNUMBER(I15),I15-L15,"N/A")</f>
        <v/>
      </c>
      <c r="N15" s="10">
        <f>IF(AND(ISNUMBER(H15),K15&gt;0),INT(H15-K15),"TBD")</f>
        <v/>
      </c>
      <c r="O15" s="100">
        <f>TEXT(COUNTIFS('Work Items'!A:A,"Task",'Work Items'!D:D,B15,'Work Items'!L:L,"Completed"),"0")&amp;" / "&amp;TEXT(COUNTIFS('Work Items'!A:A,"Task",'Work Items'!D:D,B15),"0")&amp;" Tasks"</f>
        <v/>
      </c>
      <c r="P15" s="100">
        <f>TEXT(COUNTIFS('Work Items'!A:A,"Bug",'Work Items'!D:D,B15,'Work Items'!L:L,"Fixed"),"0")&amp;" / "&amp;TEXT(COUNTIFS('Work Items'!A:A,"Bug",'Work Items'!D:D,B15),"0")&amp;" Bugs"</f>
        <v/>
      </c>
      <c r="Q15" s="100">
        <f>TEXT(COUNTIFS('Work Items'!A:A,"Risk",'Work Items'!D:D,B15,'Work Items'!L:L,"Open"),"0")&amp;" Open"</f>
        <v/>
      </c>
      <c r="R15" s="100">
        <f>TEXT(COUNTIFS('Work Items'!A:A,"CR",'Work Items'!D:D,B15,'Work Items'!L:L,"Pending Approval"),"0")&amp;" Pending"</f>
        <v/>
      </c>
      <c r="S15" s="11">
        <f>IF(N15="TBD","Yellow",IF(ISNUMBER(N15),IF(N15&lt;0,"Red",IF(N15&lt;14,"Yellow","Green")),"Yellow"))</f>
        <v/>
      </c>
      <c r="T15" s="11">
        <f>IF(NOT(ISNUMBER(M15)),"Yellow",IF(M15&lt;0,"Red",IF(M15/I15&lt;0.05,"Yellow","Green")))</f>
        <v/>
      </c>
      <c r="U15" s="11">
        <f>IF(OR(S15="Red",T15="Red"),"Red",IF(OR(S15="Yellow",T15="Yellow"),"Yellow","Green"))</f>
        <v/>
      </c>
    </row>
    <row r="16">
      <c r="A16" s="2">
        <f>IFERROR(INDEX('Projects Master'!$A:$A,ROW()-1),"")</f>
        <v/>
      </c>
      <c r="B16" s="101">
        <f>IFERROR(VLOOKUP(A16,'Projects Master'!$A:$I,2,0),"")</f>
        <v/>
      </c>
      <c r="C16" s="101">
        <f>IFERROR(VLOOKUP(A16,'Projects Master'!$A:$I,3,0),"")</f>
        <v/>
      </c>
      <c r="D16" s="101">
        <f>IFERROR(VLOOKUP(A16,'Projects Master'!$A:$I,4,0),"")</f>
        <v/>
      </c>
      <c r="E16" s="4">
        <f>IFERROR(VLOOKUP(A16,'Projects Master'!$A:$I,5,0),"")</f>
        <v/>
      </c>
      <c r="F16" s="92">
        <f>IFERROR(VLOOKUP(A16,'Projects Master'!$A:$I,6,0),"")</f>
        <v/>
      </c>
      <c r="G16" s="6">
        <f>IFERROR(VLOOKUP(A16,'Projects Master'!$A:$I,7,0),"")</f>
        <v/>
      </c>
      <c r="H16" s="6">
        <f>IFERROR(VLOOKUP(A16,'Projects Master'!$A:$I,8,0),"")</f>
        <v/>
      </c>
      <c r="I16" s="7">
        <f>IFERROR(VLOOKUP(A16,'Projects Master'!$A:$I,9,0),"")</f>
        <v/>
      </c>
      <c r="J16" s="6">
        <f>_xlfn.LET(_xlpm.t,_xlfn.MINIFS('Work Items'!P:P,'Work Items'!D:D,B16,'Work Items'!A:A,"Task"),_xlpm.b,_xlfn.MINIFS('Work Items'!P:P,'Work Items'!D:D,B16,'Work Items'!A:A,"Bug"),_xlpm.m,IF(AND(_xlpm.t=0,_xlpm.b=0),0,IF(_xlpm.t=0,_xlpm.b,IF(_xlpm.b=0,_xlpm.t,MIN(_xlpm.t,_xlpm.b)))),IF(_xlpm.m=0,G16,_xlpm.m))</f>
        <v/>
      </c>
      <c r="K16" s="6">
        <f>_xlfn.LET(_xlpm.t,_xlfn.MAXIFS('Work Items'!Q:Q,'Work Items'!D:D,B16,'Work Items'!A:A,"Task"),_xlpm.b,_xlfn.MAXIFS('Work Items'!Q:Q,'Work Items'!D:D,B16,'Work Items'!A:A,"Bug"),_xlpm.m,MAX(_xlpm.t,_xlpm.b),IF(_xlpm.m=0,H16,_xlpm.m))</f>
        <v/>
      </c>
      <c r="L16" s="8">
        <f>IFERROR(SUMIFS('Work Items'!O:O,'Work Items'!D:D,B16,'Work Items'!A:A,"Task"),0)</f>
        <v/>
      </c>
      <c r="M16" s="9">
        <f>IF(ISNUMBER(I16),I16-L16,"N/A")</f>
        <v/>
      </c>
      <c r="N16" s="10">
        <f>IF(AND(ISNUMBER(H16),K16&gt;0),INT(H16-K16),"TBD")</f>
        <v/>
      </c>
      <c r="O16" s="100">
        <f>TEXT(COUNTIFS('Work Items'!A:A,"Task",'Work Items'!D:D,B16,'Work Items'!L:L,"Completed"),"0")&amp;" / "&amp;TEXT(COUNTIFS('Work Items'!A:A,"Task",'Work Items'!D:D,B16),"0")&amp;" Tasks"</f>
        <v/>
      </c>
      <c r="P16" s="100">
        <f>TEXT(COUNTIFS('Work Items'!A:A,"Bug",'Work Items'!D:D,B16,'Work Items'!L:L,"Fixed"),"0")&amp;" / "&amp;TEXT(COUNTIFS('Work Items'!A:A,"Bug",'Work Items'!D:D,B16),"0")&amp;" Bugs"</f>
        <v/>
      </c>
      <c r="Q16" s="100">
        <f>TEXT(COUNTIFS('Work Items'!A:A,"Risk",'Work Items'!D:D,B16,'Work Items'!L:L,"Open"),"0")&amp;" Open"</f>
        <v/>
      </c>
      <c r="R16" s="100">
        <f>TEXT(COUNTIFS('Work Items'!A:A,"CR",'Work Items'!D:D,B16,'Work Items'!L:L,"Pending Approval"),"0")&amp;" Pending"</f>
        <v/>
      </c>
      <c r="S16" s="11">
        <f>IF(N16="TBD","Yellow",IF(ISNUMBER(N16),IF(N16&lt;0,"Red",IF(N16&lt;14,"Yellow","Green")),"Yellow"))</f>
        <v/>
      </c>
      <c r="T16" s="11">
        <f>IF(NOT(ISNUMBER(M16)),"Yellow",IF(M16&lt;0,"Red",IF(M16/I16&lt;0.05,"Yellow","Green")))</f>
        <v/>
      </c>
      <c r="U16" s="11">
        <f>IF(OR(S16="Red",T16="Red"),"Red",IF(OR(S16="Yellow",T16="Yellow"),"Yellow","Green"))</f>
        <v/>
      </c>
    </row>
    <row r="17">
      <c r="A17" s="2">
        <f>IFERROR(INDEX('Projects Master'!$A:$A,ROW()-1),"")</f>
        <v/>
      </c>
      <c r="B17" s="101">
        <f>IFERROR(VLOOKUP(A17,'Projects Master'!$A:$I,2,0),"")</f>
        <v/>
      </c>
      <c r="C17" s="101">
        <f>IFERROR(VLOOKUP(A17,'Projects Master'!$A:$I,3,0),"")</f>
        <v/>
      </c>
      <c r="D17" s="101">
        <f>IFERROR(VLOOKUP(A17,'Projects Master'!$A:$I,4,0),"")</f>
        <v/>
      </c>
      <c r="E17" s="4">
        <f>IFERROR(VLOOKUP(A17,'Projects Master'!$A:$I,5,0),"")</f>
        <v/>
      </c>
      <c r="F17" s="92">
        <f>IFERROR(VLOOKUP(A17,'Projects Master'!$A:$I,6,0),"")</f>
        <v/>
      </c>
      <c r="G17" s="6">
        <f>IFERROR(VLOOKUP(A17,'Projects Master'!$A:$I,7,0),"")</f>
        <v/>
      </c>
      <c r="H17" s="6">
        <f>IFERROR(VLOOKUP(A17,'Projects Master'!$A:$I,8,0),"")</f>
        <v/>
      </c>
      <c r="I17" s="7">
        <f>IFERROR(VLOOKUP(A17,'Projects Master'!$A:$I,9,0),"")</f>
        <v/>
      </c>
      <c r="J17" s="6">
        <f>_xlfn.LET(_xlpm.t,_xlfn.MINIFS('Work Items'!P:P,'Work Items'!D:D,B17,'Work Items'!A:A,"Task"),_xlpm.b,_xlfn.MINIFS('Work Items'!P:P,'Work Items'!D:D,B17,'Work Items'!A:A,"Bug"),_xlpm.m,IF(AND(_xlpm.t=0,_xlpm.b=0),0,IF(_xlpm.t=0,_xlpm.b,IF(_xlpm.b=0,_xlpm.t,MIN(_xlpm.t,_xlpm.b)))),IF(_xlpm.m=0,G17,_xlpm.m))</f>
        <v/>
      </c>
      <c r="K17" s="6">
        <f>_xlfn.LET(_xlpm.t,_xlfn.MAXIFS('Work Items'!Q:Q,'Work Items'!D:D,B17,'Work Items'!A:A,"Task"),_xlpm.b,_xlfn.MAXIFS('Work Items'!Q:Q,'Work Items'!D:D,B17,'Work Items'!A:A,"Bug"),_xlpm.m,MAX(_xlpm.t,_xlpm.b),IF(_xlpm.m=0,H17,_xlpm.m))</f>
        <v/>
      </c>
      <c r="L17" s="8">
        <f>IFERROR(SUMIFS('Work Items'!O:O,'Work Items'!D:D,B17,'Work Items'!A:A,"Task"),0)</f>
        <v/>
      </c>
      <c r="M17" s="9">
        <f>IF(ISNUMBER(I17),I17-L17,"N/A")</f>
        <v/>
      </c>
      <c r="N17" s="10">
        <f>IF(AND(ISNUMBER(H17),K17&gt;0),INT(H17-K17),"TBD")</f>
        <v/>
      </c>
      <c r="O17" s="100">
        <f>TEXT(COUNTIFS('Work Items'!A:A,"Task",'Work Items'!D:D,B17,'Work Items'!L:L,"Completed"),"0")&amp;" / "&amp;TEXT(COUNTIFS('Work Items'!A:A,"Task",'Work Items'!D:D,B17),"0")&amp;" Tasks"</f>
        <v/>
      </c>
      <c r="P17" s="100">
        <f>TEXT(COUNTIFS('Work Items'!A:A,"Bug",'Work Items'!D:D,B17,'Work Items'!L:L,"Fixed"),"0")&amp;" / "&amp;TEXT(COUNTIFS('Work Items'!A:A,"Bug",'Work Items'!D:D,B17),"0")&amp;" Bugs"</f>
        <v/>
      </c>
      <c r="Q17" s="100">
        <f>TEXT(COUNTIFS('Work Items'!A:A,"Risk",'Work Items'!D:D,B17,'Work Items'!L:L,"Open"),"0")&amp;" Open"</f>
        <v/>
      </c>
      <c r="R17" s="100">
        <f>TEXT(COUNTIFS('Work Items'!A:A,"CR",'Work Items'!D:D,B17,'Work Items'!L:L,"Pending Approval"),"0")&amp;" Pending"</f>
        <v/>
      </c>
      <c r="S17" s="11">
        <f>IF(N17="TBD","Yellow",IF(ISNUMBER(N17),IF(N17&lt;0,"Red",IF(N17&lt;14,"Yellow","Green")),"Yellow"))</f>
        <v/>
      </c>
      <c r="T17" s="11">
        <f>IF(NOT(ISNUMBER(M17)),"Yellow",IF(M17&lt;0,"Red",IF(M17/I17&lt;0.05,"Yellow","Green")))</f>
        <v/>
      </c>
      <c r="U17" s="11">
        <f>IF(OR(S17="Red",T17="Red"),"Red",IF(OR(S17="Yellow",T17="Yellow"),"Yellow","Green"))</f>
        <v/>
      </c>
    </row>
    <row r="18">
      <c r="A18" s="2">
        <f>IFERROR(INDEX('Projects Master'!$A:$A,ROW()-1),"")</f>
        <v/>
      </c>
      <c r="B18" s="101">
        <f>IFERROR(VLOOKUP(A18,'Projects Master'!$A:$I,2,0),"")</f>
        <v/>
      </c>
      <c r="C18" s="101">
        <f>IFERROR(VLOOKUP(A18,'Projects Master'!$A:$I,3,0),"")</f>
        <v/>
      </c>
      <c r="D18" s="101">
        <f>IFERROR(VLOOKUP(A18,'Projects Master'!$A:$I,4,0),"")</f>
        <v/>
      </c>
      <c r="E18" s="4">
        <f>IFERROR(VLOOKUP(A18,'Projects Master'!$A:$I,5,0),"")</f>
        <v/>
      </c>
      <c r="F18" s="92">
        <f>IFERROR(VLOOKUP(A18,'Projects Master'!$A:$I,6,0),"")</f>
        <v/>
      </c>
      <c r="G18" s="6">
        <f>IFERROR(VLOOKUP(A18,'Projects Master'!$A:$I,7,0),"")</f>
        <v/>
      </c>
      <c r="H18" s="6">
        <f>IFERROR(VLOOKUP(A18,'Projects Master'!$A:$I,8,0),"")</f>
        <v/>
      </c>
      <c r="I18" s="7">
        <f>IFERROR(VLOOKUP(A18,'Projects Master'!$A:$I,9,0),"")</f>
        <v/>
      </c>
      <c r="J18" s="6">
        <f>_xlfn.LET(_xlpm.t,_xlfn.MINIFS('Work Items'!P:P,'Work Items'!D:D,B18,'Work Items'!A:A,"Task"),_xlpm.b,_xlfn.MINIFS('Work Items'!P:P,'Work Items'!D:D,B18,'Work Items'!A:A,"Bug"),_xlpm.m,IF(AND(_xlpm.t=0,_xlpm.b=0),0,IF(_xlpm.t=0,_xlpm.b,IF(_xlpm.b=0,_xlpm.t,MIN(_xlpm.t,_xlpm.b)))),IF(_xlpm.m=0,G18,_xlpm.m))</f>
        <v/>
      </c>
      <c r="K18" s="6">
        <f>_xlfn.LET(_xlpm.t,_xlfn.MAXIFS('Work Items'!Q:Q,'Work Items'!D:D,B18,'Work Items'!A:A,"Task"),_xlpm.b,_xlfn.MAXIFS('Work Items'!Q:Q,'Work Items'!D:D,B18,'Work Items'!A:A,"Bug"),_xlpm.m,MAX(_xlpm.t,_xlpm.b),IF(_xlpm.m=0,H18,_xlpm.m))</f>
        <v/>
      </c>
      <c r="L18" s="8">
        <f>IFERROR(SUMIFS('Work Items'!O:O,'Work Items'!D:D,B18,'Work Items'!A:A,"Task"),0)</f>
        <v/>
      </c>
      <c r="M18" s="9">
        <f>IF(ISNUMBER(I18),I18-L18,"N/A")</f>
        <v/>
      </c>
      <c r="N18" s="10">
        <f>IF(AND(ISNUMBER(H18),K18&gt;0),INT(H18-K18),"TBD")</f>
        <v/>
      </c>
      <c r="O18" s="100">
        <f>TEXT(COUNTIFS('Work Items'!A:A,"Task",'Work Items'!D:D,B18,'Work Items'!L:L,"Completed"),"0")&amp;" / "&amp;TEXT(COUNTIFS('Work Items'!A:A,"Task",'Work Items'!D:D,B18),"0")&amp;" Tasks"</f>
        <v/>
      </c>
      <c r="P18" s="100">
        <f>TEXT(COUNTIFS('Work Items'!A:A,"Bug",'Work Items'!D:D,B18,'Work Items'!L:L,"Fixed"),"0")&amp;" / "&amp;TEXT(COUNTIFS('Work Items'!A:A,"Bug",'Work Items'!D:D,B18),"0")&amp;" Bugs"</f>
        <v/>
      </c>
      <c r="Q18" s="100">
        <f>TEXT(COUNTIFS('Work Items'!A:A,"Risk",'Work Items'!D:D,B18,'Work Items'!L:L,"Open"),"0")&amp;" Open"</f>
        <v/>
      </c>
      <c r="R18" s="100">
        <f>TEXT(COUNTIFS('Work Items'!A:A,"CR",'Work Items'!D:D,B18,'Work Items'!L:L,"Pending Approval"),"0")&amp;" Pending"</f>
        <v/>
      </c>
      <c r="S18" s="11">
        <f>IF(N18="TBD","Yellow",IF(ISNUMBER(N18),IF(N18&lt;0,"Red",IF(N18&lt;14,"Yellow","Green")),"Yellow"))</f>
        <v/>
      </c>
      <c r="T18" s="11">
        <f>IF(NOT(ISNUMBER(M18)),"Yellow",IF(M18&lt;0,"Red",IF(M18/I18&lt;0.05,"Yellow","Green")))</f>
        <v/>
      </c>
      <c r="U18" s="11">
        <f>IF(OR(S18="Red",T18="Red"),"Red",IF(OR(S18="Yellow",T18="Yellow"),"Yellow","Green"))</f>
        <v/>
      </c>
    </row>
    <row r="19">
      <c r="A19" s="2">
        <f>IFERROR(INDEX('Projects Master'!$A:$A,ROW()-1),"")</f>
        <v/>
      </c>
      <c r="B19" s="101">
        <f>IFERROR(VLOOKUP(A19,'Projects Master'!$A:$I,2,0),"")</f>
        <v/>
      </c>
      <c r="C19" s="101">
        <f>IFERROR(VLOOKUP(A19,'Projects Master'!$A:$I,3,0),"")</f>
        <v/>
      </c>
      <c r="D19" s="101">
        <f>IFERROR(VLOOKUP(A19,'Projects Master'!$A:$I,4,0),"")</f>
        <v/>
      </c>
      <c r="E19" s="4">
        <f>IFERROR(VLOOKUP(A19,'Projects Master'!$A:$I,5,0),"")</f>
        <v/>
      </c>
      <c r="F19" s="92">
        <f>IFERROR(VLOOKUP(A19,'Projects Master'!$A:$I,6,0),"")</f>
        <v/>
      </c>
      <c r="G19" s="6">
        <f>IFERROR(VLOOKUP(A19,'Projects Master'!$A:$I,7,0),"")</f>
        <v/>
      </c>
      <c r="H19" s="6">
        <f>IFERROR(VLOOKUP(A19,'Projects Master'!$A:$I,8,0),"")</f>
        <v/>
      </c>
      <c r="I19" s="7">
        <f>IFERROR(VLOOKUP(A19,'Projects Master'!$A:$I,9,0),"")</f>
        <v/>
      </c>
      <c r="J19" s="6">
        <f>_xlfn.LET(_xlpm.t,_xlfn.MINIFS('Work Items'!P:P,'Work Items'!D:D,B19,'Work Items'!A:A,"Task"),_xlpm.b,_xlfn.MINIFS('Work Items'!P:P,'Work Items'!D:D,B19,'Work Items'!A:A,"Bug"),_xlpm.m,IF(AND(_xlpm.t=0,_xlpm.b=0),0,IF(_xlpm.t=0,_xlpm.b,IF(_xlpm.b=0,_xlpm.t,MIN(_xlpm.t,_xlpm.b)))),IF(_xlpm.m=0,G19,_xlpm.m))</f>
        <v/>
      </c>
      <c r="K19" s="6">
        <f>_xlfn.LET(_xlpm.t,_xlfn.MAXIFS('Work Items'!Q:Q,'Work Items'!D:D,B19,'Work Items'!A:A,"Task"),_xlpm.b,_xlfn.MAXIFS('Work Items'!Q:Q,'Work Items'!D:D,B19,'Work Items'!A:A,"Bug"),_xlpm.m,MAX(_xlpm.t,_xlpm.b),IF(_xlpm.m=0,H19,_xlpm.m))</f>
        <v/>
      </c>
      <c r="L19" s="8">
        <f>IFERROR(SUMIFS('Work Items'!O:O,'Work Items'!D:D,B19,'Work Items'!A:A,"Task"),0)</f>
        <v/>
      </c>
      <c r="M19" s="9">
        <f>IF(ISNUMBER(I19),I19-L19,"N/A")</f>
        <v/>
      </c>
      <c r="N19" s="10">
        <f>IF(AND(ISNUMBER(H19),K19&gt;0),INT(H19-K19),"TBD")</f>
        <v/>
      </c>
      <c r="O19" s="100">
        <f>TEXT(COUNTIFS('Work Items'!A:A,"Task",'Work Items'!D:D,B19,'Work Items'!L:L,"Completed"),"0")&amp;" / "&amp;TEXT(COUNTIFS('Work Items'!A:A,"Task",'Work Items'!D:D,B19),"0")&amp;" Tasks"</f>
        <v/>
      </c>
      <c r="P19" s="100">
        <f>TEXT(COUNTIFS('Work Items'!A:A,"Bug",'Work Items'!D:D,B19,'Work Items'!L:L,"Fixed"),"0")&amp;" / "&amp;TEXT(COUNTIFS('Work Items'!A:A,"Bug",'Work Items'!D:D,B19),"0")&amp;" Bugs"</f>
        <v/>
      </c>
      <c r="Q19" s="100">
        <f>TEXT(COUNTIFS('Work Items'!A:A,"Risk",'Work Items'!D:D,B19,'Work Items'!L:L,"Open"),"0")&amp;" Open"</f>
        <v/>
      </c>
      <c r="R19" s="100">
        <f>TEXT(COUNTIFS('Work Items'!A:A,"CR",'Work Items'!D:D,B19,'Work Items'!L:L,"Pending Approval"),"0")&amp;" Pending"</f>
        <v/>
      </c>
      <c r="S19" s="11">
        <f>IF(N19="TBD","Yellow",IF(ISNUMBER(N19),IF(N19&lt;0,"Red",IF(N19&lt;14,"Yellow","Green")),"Yellow"))</f>
        <v/>
      </c>
      <c r="T19" s="11">
        <f>IF(NOT(ISNUMBER(M19)),"Yellow",IF(M19&lt;0,"Red",IF(M19/I19&lt;0.05,"Yellow","Green")))</f>
        <v/>
      </c>
      <c r="U19" s="11">
        <f>IF(OR(S19="Red",T19="Red"),"Red",IF(OR(S19="Yellow",T19="Yellow"),"Yellow","Green"))</f>
        <v/>
      </c>
    </row>
    <row r="20">
      <c r="A20" s="2">
        <f>IFERROR(INDEX('Projects Master'!$A:$A,ROW()-1),"")</f>
        <v/>
      </c>
      <c r="B20" s="101">
        <f>IFERROR(VLOOKUP(A20,'Projects Master'!$A:$I,2,0),"")</f>
        <v/>
      </c>
      <c r="C20" s="101">
        <f>IFERROR(VLOOKUP(A20,'Projects Master'!$A:$I,3,0),"")</f>
        <v/>
      </c>
      <c r="D20" s="101">
        <f>IFERROR(VLOOKUP(A20,'Projects Master'!$A:$I,4,0),"")</f>
        <v/>
      </c>
      <c r="E20" s="4">
        <f>IFERROR(VLOOKUP(A20,'Projects Master'!$A:$I,5,0),"")</f>
        <v/>
      </c>
      <c r="F20" s="92">
        <f>IFERROR(VLOOKUP(A20,'Projects Master'!$A:$I,6,0),"")</f>
        <v/>
      </c>
      <c r="G20" s="6">
        <f>IFERROR(VLOOKUP(A20,'Projects Master'!$A:$I,7,0),"")</f>
        <v/>
      </c>
      <c r="H20" s="6">
        <f>IFERROR(VLOOKUP(A20,'Projects Master'!$A:$I,8,0),"")</f>
        <v/>
      </c>
      <c r="I20" s="7">
        <f>IFERROR(VLOOKUP(A20,'Projects Master'!$A:$I,9,0),"")</f>
        <v/>
      </c>
      <c r="J20" s="6">
        <f>_xlfn.LET(_xlpm.t,_xlfn.MINIFS('Work Items'!P:P,'Work Items'!D:D,B20,'Work Items'!A:A,"Task"),_xlpm.b,_xlfn.MINIFS('Work Items'!P:P,'Work Items'!D:D,B20,'Work Items'!A:A,"Bug"),_xlpm.m,IF(AND(_xlpm.t=0,_xlpm.b=0),0,IF(_xlpm.t=0,_xlpm.b,IF(_xlpm.b=0,_xlpm.t,MIN(_xlpm.t,_xlpm.b)))),IF(_xlpm.m=0,G20,_xlpm.m))</f>
        <v/>
      </c>
      <c r="K20" s="6">
        <f>_xlfn.LET(_xlpm.t,_xlfn.MAXIFS('Work Items'!Q:Q,'Work Items'!D:D,B20,'Work Items'!A:A,"Task"),_xlpm.b,_xlfn.MAXIFS('Work Items'!Q:Q,'Work Items'!D:D,B20,'Work Items'!A:A,"Bug"),_xlpm.m,MAX(_xlpm.t,_xlpm.b),IF(_xlpm.m=0,H20,_xlpm.m))</f>
        <v/>
      </c>
      <c r="L20" s="8">
        <f>IFERROR(SUMIFS('Work Items'!O:O,'Work Items'!D:D,B20,'Work Items'!A:A,"Task"),0)</f>
        <v/>
      </c>
      <c r="M20" s="9">
        <f>IF(ISNUMBER(I20),I20-L20,"N/A")</f>
        <v/>
      </c>
      <c r="N20" s="10">
        <f>IF(AND(ISNUMBER(H20),K20&gt;0),INT(H20-K20),"TBD")</f>
        <v/>
      </c>
      <c r="O20" s="100">
        <f>TEXT(COUNTIFS('Work Items'!A:A,"Task",'Work Items'!D:D,B20,'Work Items'!L:L,"Completed"),"0")&amp;" / "&amp;TEXT(COUNTIFS('Work Items'!A:A,"Task",'Work Items'!D:D,B20),"0")&amp;" Tasks"</f>
        <v/>
      </c>
      <c r="P20" s="100">
        <f>TEXT(COUNTIFS('Work Items'!A:A,"Bug",'Work Items'!D:D,B20,'Work Items'!L:L,"Fixed"),"0")&amp;" / "&amp;TEXT(COUNTIFS('Work Items'!A:A,"Bug",'Work Items'!D:D,B20),"0")&amp;" Bugs"</f>
        <v/>
      </c>
      <c r="Q20" s="100">
        <f>TEXT(COUNTIFS('Work Items'!A:A,"Risk",'Work Items'!D:D,B20,'Work Items'!L:L,"Open"),"0")&amp;" Open"</f>
        <v/>
      </c>
      <c r="R20" s="100">
        <f>TEXT(COUNTIFS('Work Items'!A:A,"CR",'Work Items'!D:D,B20,'Work Items'!L:L,"Pending Approval"),"0")&amp;" Pending"</f>
        <v/>
      </c>
      <c r="S20" s="11">
        <f>IF(N20="TBD","Yellow",IF(ISNUMBER(N20),IF(N20&lt;0,"Red",IF(N20&lt;14,"Yellow","Green")),"Yellow"))</f>
        <v/>
      </c>
      <c r="T20" s="11">
        <f>IF(NOT(ISNUMBER(M20)),"Yellow",IF(M20&lt;0,"Red",IF(M20/I20&lt;0.05,"Yellow","Green")))</f>
        <v/>
      </c>
      <c r="U20" s="11">
        <f>IF(OR(S20="Red",T20="Red"),"Red",IF(OR(S20="Yellow",T20="Yellow"),"Yellow","Green"))</f>
        <v/>
      </c>
    </row>
    <row r="21">
      <c r="A21" s="2">
        <f>IFERROR(INDEX('Projects Master'!$A:$A,ROW()-1),"")</f>
        <v/>
      </c>
      <c r="B21" s="101">
        <f>IFERROR(VLOOKUP(A21,'Projects Master'!$A:$I,2,0),"")</f>
        <v/>
      </c>
      <c r="C21" s="101">
        <f>IFERROR(VLOOKUP(A21,'Projects Master'!$A:$I,3,0),"")</f>
        <v/>
      </c>
      <c r="D21" s="101">
        <f>IFERROR(VLOOKUP(A21,'Projects Master'!$A:$I,4,0),"")</f>
        <v/>
      </c>
      <c r="E21" s="4">
        <f>IFERROR(VLOOKUP(A21,'Projects Master'!$A:$I,5,0),"")</f>
        <v/>
      </c>
      <c r="F21" s="92">
        <f>IFERROR(VLOOKUP(A21,'Projects Master'!$A:$I,6,0),"")</f>
        <v/>
      </c>
      <c r="G21" s="6">
        <f>IFERROR(VLOOKUP(A21,'Projects Master'!$A:$I,7,0),"")</f>
        <v/>
      </c>
      <c r="H21" s="6">
        <f>IFERROR(VLOOKUP(A21,'Projects Master'!$A:$I,8,0),"")</f>
        <v/>
      </c>
      <c r="I21" s="7">
        <f>IFERROR(VLOOKUP(A21,'Projects Master'!$A:$I,9,0),"")</f>
        <v/>
      </c>
      <c r="J21" s="6">
        <f>_xlfn.LET(_xlpm.t,_xlfn.MINIFS('Work Items'!P:P,'Work Items'!D:D,B21,'Work Items'!A:A,"Task"),_xlpm.b,_xlfn.MINIFS('Work Items'!P:P,'Work Items'!D:D,B21,'Work Items'!A:A,"Bug"),_xlpm.m,IF(AND(_xlpm.t=0,_xlpm.b=0),0,IF(_xlpm.t=0,_xlpm.b,IF(_xlpm.b=0,_xlpm.t,MIN(_xlpm.t,_xlpm.b)))),IF(_xlpm.m=0,G21,_xlpm.m))</f>
        <v/>
      </c>
      <c r="K21" s="6">
        <f>_xlfn.LET(_xlpm.t,_xlfn.MAXIFS('Work Items'!Q:Q,'Work Items'!D:D,B21,'Work Items'!A:A,"Task"),_xlpm.b,_xlfn.MAXIFS('Work Items'!Q:Q,'Work Items'!D:D,B21,'Work Items'!A:A,"Bug"),_xlpm.m,MAX(_xlpm.t,_xlpm.b),IF(_xlpm.m=0,H21,_xlpm.m))</f>
        <v/>
      </c>
      <c r="L21" s="8">
        <f>IFERROR(SUMIFS('Work Items'!O:O,'Work Items'!D:D,B21,'Work Items'!A:A,"Task"),0)</f>
        <v/>
      </c>
      <c r="M21" s="9">
        <f>IF(ISNUMBER(I21),I21-L21,"N/A")</f>
        <v/>
      </c>
      <c r="N21" s="10">
        <f>IF(AND(ISNUMBER(H21),K21&gt;0),INT(H21-K21),"TBD")</f>
        <v/>
      </c>
      <c r="O21" s="100">
        <f>TEXT(COUNTIFS('Work Items'!A:A,"Task",'Work Items'!D:D,B21,'Work Items'!L:L,"Completed"),"0")&amp;" / "&amp;TEXT(COUNTIFS('Work Items'!A:A,"Task",'Work Items'!D:D,B21),"0")&amp;" Tasks"</f>
        <v/>
      </c>
      <c r="P21" s="100">
        <f>TEXT(COUNTIFS('Work Items'!A:A,"Bug",'Work Items'!D:D,B21,'Work Items'!L:L,"Fixed"),"0")&amp;" / "&amp;TEXT(COUNTIFS('Work Items'!A:A,"Bug",'Work Items'!D:D,B21),"0")&amp;" Bugs"</f>
        <v/>
      </c>
      <c r="Q21" s="100">
        <f>TEXT(COUNTIFS('Work Items'!A:A,"Risk",'Work Items'!D:D,B21,'Work Items'!L:L,"Open"),"0")&amp;" Open"</f>
        <v/>
      </c>
      <c r="R21" s="100">
        <f>TEXT(COUNTIFS('Work Items'!A:A,"CR",'Work Items'!D:D,B21,'Work Items'!L:L,"Pending Approval"),"0")&amp;" Pending"</f>
        <v/>
      </c>
      <c r="S21" s="11">
        <f>IF(N21="TBD","Yellow",IF(ISNUMBER(N21),IF(N21&lt;0,"Red",IF(N21&lt;14,"Yellow","Green")),"Yellow"))</f>
        <v/>
      </c>
      <c r="T21" s="11">
        <f>IF(NOT(ISNUMBER(M21)),"Yellow",IF(M21&lt;0,"Red",IF(M21/I21&lt;0.05,"Yellow","Green")))</f>
        <v/>
      </c>
      <c r="U21" s="11">
        <f>IF(OR(S21="Red",T21="Red"),"Red",IF(OR(S21="Yellow",T21="Yellow"),"Yellow","Green"))</f>
        <v/>
      </c>
    </row>
    <row r="22">
      <c r="A22" s="2">
        <f>IFERROR(INDEX('Projects Master'!$A:$A,ROW()-1),"")</f>
        <v/>
      </c>
      <c r="B22" s="101">
        <f>IFERROR(VLOOKUP(A22,'Projects Master'!$A:$I,2,0),"")</f>
        <v/>
      </c>
      <c r="C22" s="101">
        <f>IFERROR(VLOOKUP(A22,'Projects Master'!$A:$I,3,0),"")</f>
        <v/>
      </c>
      <c r="D22" s="101">
        <f>IFERROR(VLOOKUP(A22,'Projects Master'!$A:$I,4,0),"")</f>
        <v/>
      </c>
      <c r="E22" s="4">
        <f>IFERROR(VLOOKUP(A22,'Projects Master'!$A:$I,5,0),"")</f>
        <v/>
      </c>
      <c r="F22" s="92">
        <f>IFERROR(VLOOKUP(A22,'Projects Master'!$A:$I,6,0),"")</f>
        <v/>
      </c>
      <c r="G22" s="6">
        <f>IFERROR(VLOOKUP(A22,'Projects Master'!$A:$I,7,0),"")</f>
        <v/>
      </c>
      <c r="H22" s="6">
        <f>IFERROR(VLOOKUP(A22,'Projects Master'!$A:$I,8,0),"")</f>
        <v/>
      </c>
      <c r="I22" s="7">
        <f>IFERROR(VLOOKUP(A22,'Projects Master'!$A:$I,9,0),"")</f>
        <v/>
      </c>
      <c r="J22" s="6">
        <f>_xlfn.LET(_xlpm.t,_xlfn.MINIFS('Work Items'!P:P,'Work Items'!D:D,B22,'Work Items'!A:A,"Task"),_xlpm.b,_xlfn.MINIFS('Work Items'!P:P,'Work Items'!D:D,B22,'Work Items'!A:A,"Bug"),_xlpm.m,IF(AND(_xlpm.t=0,_xlpm.b=0),0,IF(_xlpm.t=0,_xlpm.b,IF(_xlpm.b=0,_xlpm.t,MIN(_xlpm.t,_xlpm.b)))),IF(_xlpm.m=0,G22,_xlpm.m))</f>
        <v/>
      </c>
      <c r="K22" s="6">
        <f>_xlfn.LET(_xlpm.t,_xlfn.MAXIFS('Work Items'!Q:Q,'Work Items'!D:D,B22,'Work Items'!A:A,"Task"),_xlpm.b,_xlfn.MAXIFS('Work Items'!Q:Q,'Work Items'!D:D,B22,'Work Items'!A:A,"Bug"),_xlpm.m,MAX(_xlpm.t,_xlpm.b),IF(_xlpm.m=0,H22,_xlpm.m))</f>
        <v/>
      </c>
      <c r="L22" s="8">
        <f>IFERROR(SUMIFS('Work Items'!O:O,'Work Items'!D:D,B22,'Work Items'!A:A,"Task"),0)</f>
        <v/>
      </c>
      <c r="M22" s="9">
        <f>IF(ISNUMBER(I22),I22-L22,"N/A")</f>
        <v/>
      </c>
      <c r="N22" s="10">
        <f>IF(AND(ISNUMBER(H22),K22&gt;0),INT(H22-K22),"TBD")</f>
        <v/>
      </c>
      <c r="O22" s="100">
        <f>TEXT(COUNTIFS('Work Items'!A:A,"Task",'Work Items'!D:D,B22,'Work Items'!L:L,"Completed"),"0")&amp;" / "&amp;TEXT(COUNTIFS('Work Items'!A:A,"Task",'Work Items'!D:D,B22),"0")&amp;" Tasks"</f>
        <v/>
      </c>
      <c r="P22" s="100">
        <f>TEXT(COUNTIFS('Work Items'!A:A,"Bug",'Work Items'!D:D,B22,'Work Items'!L:L,"Fixed"),"0")&amp;" / "&amp;TEXT(COUNTIFS('Work Items'!A:A,"Bug",'Work Items'!D:D,B22),"0")&amp;" Bugs"</f>
        <v/>
      </c>
      <c r="Q22" s="100">
        <f>TEXT(COUNTIFS('Work Items'!A:A,"Risk",'Work Items'!D:D,B22,'Work Items'!L:L,"Open"),"0")&amp;" Open"</f>
        <v/>
      </c>
      <c r="R22" s="100">
        <f>TEXT(COUNTIFS('Work Items'!A:A,"CR",'Work Items'!D:D,B22,'Work Items'!L:L,"Pending Approval"),"0")&amp;" Pending"</f>
        <v/>
      </c>
      <c r="S22" s="11">
        <f>IF(N22="TBD","Yellow",IF(ISNUMBER(N22),IF(N22&lt;0,"Red",IF(N22&lt;14,"Yellow","Green")),"Yellow"))</f>
        <v/>
      </c>
      <c r="T22" s="11">
        <f>IF(NOT(ISNUMBER(M22)),"Yellow",IF(M22&lt;0,"Red",IF(M22/I22&lt;0.05,"Yellow","Green")))</f>
        <v/>
      </c>
      <c r="U22" s="11">
        <f>IF(OR(S22="Red",T22="Red"),"Red",IF(OR(S22="Yellow",T22="Yellow"),"Yellow","Green"))</f>
        <v/>
      </c>
    </row>
    <row r="23">
      <c r="A23" s="2">
        <f>IFERROR(INDEX('Projects Master'!$A:$A,ROW()-1),"")</f>
        <v/>
      </c>
      <c r="B23" s="101">
        <f>IFERROR(VLOOKUP(A23,'Projects Master'!$A:$I,2,0),"")</f>
        <v/>
      </c>
      <c r="C23" s="101">
        <f>IFERROR(VLOOKUP(A23,'Projects Master'!$A:$I,3,0),"")</f>
        <v/>
      </c>
      <c r="D23" s="101">
        <f>IFERROR(VLOOKUP(A23,'Projects Master'!$A:$I,4,0),"")</f>
        <v/>
      </c>
      <c r="E23" s="4">
        <f>IFERROR(VLOOKUP(A23,'Projects Master'!$A:$I,5,0),"")</f>
        <v/>
      </c>
      <c r="F23" s="92">
        <f>IFERROR(VLOOKUP(A23,'Projects Master'!$A:$I,6,0),"")</f>
        <v/>
      </c>
      <c r="G23" s="6">
        <f>IFERROR(VLOOKUP(A23,'Projects Master'!$A:$I,7,0),"")</f>
        <v/>
      </c>
      <c r="H23" s="6">
        <f>IFERROR(VLOOKUP(A23,'Projects Master'!$A:$I,8,0),"")</f>
        <v/>
      </c>
      <c r="I23" s="7">
        <f>IFERROR(VLOOKUP(A23,'Projects Master'!$A:$I,9,0),"")</f>
        <v/>
      </c>
      <c r="J23" s="6">
        <f>_xlfn.LET(_xlpm.t,_xlfn.MINIFS('Work Items'!P:P,'Work Items'!D:D,B23,'Work Items'!A:A,"Task"),_xlpm.b,_xlfn.MINIFS('Work Items'!P:P,'Work Items'!D:D,B23,'Work Items'!A:A,"Bug"),_xlpm.m,IF(AND(_xlpm.t=0,_xlpm.b=0),0,IF(_xlpm.t=0,_xlpm.b,IF(_xlpm.b=0,_xlpm.t,MIN(_xlpm.t,_xlpm.b)))),IF(_xlpm.m=0,G23,_xlpm.m))</f>
        <v/>
      </c>
      <c r="K23" s="6">
        <f>_xlfn.LET(_xlpm.t,_xlfn.MAXIFS('Work Items'!Q:Q,'Work Items'!D:D,B23,'Work Items'!A:A,"Task"),_xlpm.b,_xlfn.MAXIFS('Work Items'!Q:Q,'Work Items'!D:D,B23,'Work Items'!A:A,"Bug"),_xlpm.m,MAX(_xlpm.t,_xlpm.b),IF(_xlpm.m=0,H23,_xlpm.m))</f>
        <v/>
      </c>
      <c r="L23" s="8">
        <f>IFERROR(SUMIFS('Work Items'!O:O,'Work Items'!D:D,B23,'Work Items'!A:A,"Task"),0)</f>
        <v/>
      </c>
      <c r="M23" s="9">
        <f>IF(ISNUMBER(I23),I23-L23,"N/A")</f>
        <v/>
      </c>
      <c r="N23" s="10">
        <f>IF(AND(ISNUMBER(H23),K23&gt;0),INT(H23-K23),"TBD")</f>
        <v/>
      </c>
      <c r="O23" s="100">
        <f>TEXT(COUNTIFS('Work Items'!A:A,"Task",'Work Items'!D:D,B23,'Work Items'!L:L,"Completed"),"0")&amp;" / "&amp;TEXT(COUNTIFS('Work Items'!A:A,"Task",'Work Items'!D:D,B23),"0")&amp;" Tasks"</f>
        <v/>
      </c>
      <c r="P23" s="100">
        <f>TEXT(COUNTIFS('Work Items'!A:A,"Bug",'Work Items'!D:D,B23,'Work Items'!L:L,"Fixed"),"0")&amp;" / "&amp;TEXT(COUNTIFS('Work Items'!A:A,"Bug",'Work Items'!D:D,B23),"0")&amp;" Bugs"</f>
        <v/>
      </c>
      <c r="Q23" s="100">
        <f>TEXT(COUNTIFS('Work Items'!A:A,"Risk",'Work Items'!D:D,B23,'Work Items'!L:L,"Open"),"0")&amp;" Open"</f>
        <v/>
      </c>
      <c r="R23" s="100">
        <f>TEXT(COUNTIFS('Work Items'!A:A,"CR",'Work Items'!D:D,B23,'Work Items'!L:L,"Pending Approval"),"0")&amp;" Pending"</f>
        <v/>
      </c>
      <c r="S23" s="11">
        <f>IF(N23="TBD","Yellow",IF(ISNUMBER(N23),IF(N23&lt;0,"Red",IF(N23&lt;14,"Yellow","Green")),"Yellow"))</f>
        <v/>
      </c>
      <c r="T23" s="11">
        <f>IF(NOT(ISNUMBER(M23)),"Yellow",IF(M23&lt;0,"Red",IF(M23/I23&lt;0.05,"Yellow","Green")))</f>
        <v/>
      </c>
      <c r="U23" s="11">
        <f>IF(OR(S23="Red",T23="Red"),"Red",IF(OR(S23="Yellow",T23="Yellow"),"Yellow","Green"))</f>
        <v/>
      </c>
    </row>
    <row r="24">
      <c r="A24" s="2">
        <f>IFERROR(INDEX('Projects Master'!$A:$A,ROW()-1),"")</f>
        <v/>
      </c>
      <c r="B24" s="101">
        <f>IFERROR(VLOOKUP(A24,'Projects Master'!$A:$I,2,0),"")</f>
        <v/>
      </c>
      <c r="C24" s="101">
        <f>IFERROR(VLOOKUP(A24,'Projects Master'!$A:$I,3,0),"")</f>
        <v/>
      </c>
      <c r="D24" s="101">
        <f>IFERROR(VLOOKUP(A24,'Projects Master'!$A:$I,4,0),"")</f>
        <v/>
      </c>
      <c r="E24" s="4">
        <f>IFERROR(VLOOKUP(A24,'Projects Master'!$A:$I,5,0),"")</f>
        <v/>
      </c>
      <c r="F24" s="92">
        <f>IFERROR(VLOOKUP(A24,'Projects Master'!$A:$I,6,0),"")</f>
        <v/>
      </c>
      <c r="G24" s="6">
        <f>IFERROR(VLOOKUP(A24,'Projects Master'!$A:$I,7,0),"")</f>
        <v/>
      </c>
      <c r="H24" s="6">
        <f>IFERROR(VLOOKUP(A24,'Projects Master'!$A:$I,8,0),"")</f>
        <v/>
      </c>
      <c r="I24" s="7">
        <f>IFERROR(VLOOKUP(A24,'Projects Master'!$A:$I,9,0),"")</f>
        <v/>
      </c>
      <c r="J24" s="6">
        <f>_xlfn.LET(_xlpm.t,_xlfn.MINIFS('Work Items'!P:P,'Work Items'!D:D,B24,'Work Items'!A:A,"Task"),_xlpm.b,_xlfn.MINIFS('Work Items'!P:P,'Work Items'!D:D,B24,'Work Items'!A:A,"Bug"),_xlpm.m,IF(AND(_xlpm.t=0,_xlpm.b=0),0,IF(_xlpm.t=0,_xlpm.b,IF(_xlpm.b=0,_xlpm.t,MIN(_xlpm.t,_xlpm.b)))),IF(_xlpm.m=0,G24,_xlpm.m))</f>
        <v/>
      </c>
      <c r="K24" s="6">
        <f>_xlfn.LET(_xlpm.t,_xlfn.MAXIFS('Work Items'!Q:Q,'Work Items'!D:D,B24,'Work Items'!A:A,"Task"),_xlpm.b,_xlfn.MAXIFS('Work Items'!Q:Q,'Work Items'!D:D,B24,'Work Items'!A:A,"Bug"),_xlpm.m,MAX(_xlpm.t,_xlpm.b),IF(_xlpm.m=0,H24,_xlpm.m))</f>
        <v/>
      </c>
      <c r="L24" s="8">
        <f>IFERROR(SUMIFS('Work Items'!O:O,'Work Items'!D:D,B24,'Work Items'!A:A,"Task"),0)</f>
        <v/>
      </c>
      <c r="M24" s="9">
        <f>IF(ISNUMBER(I24),I24-L24,"N/A")</f>
        <v/>
      </c>
      <c r="N24" s="10">
        <f>IF(AND(ISNUMBER(H24),K24&gt;0),INT(H24-K24),"TBD")</f>
        <v/>
      </c>
      <c r="O24" s="100">
        <f>TEXT(COUNTIFS('Work Items'!A:A,"Task",'Work Items'!D:D,B24,'Work Items'!L:L,"Completed"),"0")&amp;" / "&amp;TEXT(COUNTIFS('Work Items'!A:A,"Task",'Work Items'!D:D,B24),"0")&amp;" Tasks"</f>
        <v/>
      </c>
      <c r="P24" s="100">
        <f>TEXT(COUNTIFS('Work Items'!A:A,"Bug",'Work Items'!D:D,B24,'Work Items'!L:L,"Fixed"),"0")&amp;" / "&amp;TEXT(COUNTIFS('Work Items'!A:A,"Bug",'Work Items'!D:D,B24),"0")&amp;" Bugs"</f>
        <v/>
      </c>
      <c r="Q24" s="100">
        <f>TEXT(COUNTIFS('Work Items'!A:A,"Risk",'Work Items'!D:D,B24,'Work Items'!L:L,"Open"),"0")&amp;" Open"</f>
        <v/>
      </c>
      <c r="R24" s="100">
        <f>TEXT(COUNTIFS('Work Items'!A:A,"CR",'Work Items'!D:D,B24,'Work Items'!L:L,"Pending Approval"),"0")&amp;" Pending"</f>
        <v/>
      </c>
      <c r="S24" s="11">
        <f>IF(N24="TBD","Yellow",IF(ISNUMBER(N24),IF(N24&lt;0,"Red",IF(N24&lt;14,"Yellow","Green")),"Yellow"))</f>
        <v/>
      </c>
      <c r="T24" s="11">
        <f>IF(NOT(ISNUMBER(M24)),"Yellow",IF(M24&lt;0,"Red",IF(M24/I24&lt;0.05,"Yellow","Green")))</f>
        <v/>
      </c>
      <c r="U24" s="11">
        <f>IF(OR(S24="Red",T24="Red"),"Red",IF(OR(S24="Yellow",T24="Yellow"),"Yellow","Green"))</f>
        <v/>
      </c>
    </row>
    <row r="25">
      <c r="A25" s="2">
        <f>IFERROR(INDEX('Projects Master'!$A:$A,ROW()-1),"")</f>
        <v/>
      </c>
      <c r="B25" s="101">
        <f>IFERROR(VLOOKUP(A25,'Projects Master'!$A:$I,2,0),"")</f>
        <v/>
      </c>
      <c r="C25" s="101">
        <f>IFERROR(VLOOKUP(A25,'Projects Master'!$A:$I,3,0),"")</f>
        <v/>
      </c>
      <c r="D25" s="101">
        <f>IFERROR(VLOOKUP(A25,'Projects Master'!$A:$I,4,0),"")</f>
        <v/>
      </c>
      <c r="E25" s="4">
        <f>IFERROR(VLOOKUP(A25,'Projects Master'!$A:$I,5,0),"")</f>
        <v/>
      </c>
      <c r="F25" s="92">
        <f>IFERROR(VLOOKUP(A25,'Projects Master'!$A:$I,6,0),"")</f>
        <v/>
      </c>
      <c r="G25" s="6">
        <f>IFERROR(VLOOKUP(A25,'Projects Master'!$A:$I,7,0),"")</f>
        <v/>
      </c>
      <c r="H25" s="6">
        <f>IFERROR(VLOOKUP(A25,'Projects Master'!$A:$I,8,0),"")</f>
        <v/>
      </c>
      <c r="I25" s="7">
        <f>IFERROR(VLOOKUP(A25,'Projects Master'!$A:$I,9,0),"")</f>
        <v/>
      </c>
      <c r="J25" s="6">
        <f>_xlfn.LET(_xlpm.t,_xlfn.MINIFS('Work Items'!P:P,'Work Items'!D:D,B25,'Work Items'!A:A,"Task"),_xlpm.b,_xlfn.MINIFS('Work Items'!P:P,'Work Items'!D:D,B25,'Work Items'!A:A,"Bug"),_xlpm.m,IF(AND(_xlpm.t=0,_xlpm.b=0),0,IF(_xlpm.t=0,_xlpm.b,IF(_xlpm.b=0,_xlpm.t,MIN(_xlpm.t,_xlpm.b)))),IF(_xlpm.m=0,G25,_xlpm.m))</f>
        <v/>
      </c>
      <c r="K25" s="6">
        <f>_xlfn.LET(_xlpm.t,_xlfn.MAXIFS('Work Items'!Q:Q,'Work Items'!D:D,B25,'Work Items'!A:A,"Task"),_xlpm.b,_xlfn.MAXIFS('Work Items'!Q:Q,'Work Items'!D:D,B25,'Work Items'!A:A,"Bug"),_xlpm.m,MAX(_xlpm.t,_xlpm.b),IF(_xlpm.m=0,H25,_xlpm.m))</f>
        <v/>
      </c>
      <c r="L25" s="8">
        <f>IFERROR(SUMIFS('Work Items'!O:O,'Work Items'!D:D,B25,'Work Items'!A:A,"Task"),0)</f>
        <v/>
      </c>
      <c r="M25" s="9">
        <f>IF(ISNUMBER(I25),I25-L25,"N/A")</f>
        <v/>
      </c>
      <c r="N25" s="10">
        <f>IF(AND(ISNUMBER(H25),K25&gt;0),INT(H25-K25),"TBD")</f>
        <v/>
      </c>
      <c r="O25" s="100">
        <f>TEXT(COUNTIFS('Work Items'!A:A,"Task",'Work Items'!D:D,B25,'Work Items'!L:L,"Completed"),"0")&amp;" / "&amp;TEXT(COUNTIFS('Work Items'!A:A,"Task",'Work Items'!D:D,B25),"0")&amp;" Tasks"</f>
        <v/>
      </c>
      <c r="P25" s="100">
        <f>TEXT(COUNTIFS('Work Items'!A:A,"Bug",'Work Items'!D:D,B25,'Work Items'!L:L,"Fixed"),"0")&amp;" / "&amp;TEXT(COUNTIFS('Work Items'!A:A,"Bug",'Work Items'!D:D,B25),"0")&amp;" Bugs"</f>
        <v/>
      </c>
      <c r="Q25" s="100">
        <f>TEXT(COUNTIFS('Work Items'!A:A,"Risk",'Work Items'!D:D,B25,'Work Items'!L:L,"Open"),"0")&amp;" Open"</f>
        <v/>
      </c>
      <c r="R25" s="100">
        <f>TEXT(COUNTIFS('Work Items'!A:A,"CR",'Work Items'!D:D,B25,'Work Items'!L:L,"Pending Approval"),"0")&amp;" Pending"</f>
        <v/>
      </c>
      <c r="S25" s="11">
        <f>IF(N25="TBD","Yellow",IF(ISNUMBER(N25),IF(N25&lt;0,"Red",IF(N25&lt;14,"Yellow","Green")),"Yellow"))</f>
        <v/>
      </c>
      <c r="T25" s="11">
        <f>IF(NOT(ISNUMBER(M25)),"Yellow",IF(M25&lt;0,"Red",IF(M25/I25&lt;0.05,"Yellow","Green")))</f>
        <v/>
      </c>
      <c r="U25" s="11">
        <f>IF(OR(S25="Red",T25="Red"),"Red",IF(OR(S25="Yellow",T25="Yellow"),"Yellow","Green"))</f>
        <v/>
      </c>
    </row>
    <row r="26">
      <c r="A26" s="2">
        <f>IFERROR(INDEX('Projects Master'!$A:$A,ROW()-1),"")</f>
        <v/>
      </c>
      <c r="B26" s="101">
        <f>IFERROR(VLOOKUP(A26,'Projects Master'!$A:$I,2,0),"")</f>
        <v/>
      </c>
      <c r="C26" s="101">
        <f>IFERROR(VLOOKUP(A26,'Projects Master'!$A:$I,3,0),"")</f>
        <v/>
      </c>
      <c r="D26" s="101">
        <f>IFERROR(VLOOKUP(A26,'Projects Master'!$A:$I,4,0),"")</f>
        <v/>
      </c>
      <c r="E26" s="4">
        <f>IFERROR(VLOOKUP(A26,'Projects Master'!$A:$I,5,0),"")</f>
        <v/>
      </c>
      <c r="F26" s="92">
        <f>IFERROR(VLOOKUP(A26,'Projects Master'!$A:$I,6,0),"")</f>
        <v/>
      </c>
      <c r="G26" s="6">
        <f>IFERROR(VLOOKUP(A26,'Projects Master'!$A:$I,7,0),"")</f>
        <v/>
      </c>
      <c r="H26" s="6">
        <f>IFERROR(VLOOKUP(A26,'Projects Master'!$A:$I,8,0),"")</f>
        <v/>
      </c>
      <c r="I26" s="7">
        <f>IFERROR(VLOOKUP(A26,'Projects Master'!$A:$I,9,0),"")</f>
        <v/>
      </c>
      <c r="J26" s="6">
        <f>_xlfn.LET(_xlpm.t,_xlfn.MINIFS('Work Items'!P:P,'Work Items'!D:D,B26,'Work Items'!A:A,"Task"),_xlpm.b,_xlfn.MINIFS('Work Items'!P:P,'Work Items'!D:D,B26,'Work Items'!A:A,"Bug"),_xlpm.m,IF(AND(_xlpm.t=0,_xlpm.b=0),0,IF(_xlpm.t=0,_xlpm.b,IF(_xlpm.b=0,_xlpm.t,MIN(_xlpm.t,_xlpm.b)))),IF(_xlpm.m=0,G26,_xlpm.m))</f>
        <v/>
      </c>
      <c r="K26" s="6">
        <f>_xlfn.LET(_xlpm.t,_xlfn.MAXIFS('Work Items'!Q:Q,'Work Items'!D:D,B26,'Work Items'!A:A,"Task"),_xlpm.b,_xlfn.MAXIFS('Work Items'!Q:Q,'Work Items'!D:D,B26,'Work Items'!A:A,"Bug"),_xlpm.m,MAX(_xlpm.t,_xlpm.b),IF(_xlpm.m=0,H26,_xlpm.m))</f>
        <v/>
      </c>
      <c r="L26" s="8">
        <f>IFERROR(SUMIFS('Work Items'!O:O,'Work Items'!D:D,B26,'Work Items'!A:A,"Task"),0)</f>
        <v/>
      </c>
      <c r="M26" s="9">
        <f>IF(ISNUMBER(I26),I26-L26,"N/A")</f>
        <v/>
      </c>
      <c r="N26" s="10">
        <f>IF(AND(ISNUMBER(H26),K26&gt;0),INT(H26-K26),"TBD")</f>
        <v/>
      </c>
      <c r="O26" s="100">
        <f>TEXT(COUNTIFS('Work Items'!A:A,"Task",'Work Items'!D:D,B26,'Work Items'!L:L,"Completed"),"0")&amp;" / "&amp;TEXT(COUNTIFS('Work Items'!A:A,"Task",'Work Items'!D:D,B26),"0")&amp;" Tasks"</f>
        <v/>
      </c>
      <c r="P26" s="100">
        <f>TEXT(COUNTIFS('Work Items'!A:A,"Bug",'Work Items'!D:D,B26,'Work Items'!L:L,"Fixed"),"0")&amp;" / "&amp;TEXT(COUNTIFS('Work Items'!A:A,"Bug",'Work Items'!D:D,B26),"0")&amp;" Bugs"</f>
        <v/>
      </c>
      <c r="Q26" s="100">
        <f>TEXT(COUNTIFS('Work Items'!A:A,"Risk",'Work Items'!D:D,B26,'Work Items'!L:L,"Open"),"0")&amp;" Open"</f>
        <v/>
      </c>
      <c r="R26" s="100">
        <f>TEXT(COUNTIFS('Work Items'!A:A,"CR",'Work Items'!D:D,B26,'Work Items'!L:L,"Pending Approval"),"0")&amp;" Pending"</f>
        <v/>
      </c>
      <c r="S26" s="11">
        <f>IF(N26="TBD","Yellow",IF(ISNUMBER(N26),IF(N26&lt;0,"Red",IF(N26&lt;14,"Yellow","Green")),"Yellow"))</f>
        <v/>
      </c>
      <c r="T26" s="11">
        <f>IF(NOT(ISNUMBER(M26)),"Yellow",IF(M26&lt;0,"Red",IF(M26/I26&lt;0.05,"Yellow","Green")))</f>
        <v/>
      </c>
      <c r="U26" s="11">
        <f>IF(OR(S26="Red",T26="Red"),"Red",IF(OR(S26="Yellow",T26="Yellow"),"Yellow","Green"))</f>
        <v/>
      </c>
    </row>
    <row r="27">
      <c r="A27" s="2">
        <f>IFERROR(INDEX('Projects Master'!$A:$A,ROW()-1),"")</f>
        <v/>
      </c>
      <c r="B27" s="101">
        <f>IFERROR(VLOOKUP(A27,'Projects Master'!$A:$I,2,0),"")</f>
        <v/>
      </c>
      <c r="C27" s="101">
        <f>IFERROR(VLOOKUP(A27,'Projects Master'!$A:$I,3,0),"")</f>
        <v/>
      </c>
      <c r="D27" s="101">
        <f>IFERROR(VLOOKUP(A27,'Projects Master'!$A:$I,4,0),"")</f>
        <v/>
      </c>
      <c r="E27" s="4">
        <f>IFERROR(VLOOKUP(A27,'Projects Master'!$A:$I,5,0),"")</f>
        <v/>
      </c>
      <c r="F27" s="92">
        <f>IFERROR(VLOOKUP(A27,'Projects Master'!$A:$I,6,0),"")</f>
        <v/>
      </c>
      <c r="G27" s="6">
        <f>IFERROR(VLOOKUP(A27,'Projects Master'!$A:$I,7,0),"")</f>
        <v/>
      </c>
      <c r="H27" s="6">
        <f>IFERROR(VLOOKUP(A27,'Projects Master'!$A:$I,8,0),"")</f>
        <v/>
      </c>
      <c r="I27" s="7">
        <f>IFERROR(VLOOKUP(A27,'Projects Master'!$A:$I,9,0),"")</f>
        <v/>
      </c>
      <c r="J27" s="6">
        <f>_xlfn.LET(_xlpm.t,_xlfn.MINIFS('Work Items'!P:P,'Work Items'!D:D,B27,'Work Items'!A:A,"Task"),_xlpm.b,_xlfn.MINIFS('Work Items'!P:P,'Work Items'!D:D,B27,'Work Items'!A:A,"Bug"),_xlpm.m,IF(AND(_xlpm.t=0,_xlpm.b=0),0,IF(_xlpm.t=0,_xlpm.b,IF(_xlpm.b=0,_xlpm.t,MIN(_xlpm.t,_xlpm.b)))),IF(_xlpm.m=0,G27,_xlpm.m))</f>
        <v/>
      </c>
      <c r="K27" s="6">
        <f>_xlfn.LET(_xlpm.t,_xlfn.MAXIFS('Work Items'!Q:Q,'Work Items'!D:D,B27,'Work Items'!A:A,"Task"),_xlpm.b,_xlfn.MAXIFS('Work Items'!Q:Q,'Work Items'!D:D,B27,'Work Items'!A:A,"Bug"),_xlpm.m,MAX(_xlpm.t,_xlpm.b),IF(_xlpm.m=0,H27,_xlpm.m))</f>
        <v/>
      </c>
      <c r="L27" s="8">
        <f>IFERROR(SUMIFS('Work Items'!O:O,'Work Items'!D:D,B27,'Work Items'!A:A,"Task"),0)</f>
        <v/>
      </c>
      <c r="M27" s="9">
        <f>IF(ISNUMBER(I27),I27-L27,"N/A")</f>
        <v/>
      </c>
      <c r="N27" s="10">
        <f>IF(AND(ISNUMBER(H27),K27&gt;0),INT(H27-K27),"TBD")</f>
        <v/>
      </c>
      <c r="O27" s="100">
        <f>TEXT(COUNTIFS('Work Items'!A:A,"Task",'Work Items'!D:D,B27,'Work Items'!L:L,"Completed"),"0")&amp;" / "&amp;TEXT(COUNTIFS('Work Items'!A:A,"Task",'Work Items'!D:D,B27),"0")&amp;" Tasks"</f>
        <v/>
      </c>
      <c r="P27" s="100">
        <f>TEXT(COUNTIFS('Work Items'!A:A,"Bug",'Work Items'!D:D,B27,'Work Items'!L:L,"Fixed"),"0")&amp;" / "&amp;TEXT(COUNTIFS('Work Items'!A:A,"Bug",'Work Items'!D:D,B27),"0")&amp;" Bugs"</f>
        <v/>
      </c>
      <c r="Q27" s="100">
        <f>TEXT(COUNTIFS('Work Items'!A:A,"Risk",'Work Items'!D:D,B27,'Work Items'!L:L,"Open"),"0")&amp;" Open"</f>
        <v/>
      </c>
      <c r="R27" s="100">
        <f>TEXT(COUNTIFS('Work Items'!A:A,"CR",'Work Items'!D:D,B27,'Work Items'!L:L,"Pending Approval"),"0")&amp;" Pending"</f>
        <v/>
      </c>
      <c r="S27" s="11">
        <f>IF(N27="TBD","Yellow",IF(ISNUMBER(N27),IF(N27&lt;0,"Red",IF(N27&lt;14,"Yellow","Green")),"Yellow"))</f>
        <v/>
      </c>
      <c r="T27" s="11">
        <f>IF(NOT(ISNUMBER(M27)),"Yellow",IF(M27&lt;0,"Red",IF(M27/I27&lt;0.05,"Yellow","Green")))</f>
        <v/>
      </c>
      <c r="U27" s="11">
        <f>IF(OR(S27="Red",T27="Red"),"Red",IF(OR(S27="Yellow",T27="Yellow"),"Yellow","Green"))</f>
        <v/>
      </c>
    </row>
    <row r="28">
      <c r="A28" s="2">
        <f>IFERROR(INDEX('Projects Master'!$A:$A,ROW()-1),"")</f>
        <v/>
      </c>
      <c r="B28" s="101">
        <f>IFERROR(VLOOKUP(A28,'Projects Master'!$A:$I,2,0),"")</f>
        <v/>
      </c>
      <c r="C28" s="101">
        <f>IFERROR(VLOOKUP(A28,'Projects Master'!$A:$I,3,0),"")</f>
        <v/>
      </c>
      <c r="D28" s="101">
        <f>IFERROR(VLOOKUP(A28,'Projects Master'!$A:$I,4,0),"")</f>
        <v/>
      </c>
      <c r="E28" s="4">
        <f>IFERROR(VLOOKUP(A28,'Projects Master'!$A:$I,5,0),"")</f>
        <v/>
      </c>
      <c r="F28" s="92">
        <f>IFERROR(VLOOKUP(A28,'Projects Master'!$A:$I,6,0),"")</f>
        <v/>
      </c>
      <c r="G28" s="6">
        <f>IFERROR(VLOOKUP(A28,'Projects Master'!$A:$I,7,0),"")</f>
        <v/>
      </c>
      <c r="H28" s="6">
        <f>IFERROR(VLOOKUP(A28,'Projects Master'!$A:$I,8,0),"")</f>
        <v/>
      </c>
      <c r="I28" s="7">
        <f>IFERROR(VLOOKUP(A28,'Projects Master'!$A:$I,9,0),"")</f>
        <v/>
      </c>
      <c r="J28" s="6">
        <f>_xlfn.LET(_xlpm.t,_xlfn.MINIFS('Work Items'!P:P,'Work Items'!D:D,B28,'Work Items'!A:A,"Task"),_xlpm.b,_xlfn.MINIFS('Work Items'!P:P,'Work Items'!D:D,B28,'Work Items'!A:A,"Bug"),_xlpm.m,IF(AND(_xlpm.t=0,_xlpm.b=0),0,IF(_xlpm.t=0,_xlpm.b,IF(_xlpm.b=0,_xlpm.t,MIN(_xlpm.t,_xlpm.b)))),IF(_xlpm.m=0,G28,_xlpm.m))</f>
        <v/>
      </c>
      <c r="K28" s="6">
        <f>_xlfn.LET(_xlpm.t,_xlfn.MAXIFS('Work Items'!Q:Q,'Work Items'!D:D,B28,'Work Items'!A:A,"Task"),_xlpm.b,_xlfn.MAXIFS('Work Items'!Q:Q,'Work Items'!D:D,B28,'Work Items'!A:A,"Bug"),_xlpm.m,MAX(_xlpm.t,_xlpm.b),IF(_xlpm.m=0,H28,_xlpm.m))</f>
        <v/>
      </c>
      <c r="L28" s="8">
        <f>IFERROR(SUMIFS('Work Items'!O:O,'Work Items'!D:D,B28,'Work Items'!A:A,"Task"),0)</f>
        <v/>
      </c>
      <c r="M28" s="9">
        <f>IF(ISNUMBER(I28),I28-L28,"N/A")</f>
        <v/>
      </c>
      <c r="N28" s="10">
        <f>IF(AND(ISNUMBER(H28),K28&gt;0),INT(H28-K28),"TBD")</f>
        <v/>
      </c>
      <c r="O28" s="100">
        <f>TEXT(COUNTIFS('Work Items'!A:A,"Task",'Work Items'!D:D,B28,'Work Items'!L:L,"Completed"),"0")&amp;" / "&amp;TEXT(COUNTIFS('Work Items'!A:A,"Task",'Work Items'!D:D,B28),"0")&amp;" Tasks"</f>
        <v/>
      </c>
      <c r="P28" s="100">
        <f>TEXT(COUNTIFS('Work Items'!A:A,"Bug",'Work Items'!D:D,B28,'Work Items'!L:L,"Fixed"),"0")&amp;" / "&amp;TEXT(COUNTIFS('Work Items'!A:A,"Bug",'Work Items'!D:D,B28),"0")&amp;" Bugs"</f>
        <v/>
      </c>
      <c r="Q28" s="100">
        <f>TEXT(COUNTIFS('Work Items'!A:A,"Risk",'Work Items'!D:D,B28,'Work Items'!L:L,"Open"),"0")&amp;" Open"</f>
        <v/>
      </c>
      <c r="R28" s="100">
        <f>TEXT(COUNTIFS('Work Items'!A:A,"CR",'Work Items'!D:D,B28,'Work Items'!L:L,"Pending Approval"),"0")&amp;" Pending"</f>
        <v/>
      </c>
      <c r="S28" s="11">
        <f>IF(N28="TBD","Yellow",IF(ISNUMBER(N28),IF(N28&lt;0,"Red",IF(N28&lt;14,"Yellow","Green")),"Yellow"))</f>
        <v/>
      </c>
      <c r="T28" s="11">
        <f>IF(NOT(ISNUMBER(M28)),"Yellow",IF(M28&lt;0,"Red",IF(M28/I28&lt;0.05,"Yellow","Green")))</f>
        <v/>
      </c>
      <c r="U28" s="11">
        <f>IF(OR(S28="Red",T28="Red"),"Red",IF(OR(S28="Yellow",T28="Yellow"),"Yellow","Green"))</f>
        <v/>
      </c>
    </row>
    <row r="29">
      <c r="A29" s="2">
        <f>IFERROR(INDEX('Projects Master'!$A:$A,ROW()-1),"")</f>
        <v/>
      </c>
      <c r="B29" s="101">
        <f>IFERROR(VLOOKUP(A29,'Projects Master'!$A:$I,2,0),"")</f>
        <v/>
      </c>
      <c r="C29" s="101">
        <f>IFERROR(VLOOKUP(A29,'Projects Master'!$A:$I,3,0),"")</f>
        <v/>
      </c>
      <c r="D29" s="101">
        <f>IFERROR(VLOOKUP(A29,'Projects Master'!$A:$I,4,0),"")</f>
        <v/>
      </c>
      <c r="E29" s="4">
        <f>IFERROR(VLOOKUP(A29,'Projects Master'!$A:$I,5,0),"")</f>
        <v/>
      </c>
      <c r="F29" s="92">
        <f>IFERROR(VLOOKUP(A29,'Projects Master'!$A:$I,6,0),"")</f>
        <v/>
      </c>
      <c r="G29" s="6">
        <f>IFERROR(VLOOKUP(A29,'Projects Master'!$A:$I,7,0),"")</f>
        <v/>
      </c>
      <c r="H29" s="6">
        <f>IFERROR(VLOOKUP(A29,'Projects Master'!$A:$I,8,0),"")</f>
        <v/>
      </c>
      <c r="I29" s="7">
        <f>IFERROR(VLOOKUP(A29,'Projects Master'!$A:$I,9,0),"")</f>
        <v/>
      </c>
      <c r="J29" s="6">
        <f>_xlfn.LET(_xlpm.t,_xlfn.MINIFS('Work Items'!P:P,'Work Items'!D:D,B29,'Work Items'!A:A,"Task"),_xlpm.b,_xlfn.MINIFS('Work Items'!P:P,'Work Items'!D:D,B29,'Work Items'!A:A,"Bug"),_xlpm.m,IF(AND(_xlpm.t=0,_xlpm.b=0),0,IF(_xlpm.t=0,_xlpm.b,IF(_xlpm.b=0,_xlpm.t,MIN(_xlpm.t,_xlpm.b)))),IF(_xlpm.m=0,G29,_xlpm.m))</f>
        <v/>
      </c>
      <c r="K29" s="6">
        <f>_xlfn.LET(_xlpm.t,_xlfn.MAXIFS('Work Items'!Q:Q,'Work Items'!D:D,B29,'Work Items'!A:A,"Task"),_xlpm.b,_xlfn.MAXIFS('Work Items'!Q:Q,'Work Items'!D:D,B29,'Work Items'!A:A,"Bug"),_xlpm.m,MAX(_xlpm.t,_xlpm.b),IF(_xlpm.m=0,H29,_xlpm.m))</f>
        <v/>
      </c>
      <c r="L29" s="8">
        <f>IFERROR(SUMIFS('Work Items'!O:O,'Work Items'!D:D,B29,'Work Items'!A:A,"Task"),0)</f>
        <v/>
      </c>
      <c r="M29" s="9">
        <f>IF(ISNUMBER(I29),I29-L29,"N/A")</f>
        <v/>
      </c>
      <c r="N29" s="10">
        <f>IF(AND(ISNUMBER(H29),K29&gt;0),INT(H29-K29),"TBD")</f>
        <v/>
      </c>
      <c r="O29" s="100">
        <f>TEXT(COUNTIFS('Work Items'!A:A,"Task",'Work Items'!D:D,B29,'Work Items'!L:L,"Completed"),"0")&amp;" / "&amp;TEXT(COUNTIFS('Work Items'!A:A,"Task",'Work Items'!D:D,B29),"0")&amp;" Tasks"</f>
        <v/>
      </c>
      <c r="P29" s="100">
        <f>TEXT(COUNTIFS('Work Items'!A:A,"Bug",'Work Items'!D:D,B29,'Work Items'!L:L,"Fixed"),"0")&amp;" / "&amp;TEXT(COUNTIFS('Work Items'!A:A,"Bug",'Work Items'!D:D,B29),"0")&amp;" Bugs"</f>
        <v/>
      </c>
      <c r="Q29" s="100">
        <f>TEXT(COUNTIFS('Work Items'!A:A,"Risk",'Work Items'!D:D,B29,'Work Items'!L:L,"Open"),"0")&amp;" Open"</f>
        <v/>
      </c>
      <c r="R29" s="100">
        <f>TEXT(COUNTIFS('Work Items'!A:A,"CR",'Work Items'!D:D,B29,'Work Items'!L:L,"Pending Approval"),"0")&amp;" Pending"</f>
        <v/>
      </c>
      <c r="S29" s="11">
        <f>IF(N29="TBD","Yellow",IF(ISNUMBER(N29),IF(N29&lt;0,"Red",IF(N29&lt;14,"Yellow","Green")),"Yellow"))</f>
        <v/>
      </c>
      <c r="T29" s="11">
        <f>IF(NOT(ISNUMBER(M29)),"Yellow",IF(M29&lt;0,"Red",IF(M29/I29&lt;0.05,"Yellow","Green")))</f>
        <v/>
      </c>
      <c r="U29" s="11">
        <f>IF(OR(S29="Red",T29="Red"),"Red",IF(OR(S29="Yellow",T29="Yellow"),"Yellow","Green"))</f>
        <v/>
      </c>
    </row>
    <row r="30">
      <c r="A30" s="2">
        <f>IFERROR(INDEX('Projects Master'!$A:$A,ROW()-1),"")</f>
        <v/>
      </c>
      <c r="B30" s="101">
        <f>IFERROR(VLOOKUP(A30,'Projects Master'!$A:$I,2,0),"")</f>
        <v/>
      </c>
      <c r="C30" s="101">
        <f>IFERROR(VLOOKUP(A30,'Projects Master'!$A:$I,3,0),"")</f>
        <v/>
      </c>
      <c r="D30" s="101">
        <f>IFERROR(VLOOKUP(A30,'Projects Master'!$A:$I,4,0),"")</f>
        <v/>
      </c>
      <c r="E30" s="4">
        <f>IFERROR(VLOOKUP(A30,'Projects Master'!$A:$I,5,0),"")</f>
        <v/>
      </c>
      <c r="F30" s="92">
        <f>IFERROR(VLOOKUP(A30,'Projects Master'!$A:$I,6,0),"")</f>
        <v/>
      </c>
      <c r="G30" s="6">
        <f>IFERROR(VLOOKUP(A30,'Projects Master'!$A:$I,7,0),"")</f>
        <v/>
      </c>
      <c r="H30" s="6">
        <f>IFERROR(VLOOKUP(A30,'Projects Master'!$A:$I,8,0),"")</f>
        <v/>
      </c>
      <c r="I30" s="7">
        <f>IFERROR(VLOOKUP(A30,'Projects Master'!$A:$I,9,0),"")</f>
        <v/>
      </c>
      <c r="J30" s="6">
        <f>_xlfn.LET(_xlpm.t,_xlfn.MINIFS('Work Items'!P:P,'Work Items'!D:D,B30,'Work Items'!A:A,"Task"),_xlpm.b,_xlfn.MINIFS('Work Items'!P:P,'Work Items'!D:D,B30,'Work Items'!A:A,"Bug"),_xlpm.m,IF(AND(_xlpm.t=0,_xlpm.b=0),0,IF(_xlpm.t=0,_xlpm.b,IF(_xlpm.b=0,_xlpm.t,MIN(_xlpm.t,_xlpm.b)))),IF(_xlpm.m=0,G30,_xlpm.m))</f>
        <v/>
      </c>
      <c r="K30" s="6">
        <f>_xlfn.LET(_xlpm.t,_xlfn.MAXIFS('Work Items'!Q:Q,'Work Items'!D:D,B30,'Work Items'!A:A,"Task"),_xlpm.b,_xlfn.MAXIFS('Work Items'!Q:Q,'Work Items'!D:D,B30,'Work Items'!A:A,"Bug"),_xlpm.m,MAX(_xlpm.t,_xlpm.b),IF(_xlpm.m=0,H30,_xlpm.m))</f>
        <v/>
      </c>
      <c r="L30" s="8">
        <f>IFERROR(SUMIFS('Work Items'!O:O,'Work Items'!D:D,B30,'Work Items'!A:A,"Task"),0)</f>
        <v/>
      </c>
      <c r="M30" s="9">
        <f>IF(ISNUMBER(I30),I30-L30,"N/A")</f>
        <v/>
      </c>
      <c r="N30" s="10">
        <f>IF(AND(ISNUMBER(H30),K30&gt;0),INT(H30-K30),"TBD")</f>
        <v/>
      </c>
      <c r="O30" s="100">
        <f>TEXT(COUNTIFS('Work Items'!A:A,"Task",'Work Items'!D:D,B30,'Work Items'!L:L,"Completed"),"0")&amp;" / "&amp;TEXT(COUNTIFS('Work Items'!A:A,"Task",'Work Items'!D:D,B30),"0")&amp;" Tasks"</f>
        <v/>
      </c>
      <c r="P30" s="100">
        <f>TEXT(COUNTIFS('Work Items'!A:A,"Bug",'Work Items'!D:D,B30,'Work Items'!L:L,"Fixed"),"0")&amp;" / "&amp;TEXT(COUNTIFS('Work Items'!A:A,"Bug",'Work Items'!D:D,B30),"0")&amp;" Bugs"</f>
        <v/>
      </c>
      <c r="Q30" s="100">
        <f>TEXT(COUNTIFS('Work Items'!A:A,"Risk",'Work Items'!D:D,B30,'Work Items'!L:L,"Open"),"0")&amp;" Open"</f>
        <v/>
      </c>
      <c r="R30" s="100">
        <f>TEXT(COUNTIFS('Work Items'!A:A,"CR",'Work Items'!D:D,B30,'Work Items'!L:L,"Pending Approval"),"0")&amp;" Pending"</f>
        <v/>
      </c>
      <c r="S30" s="11">
        <f>IF(N30="TBD","Yellow",IF(ISNUMBER(N30),IF(N30&lt;0,"Red",IF(N30&lt;14,"Yellow","Green")),"Yellow"))</f>
        <v/>
      </c>
      <c r="T30" s="11">
        <f>IF(NOT(ISNUMBER(M30)),"Yellow",IF(M30&lt;0,"Red",IF(M30/I30&lt;0.05,"Yellow","Green")))</f>
        <v/>
      </c>
      <c r="U30" s="11">
        <f>IF(OR(S30="Red",T30="Red"),"Red",IF(OR(S30="Yellow",T30="Yellow"),"Yellow","Green"))</f>
        <v/>
      </c>
    </row>
    <row r="31">
      <c r="A31" s="2">
        <f>IFERROR(INDEX('Projects Master'!$A:$A,ROW()-1),"")</f>
        <v/>
      </c>
      <c r="B31" s="101">
        <f>IFERROR(VLOOKUP(A31,'Projects Master'!$A:$I,2,0),"")</f>
        <v/>
      </c>
      <c r="C31" s="101">
        <f>IFERROR(VLOOKUP(A31,'Projects Master'!$A:$I,3,0),"")</f>
        <v/>
      </c>
      <c r="D31" s="101">
        <f>IFERROR(VLOOKUP(A31,'Projects Master'!$A:$I,4,0),"")</f>
        <v/>
      </c>
      <c r="E31" s="4">
        <f>IFERROR(VLOOKUP(A31,'Projects Master'!$A:$I,5,0),"")</f>
        <v/>
      </c>
      <c r="F31" s="92">
        <f>IFERROR(VLOOKUP(A31,'Projects Master'!$A:$I,6,0),"")</f>
        <v/>
      </c>
      <c r="G31" s="6">
        <f>IFERROR(VLOOKUP(A31,'Projects Master'!$A:$I,7,0),"")</f>
        <v/>
      </c>
      <c r="H31" s="6">
        <f>IFERROR(VLOOKUP(A31,'Projects Master'!$A:$I,8,0),"")</f>
        <v/>
      </c>
      <c r="I31" s="7">
        <f>IFERROR(VLOOKUP(A31,'Projects Master'!$A:$I,9,0),"")</f>
        <v/>
      </c>
      <c r="J31" s="6">
        <f>_xlfn.LET(_xlpm.t,_xlfn.MINIFS('Work Items'!P:P,'Work Items'!D:D,B31,'Work Items'!A:A,"Task"),_xlpm.b,_xlfn.MINIFS('Work Items'!P:P,'Work Items'!D:D,B31,'Work Items'!A:A,"Bug"),_xlpm.m,IF(AND(_xlpm.t=0,_xlpm.b=0),0,IF(_xlpm.t=0,_xlpm.b,IF(_xlpm.b=0,_xlpm.t,MIN(_xlpm.t,_xlpm.b)))),IF(_xlpm.m=0,G31,_xlpm.m))</f>
        <v/>
      </c>
      <c r="K31" s="6">
        <f>_xlfn.LET(_xlpm.t,_xlfn.MAXIFS('Work Items'!Q:Q,'Work Items'!D:D,B31,'Work Items'!A:A,"Task"),_xlpm.b,_xlfn.MAXIFS('Work Items'!Q:Q,'Work Items'!D:D,B31,'Work Items'!A:A,"Bug"),_xlpm.m,MAX(_xlpm.t,_xlpm.b),IF(_xlpm.m=0,H31,_xlpm.m))</f>
        <v/>
      </c>
      <c r="L31" s="8">
        <f>IFERROR(SUMIFS('Work Items'!O:O,'Work Items'!D:D,B31,'Work Items'!A:A,"Task"),0)</f>
        <v/>
      </c>
      <c r="M31" s="9">
        <f>IF(ISNUMBER(I31),I31-L31,"N/A")</f>
        <v/>
      </c>
      <c r="N31" s="10">
        <f>IF(AND(ISNUMBER(H31),K31&gt;0),INT(H31-K31),"TBD")</f>
        <v/>
      </c>
      <c r="O31" s="100">
        <f>TEXT(COUNTIFS('Work Items'!A:A,"Task",'Work Items'!D:D,B31,'Work Items'!L:L,"Completed"),"0")&amp;" / "&amp;TEXT(COUNTIFS('Work Items'!A:A,"Task",'Work Items'!D:D,B31),"0")&amp;" Tasks"</f>
        <v/>
      </c>
      <c r="P31" s="100">
        <f>TEXT(COUNTIFS('Work Items'!A:A,"Bug",'Work Items'!D:D,B31,'Work Items'!L:L,"Fixed"),"0")&amp;" / "&amp;TEXT(COUNTIFS('Work Items'!A:A,"Bug",'Work Items'!D:D,B31),"0")&amp;" Bugs"</f>
        <v/>
      </c>
      <c r="Q31" s="100">
        <f>TEXT(COUNTIFS('Work Items'!A:A,"Risk",'Work Items'!D:D,B31,'Work Items'!L:L,"Open"),"0")&amp;" Open"</f>
        <v/>
      </c>
      <c r="R31" s="100">
        <f>TEXT(COUNTIFS('Work Items'!A:A,"CR",'Work Items'!D:D,B31,'Work Items'!L:L,"Pending Approval"),"0")&amp;" Pending"</f>
        <v/>
      </c>
      <c r="S31" s="11">
        <f>IF(N31="TBD","Yellow",IF(ISNUMBER(N31),IF(N31&lt;0,"Red",IF(N31&lt;14,"Yellow","Green")),"Yellow"))</f>
        <v/>
      </c>
      <c r="T31" s="11">
        <f>IF(NOT(ISNUMBER(M31)),"Yellow",IF(M31&lt;0,"Red",IF(M31/I31&lt;0.05,"Yellow","Green")))</f>
        <v/>
      </c>
      <c r="U31" s="11">
        <f>IF(OR(S31="Red",T31="Red"),"Red",IF(OR(S31="Yellow",T31="Yellow"),"Yellow","Green"))</f>
        <v/>
      </c>
    </row>
    <row r="32">
      <c r="A32" s="2">
        <f>IFERROR(INDEX('Projects Master'!$A:$A,ROW()-1),"")</f>
        <v/>
      </c>
      <c r="B32" s="101">
        <f>IFERROR(VLOOKUP(A32,'Projects Master'!$A:$I,2,0),"")</f>
        <v/>
      </c>
      <c r="C32" s="101">
        <f>IFERROR(VLOOKUP(A32,'Projects Master'!$A:$I,3,0),"")</f>
        <v/>
      </c>
      <c r="D32" s="101">
        <f>IFERROR(VLOOKUP(A32,'Projects Master'!$A:$I,4,0),"")</f>
        <v/>
      </c>
      <c r="E32" s="4">
        <f>IFERROR(VLOOKUP(A32,'Projects Master'!$A:$I,5,0),"")</f>
        <v/>
      </c>
      <c r="F32" s="92">
        <f>IFERROR(VLOOKUP(A32,'Projects Master'!$A:$I,6,0),"")</f>
        <v/>
      </c>
      <c r="G32" s="6">
        <f>IFERROR(VLOOKUP(A32,'Projects Master'!$A:$I,7,0),"")</f>
        <v/>
      </c>
      <c r="H32" s="6">
        <f>IFERROR(VLOOKUP(A32,'Projects Master'!$A:$I,8,0),"")</f>
        <v/>
      </c>
      <c r="I32" s="7">
        <f>IFERROR(VLOOKUP(A32,'Projects Master'!$A:$I,9,0),"")</f>
        <v/>
      </c>
      <c r="J32" s="6">
        <f>_xlfn.LET(_xlpm.t,_xlfn.MINIFS('Work Items'!P:P,'Work Items'!D:D,B32,'Work Items'!A:A,"Task"),_xlpm.b,_xlfn.MINIFS('Work Items'!P:P,'Work Items'!D:D,B32,'Work Items'!A:A,"Bug"),_xlpm.m,IF(AND(_xlpm.t=0,_xlpm.b=0),0,IF(_xlpm.t=0,_xlpm.b,IF(_xlpm.b=0,_xlpm.t,MIN(_xlpm.t,_xlpm.b)))),IF(_xlpm.m=0,G32,_xlpm.m))</f>
        <v/>
      </c>
      <c r="K32" s="6">
        <f>_xlfn.LET(_xlpm.t,_xlfn.MAXIFS('Work Items'!Q:Q,'Work Items'!D:D,B32,'Work Items'!A:A,"Task"),_xlpm.b,_xlfn.MAXIFS('Work Items'!Q:Q,'Work Items'!D:D,B32,'Work Items'!A:A,"Bug"),_xlpm.m,MAX(_xlpm.t,_xlpm.b),IF(_xlpm.m=0,H32,_xlpm.m))</f>
        <v/>
      </c>
      <c r="L32" s="8">
        <f>IFERROR(SUMIFS('Work Items'!O:O,'Work Items'!D:D,B32,'Work Items'!A:A,"Task"),0)</f>
        <v/>
      </c>
      <c r="M32" s="9">
        <f>IF(ISNUMBER(I32),I32-L32,"N/A")</f>
        <v/>
      </c>
      <c r="N32" s="10">
        <f>IF(AND(ISNUMBER(H32),K32&gt;0),INT(H32-K32),"TBD")</f>
        <v/>
      </c>
      <c r="O32" s="100">
        <f>TEXT(COUNTIFS('Work Items'!A:A,"Task",'Work Items'!D:D,B32,'Work Items'!L:L,"Completed"),"0")&amp;" / "&amp;TEXT(COUNTIFS('Work Items'!A:A,"Task",'Work Items'!D:D,B32),"0")&amp;" Tasks"</f>
        <v/>
      </c>
      <c r="P32" s="100">
        <f>TEXT(COUNTIFS('Work Items'!A:A,"Bug",'Work Items'!D:D,B32,'Work Items'!L:L,"Fixed"),"0")&amp;" / "&amp;TEXT(COUNTIFS('Work Items'!A:A,"Bug",'Work Items'!D:D,B32),"0")&amp;" Bugs"</f>
        <v/>
      </c>
      <c r="Q32" s="100">
        <f>TEXT(COUNTIFS('Work Items'!A:A,"Risk",'Work Items'!D:D,B32,'Work Items'!L:L,"Open"),"0")&amp;" Open"</f>
        <v/>
      </c>
      <c r="R32" s="100">
        <f>TEXT(COUNTIFS('Work Items'!A:A,"CR",'Work Items'!D:D,B32,'Work Items'!L:L,"Pending Approval"),"0")&amp;" Pending"</f>
        <v/>
      </c>
      <c r="S32" s="11">
        <f>IF(N32="TBD","Yellow",IF(ISNUMBER(N32),IF(N32&lt;0,"Red",IF(N32&lt;14,"Yellow","Green")),"Yellow"))</f>
        <v/>
      </c>
      <c r="T32" s="11">
        <f>IF(NOT(ISNUMBER(M32)),"Yellow",IF(M32&lt;0,"Red",IF(M32/I32&lt;0.05,"Yellow","Green")))</f>
        <v/>
      </c>
      <c r="U32" s="11">
        <f>IF(OR(S32="Red",T32="Red"),"Red",IF(OR(S32="Yellow",T32="Yellow"),"Yellow","Green"))</f>
        <v/>
      </c>
    </row>
    <row r="33">
      <c r="A33" s="2">
        <f>IFERROR(INDEX('Projects Master'!$A:$A,ROW()-1),"")</f>
        <v/>
      </c>
      <c r="B33" s="101">
        <f>IFERROR(VLOOKUP(A33,'Projects Master'!$A:$I,2,0),"")</f>
        <v/>
      </c>
      <c r="C33" s="101">
        <f>IFERROR(VLOOKUP(A33,'Projects Master'!$A:$I,3,0),"")</f>
        <v/>
      </c>
      <c r="D33" s="101">
        <f>IFERROR(VLOOKUP(A33,'Projects Master'!$A:$I,4,0),"")</f>
        <v/>
      </c>
      <c r="E33" s="4">
        <f>IFERROR(VLOOKUP(A33,'Projects Master'!$A:$I,5,0),"")</f>
        <v/>
      </c>
      <c r="F33" s="92">
        <f>IFERROR(VLOOKUP(A33,'Projects Master'!$A:$I,6,0),"")</f>
        <v/>
      </c>
      <c r="G33" s="6">
        <f>IFERROR(VLOOKUP(A33,'Projects Master'!$A:$I,7,0),"")</f>
        <v/>
      </c>
      <c r="H33" s="6">
        <f>IFERROR(VLOOKUP(A33,'Projects Master'!$A:$I,8,0),"")</f>
        <v/>
      </c>
      <c r="I33" s="7">
        <f>IFERROR(VLOOKUP(A33,'Projects Master'!$A:$I,9,0),"")</f>
        <v/>
      </c>
      <c r="J33" s="6">
        <f>_xlfn.LET(_xlpm.t,_xlfn.MINIFS('Work Items'!P:P,'Work Items'!D:D,B33,'Work Items'!A:A,"Task"),_xlpm.b,_xlfn.MINIFS('Work Items'!P:P,'Work Items'!D:D,B33,'Work Items'!A:A,"Bug"),_xlpm.m,IF(AND(_xlpm.t=0,_xlpm.b=0),0,IF(_xlpm.t=0,_xlpm.b,IF(_xlpm.b=0,_xlpm.t,MIN(_xlpm.t,_xlpm.b)))),IF(_xlpm.m=0,G33,_xlpm.m))</f>
        <v/>
      </c>
      <c r="K33" s="6">
        <f>_xlfn.LET(_xlpm.t,_xlfn.MAXIFS('Work Items'!Q:Q,'Work Items'!D:D,B33,'Work Items'!A:A,"Task"),_xlpm.b,_xlfn.MAXIFS('Work Items'!Q:Q,'Work Items'!D:D,B33,'Work Items'!A:A,"Bug"),_xlpm.m,MAX(_xlpm.t,_xlpm.b),IF(_xlpm.m=0,H33,_xlpm.m))</f>
        <v/>
      </c>
      <c r="L33" s="8">
        <f>IFERROR(SUMIFS('Work Items'!O:O,'Work Items'!D:D,B33,'Work Items'!A:A,"Task"),0)</f>
        <v/>
      </c>
      <c r="M33" s="9">
        <f>IF(ISNUMBER(I33),I33-L33,"N/A")</f>
        <v/>
      </c>
      <c r="N33" s="10">
        <f>IF(AND(ISNUMBER(H33),K33&gt;0),INT(H33-K33),"TBD")</f>
        <v/>
      </c>
      <c r="O33" s="100">
        <f>TEXT(COUNTIFS('Work Items'!A:A,"Task",'Work Items'!D:D,B33,'Work Items'!L:L,"Completed"),"0")&amp;" / "&amp;TEXT(COUNTIFS('Work Items'!A:A,"Task",'Work Items'!D:D,B33),"0")&amp;" Tasks"</f>
        <v/>
      </c>
      <c r="P33" s="100">
        <f>TEXT(COUNTIFS('Work Items'!A:A,"Bug",'Work Items'!D:D,B33,'Work Items'!L:L,"Fixed"),"0")&amp;" / "&amp;TEXT(COUNTIFS('Work Items'!A:A,"Bug",'Work Items'!D:D,B33),"0")&amp;" Bugs"</f>
        <v/>
      </c>
      <c r="Q33" s="100">
        <f>TEXT(COUNTIFS('Work Items'!A:A,"Risk",'Work Items'!D:D,B33,'Work Items'!L:L,"Open"),"0")&amp;" Open"</f>
        <v/>
      </c>
      <c r="R33" s="100">
        <f>TEXT(COUNTIFS('Work Items'!A:A,"CR",'Work Items'!D:D,B33,'Work Items'!L:L,"Pending Approval"),"0")&amp;" Pending"</f>
        <v/>
      </c>
      <c r="S33" s="11">
        <f>IF(N33="TBD","Yellow",IF(ISNUMBER(N33),IF(N33&lt;0,"Red",IF(N33&lt;14,"Yellow","Green")),"Yellow"))</f>
        <v/>
      </c>
      <c r="T33" s="11">
        <f>IF(NOT(ISNUMBER(M33)),"Yellow",IF(M33&lt;0,"Red",IF(M33/I33&lt;0.05,"Yellow","Green")))</f>
        <v/>
      </c>
      <c r="U33" s="11">
        <f>IF(OR(S33="Red",T33="Red"),"Red",IF(OR(S33="Yellow",T33="Yellow"),"Yellow","Green"))</f>
        <v/>
      </c>
    </row>
    <row r="34">
      <c r="A34" s="2">
        <f>IFERROR(INDEX('Projects Master'!$A:$A,ROW()-1),"")</f>
        <v/>
      </c>
      <c r="B34" s="101">
        <f>IFERROR(VLOOKUP(A34,'Projects Master'!$A:$I,2,0),"")</f>
        <v/>
      </c>
      <c r="C34" s="101">
        <f>IFERROR(VLOOKUP(A34,'Projects Master'!$A:$I,3,0),"")</f>
        <v/>
      </c>
      <c r="D34" s="101">
        <f>IFERROR(VLOOKUP(A34,'Projects Master'!$A:$I,4,0),"")</f>
        <v/>
      </c>
      <c r="E34" s="4">
        <f>IFERROR(VLOOKUP(A34,'Projects Master'!$A:$I,5,0),"")</f>
        <v/>
      </c>
      <c r="F34" s="92">
        <f>IFERROR(VLOOKUP(A34,'Projects Master'!$A:$I,6,0),"")</f>
        <v/>
      </c>
      <c r="G34" s="6">
        <f>IFERROR(VLOOKUP(A34,'Projects Master'!$A:$I,7,0),"")</f>
        <v/>
      </c>
      <c r="H34" s="6">
        <f>IFERROR(VLOOKUP(A34,'Projects Master'!$A:$I,8,0),"")</f>
        <v/>
      </c>
      <c r="I34" s="7">
        <f>IFERROR(VLOOKUP(A34,'Projects Master'!$A:$I,9,0),"")</f>
        <v/>
      </c>
      <c r="J34" s="6">
        <f>_xlfn.LET(_xlpm.t,_xlfn.MINIFS('Work Items'!P:P,'Work Items'!D:D,B34,'Work Items'!A:A,"Task"),_xlpm.b,_xlfn.MINIFS('Work Items'!P:P,'Work Items'!D:D,B34,'Work Items'!A:A,"Bug"),_xlpm.m,IF(AND(_xlpm.t=0,_xlpm.b=0),0,IF(_xlpm.t=0,_xlpm.b,IF(_xlpm.b=0,_xlpm.t,MIN(_xlpm.t,_xlpm.b)))),IF(_xlpm.m=0,G34,_xlpm.m))</f>
        <v/>
      </c>
      <c r="K34" s="6">
        <f>_xlfn.LET(_xlpm.t,_xlfn.MAXIFS('Work Items'!Q:Q,'Work Items'!D:D,B34,'Work Items'!A:A,"Task"),_xlpm.b,_xlfn.MAXIFS('Work Items'!Q:Q,'Work Items'!D:D,B34,'Work Items'!A:A,"Bug"),_xlpm.m,MAX(_xlpm.t,_xlpm.b),IF(_xlpm.m=0,H34,_xlpm.m))</f>
        <v/>
      </c>
      <c r="L34" s="8">
        <f>IFERROR(SUMIFS('Work Items'!O:O,'Work Items'!D:D,B34,'Work Items'!A:A,"Task"),0)</f>
        <v/>
      </c>
      <c r="M34" s="9">
        <f>IF(ISNUMBER(I34),I34-L34,"N/A")</f>
        <v/>
      </c>
      <c r="N34" s="10">
        <f>IF(AND(ISNUMBER(H34),K34&gt;0),INT(H34-K34),"TBD")</f>
        <v/>
      </c>
      <c r="O34" s="100">
        <f>TEXT(COUNTIFS('Work Items'!A:A,"Task",'Work Items'!D:D,B34,'Work Items'!L:L,"Completed"),"0")&amp;" / "&amp;TEXT(COUNTIFS('Work Items'!A:A,"Task",'Work Items'!D:D,B34),"0")&amp;" Tasks"</f>
        <v/>
      </c>
      <c r="P34" s="100">
        <f>TEXT(COUNTIFS('Work Items'!A:A,"Bug",'Work Items'!D:D,B34,'Work Items'!L:L,"Fixed"),"0")&amp;" / "&amp;TEXT(COUNTIFS('Work Items'!A:A,"Bug",'Work Items'!D:D,B34),"0")&amp;" Bugs"</f>
        <v/>
      </c>
      <c r="Q34" s="100">
        <f>TEXT(COUNTIFS('Work Items'!A:A,"Risk",'Work Items'!D:D,B34,'Work Items'!L:L,"Open"),"0")&amp;" Open"</f>
        <v/>
      </c>
      <c r="R34" s="100">
        <f>TEXT(COUNTIFS('Work Items'!A:A,"CR",'Work Items'!D:D,B34,'Work Items'!L:L,"Pending Approval"),"0")&amp;" Pending"</f>
        <v/>
      </c>
      <c r="S34" s="11">
        <f>IF(N34="TBD","Yellow",IF(ISNUMBER(N34),IF(N34&lt;0,"Red",IF(N34&lt;14,"Yellow","Green")),"Yellow"))</f>
        <v/>
      </c>
      <c r="T34" s="11">
        <f>IF(NOT(ISNUMBER(M34)),"Yellow",IF(M34&lt;0,"Red",IF(M34/I34&lt;0.05,"Yellow","Green")))</f>
        <v/>
      </c>
      <c r="U34" s="11">
        <f>IF(OR(S34="Red",T34="Red"),"Red",IF(OR(S34="Yellow",T34="Yellow"),"Yellow","Green"))</f>
        <v/>
      </c>
    </row>
    <row r="35">
      <c r="A35" s="2">
        <f>IFERROR(INDEX('Projects Master'!$A:$A,ROW()-1),"")</f>
        <v/>
      </c>
      <c r="B35" s="101">
        <f>IFERROR(VLOOKUP(A35,'Projects Master'!$A:$I,2,0),"")</f>
        <v/>
      </c>
      <c r="C35" s="101">
        <f>IFERROR(VLOOKUP(A35,'Projects Master'!$A:$I,3,0),"")</f>
        <v/>
      </c>
      <c r="D35" s="101">
        <f>IFERROR(VLOOKUP(A35,'Projects Master'!$A:$I,4,0),"")</f>
        <v/>
      </c>
      <c r="E35" s="4">
        <f>IFERROR(VLOOKUP(A35,'Projects Master'!$A:$I,5,0),"")</f>
        <v/>
      </c>
      <c r="F35" s="92">
        <f>IFERROR(VLOOKUP(A35,'Projects Master'!$A:$I,6,0),"")</f>
        <v/>
      </c>
      <c r="G35" s="6">
        <f>IFERROR(VLOOKUP(A35,'Projects Master'!$A:$I,7,0),"")</f>
        <v/>
      </c>
      <c r="H35" s="6">
        <f>IFERROR(VLOOKUP(A35,'Projects Master'!$A:$I,8,0),"")</f>
        <v/>
      </c>
      <c r="I35" s="7">
        <f>IFERROR(VLOOKUP(A35,'Projects Master'!$A:$I,9,0),"")</f>
        <v/>
      </c>
      <c r="J35" s="6">
        <f>_xlfn.LET(_xlpm.t,_xlfn.MINIFS('Work Items'!P:P,'Work Items'!D:D,B35,'Work Items'!A:A,"Task"),_xlpm.b,_xlfn.MINIFS('Work Items'!P:P,'Work Items'!D:D,B35,'Work Items'!A:A,"Bug"),_xlpm.m,IF(AND(_xlpm.t=0,_xlpm.b=0),0,IF(_xlpm.t=0,_xlpm.b,IF(_xlpm.b=0,_xlpm.t,MIN(_xlpm.t,_xlpm.b)))),IF(_xlpm.m=0,G35,_xlpm.m))</f>
        <v/>
      </c>
      <c r="K35" s="6">
        <f>_xlfn.LET(_xlpm.t,_xlfn.MAXIFS('Work Items'!Q:Q,'Work Items'!D:D,B35,'Work Items'!A:A,"Task"),_xlpm.b,_xlfn.MAXIFS('Work Items'!Q:Q,'Work Items'!D:D,B35,'Work Items'!A:A,"Bug"),_xlpm.m,MAX(_xlpm.t,_xlpm.b),IF(_xlpm.m=0,H35,_xlpm.m))</f>
        <v/>
      </c>
      <c r="L35" s="8">
        <f>IFERROR(SUMIFS('Work Items'!O:O,'Work Items'!D:D,B35,'Work Items'!A:A,"Task"),0)</f>
        <v/>
      </c>
      <c r="M35" s="9">
        <f>IF(ISNUMBER(I35),I35-L35,"N/A")</f>
        <v/>
      </c>
      <c r="N35" s="10">
        <f>IF(AND(ISNUMBER(H35),K35&gt;0),INT(H35-K35),"TBD")</f>
        <v/>
      </c>
      <c r="O35" s="100">
        <f>TEXT(COUNTIFS('Work Items'!A:A,"Task",'Work Items'!D:D,B35,'Work Items'!L:L,"Completed"),"0")&amp;" / "&amp;TEXT(COUNTIFS('Work Items'!A:A,"Task",'Work Items'!D:D,B35),"0")&amp;" Tasks"</f>
        <v/>
      </c>
      <c r="P35" s="100">
        <f>TEXT(COUNTIFS('Work Items'!A:A,"Bug",'Work Items'!D:D,B35,'Work Items'!L:L,"Fixed"),"0")&amp;" / "&amp;TEXT(COUNTIFS('Work Items'!A:A,"Bug",'Work Items'!D:D,B35),"0")&amp;" Bugs"</f>
        <v/>
      </c>
      <c r="Q35" s="100">
        <f>TEXT(COUNTIFS('Work Items'!A:A,"Risk",'Work Items'!D:D,B35,'Work Items'!L:L,"Open"),"0")&amp;" Open"</f>
        <v/>
      </c>
      <c r="R35" s="100">
        <f>TEXT(COUNTIFS('Work Items'!A:A,"CR",'Work Items'!D:D,B35,'Work Items'!L:L,"Pending Approval"),"0")&amp;" Pending"</f>
        <v/>
      </c>
      <c r="S35" s="11">
        <f>IF(N35="TBD","Yellow",IF(ISNUMBER(N35),IF(N35&lt;0,"Red",IF(N35&lt;14,"Yellow","Green")),"Yellow"))</f>
        <v/>
      </c>
      <c r="T35" s="11">
        <f>IF(NOT(ISNUMBER(M35)),"Yellow",IF(M35&lt;0,"Red",IF(M35/I35&lt;0.05,"Yellow","Green")))</f>
        <v/>
      </c>
      <c r="U35" s="11">
        <f>IF(OR(S35="Red",T35="Red"),"Red",IF(OR(S35="Yellow",T35="Yellow"),"Yellow","Green"))</f>
        <v/>
      </c>
    </row>
    <row r="36">
      <c r="A36" s="2">
        <f>IFERROR(INDEX('Projects Master'!$A:$A,ROW()-1),"")</f>
        <v/>
      </c>
      <c r="B36" s="101">
        <f>IFERROR(VLOOKUP(A36,'Projects Master'!$A:$I,2,0),"")</f>
        <v/>
      </c>
      <c r="C36" s="101">
        <f>IFERROR(VLOOKUP(A36,'Projects Master'!$A:$I,3,0),"")</f>
        <v/>
      </c>
      <c r="D36" s="101">
        <f>IFERROR(VLOOKUP(A36,'Projects Master'!$A:$I,4,0),"")</f>
        <v/>
      </c>
      <c r="E36" s="4">
        <f>IFERROR(VLOOKUP(A36,'Projects Master'!$A:$I,5,0),"")</f>
        <v/>
      </c>
      <c r="F36" s="92">
        <f>IFERROR(VLOOKUP(A36,'Projects Master'!$A:$I,6,0),"")</f>
        <v/>
      </c>
      <c r="G36" s="6">
        <f>IFERROR(VLOOKUP(A36,'Projects Master'!$A:$I,7,0),"")</f>
        <v/>
      </c>
      <c r="H36" s="6">
        <f>IFERROR(VLOOKUP(A36,'Projects Master'!$A:$I,8,0),"")</f>
        <v/>
      </c>
      <c r="I36" s="7">
        <f>IFERROR(VLOOKUP(A36,'Projects Master'!$A:$I,9,0),"")</f>
        <v/>
      </c>
      <c r="J36" s="6">
        <f>_xlfn.LET(_xlpm.t,_xlfn.MINIFS('Work Items'!P:P,'Work Items'!D:D,B36,'Work Items'!A:A,"Task"),_xlpm.b,_xlfn.MINIFS('Work Items'!P:P,'Work Items'!D:D,B36,'Work Items'!A:A,"Bug"),_xlpm.m,IF(AND(_xlpm.t=0,_xlpm.b=0),0,IF(_xlpm.t=0,_xlpm.b,IF(_xlpm.b=0,_xlpm.t,MIN(_xlpm.t,_xlpm.b)))),IF(_xlpm.m=0,G36,_xlpm.m))</f>
        <v/>
      </c>
      <c r="K36" s="6">
        <f>_xlfn.LET(_xlpm.t,_xlfn.MAXIFS('Work Items'!Q:Q,'Work Items'!D:D,B36,'Work Items'!A:A,"Task"),_xlpm.b,_xlfn.MAXIFS('Work Items'!Q:Q,'Work Items'!D:D,B36,'Work Items'!A:A,"Bug"),_xlpm.m,MAX(_xlpm.t,_xlpm.b),IF(_xlpm.m=0,H36,_xlpm.m))</f>
        <v/>
      </c>
      <c r="L36" s="8">
        <f>IFERROR(SUMIFS('Work Items'!O:O,'Work Items'!D:D,B36,'Work Items'!A:A,"Task"),0)</f>
        <v/>
      </c>
      <c r="M36" s="9">
        <f>IF(ISNUMBER(I36),I36-L36,"N/A")</f>
        <v/>
      </c>
      <c r="N36" s="10">
        <f>IF(AND(ISNUMBER(H36),K36&gt;0),INT(H36-K36),"TBD")</f>
        <v/>
      </c>
      <c r="O36" s="100">
        <f>TEXT(COUNTIFS('Work Items'!A:A,"Task",'Work Items'!D:D,B36,'Work Items'!L:L,"Completed"),"0")&amp;" / "&amp;TEXT(COUNTIFS('Work Items'!A:A,"Task",'Work Items'!D:D,B36),"0")&amp;" Tasks"</f>
        <v/>
      </c>
      <c r="P36" s="100">
        <f>TEXT(COUNTIFS('Work Items'!A:A,"Bug",'Work Items'!D:D,B36,'Work Items'!L:L,"Fixed"),"0")&amp;" / "&amp;TEXT(COUNTIFS('Work Items'!A:A,"Bug",'Work Items'!D:D,B36),"0")&amp;" Bugs"</f>
        <v/>
      </c>
      <c r="Q36" s="100">
        <f>TEXT(COUNTIFS('Work Items'!A:A,"Risk",'Work Items'!D:D,B36,'Work Items'!L:L,"Open"),"0")&amp;" Open"</f>
        <v/>
      </c>
      <c r="R36" s="100">
        <f>TEXT(COUNTIFS('Work Items'!A:A,"CR",'Work Items'!D:D,B36,'Work Items'!L:L,"Pending Approval"),"0")&amp;" Pending"</f>
        <v/>
      </c>
      <c r="S36" s="11">
        <f>IF(N36="TBD","Yellow",IF(ISNUMBER(N36),IF(N36&lt;0,"Red",IF(N36&lt;14,"Yellow","Green")),"Yellow"))</f>
        <v/>
      </c>
      <c r="T36" s="11">
        <f>IF(NOT(ISNUMBER(M36)),"Yellow",IF(M36&lt;0,"Red",IF(M36/I36&lt;0.05,"Yellow","Green")))</f>
        <v/>
      </c>
      <c r="U36" s="11">
        <f>IF(OR(S36="Red",T36="Red"),"Red",IF(OR(S36="Yellow",T36="Yellow"),"Yellow","Green"))</f>
        <v/>
      </c>
    </row>
    <row r="37">
      <c r="A37" s="2">
        <f>IFERROR(INDEX('Projects Master'!$A:$A,ROW()-1),"")</f>
        <v/>
      </c>
      <c r="B37" s="101">
        <f>IFERROR(VLOOKUP(A37,'Projects Master'!$A:$I,2,0),"")</f>
        <v/>
      </c>
      <c r="C37" s="101">
        <f>IFERROR(VLOOKUP(A37,'Projects Master'!$A:$I,3,0),"")</f>
        <v/>
      </c>
      <c r="D37" s="101">
        <f>IFERROR(VLOOKUP(A37,'Projects Master'!$A:$I,4,0),"")</f>
        <v/>
      </c>
      <c r="E37" s="4">
        <f>IFERROR(VLOOKUP(A37,'Projects Master'!$A:$I,5,0),"")</f>
        <v/>
      </c>
      <c r="F37" s="92">
        <f>IFERROR(VLOOKUP(A37,'Projects Master'!$A:$I,6,0),"")</f>
        <v/>
      </c>
      <c r="G37" s="6">
        <f>IFERROR(VLOOKUP(A37,'Projects Master'!$A:$I,7,0),"")</f>
        <v/>
      </c>
      <c r="H37" s="6">
        <f>IFERROR(VLOOKUP(A37,'Projects Master'!$A:$I,8,0),"")</f>
        <v/>
      </c>
      <c r="I37" s="7">
        <f>IFERROR(VLOOKUP(A37,'Projects Master'!$A:$I,9,0),"")</f>
        <v/>
      </c>
      <c r="J37" s="6">
        <f>_xlfn.LET(_xlpm.t,_xlfn.MINIFS('Work Items'!P:P,'Work Items'!D:D,B37,'Work Items'!A:A,"Task"),_xlpm.b,_xlfn.MINIFS('Work Items'!P:P,'Work Items'!D:D,B37,'Work Items'!A:A,"Bug"),_xlpm.m,IF(AND(_xlpm.t=0,_xlpm.b=0),0,IF(_xlpm.t=0,_xlpm.b,IF(_xlpm.b=0,_xlpm.t,MIN(_xlpm.t,_xlpm.b)))),IF(_xlpm.m=0,G37,_xlpm.m))</f>
        <v/>
      </c>
      <c r="K37" s="6">
        <f>_xlfn.LET(_xlpm.t,_xlfn.MAXIFS('Work Items'!Q:Q,'Work Items'!D:D,B37,'Work Items'!A:A,"Task"),_xlpm.b,_xlfn.MAXIFS('Work Items'!Q:Q,'Work Items'!D:D,B37,'Work Items'!A:A,"Bug"),_xlpm.m,MAX(_xlpm.t,_xlpm.b),IF(_xlpm.m=0,H37,_xlpm.m))</f>
        <v/>
      </c>
      <c r="L37" s="8">
        <f>IFERROR(SUMIFS('Work Items'!O:O,'Work Items'!D:D,B37,'Work Items'!A:A,"Task"),0)</f>
        <v/>
      </c>
      <c r="M37" s="9">
        <f>IF(ISNUMBER(I37),I37-L37,"N/A")</f>
        <v/>
      </c>
      <c r="N37" s="10">
        <f>IF(AND(ISNUMBER(H37),K37&gt;0),INT(H37-K37),"TBD")</f>
        <v/>
      </c>
      <c r="O37" s="100">
        <f>TEXT(COUNTIFS('Work Items'!A:A,"Task",'Work Items'!D:D,B37,'Work Items'!L:L,"Completed"),"0")&amp;" / "&amp;TEXT(COUNTIFS('Work Items'!A:A,"Task",'Work Items'!D:D,B37),"0")&amp;" Tasks"</f>
        <v/>
      </c>
      <c r="P37" s="100">
        <f>TEXT(COUNTIFS('Work Items'!A:A,"Bug",'Work Items'!D:D,B37,'Work Items'!L:L,"Fixed"),"0")&amp;" / "&amp;TEXT(COUNTIFS('Work Items'!A:A,"Bug",'Work Items'!D:D,B37),"0")&amp;" Bugs"</f>
        <v/>
      </c>
      <c r="Q37" s="100">
        <f>TEXT(COUNTIFS('Work Items'!A:A,"Risk",'Work Items'!D:D,B37,'Work Items'!L:L,"Open"),"0")&amp;" Open"</f>
        <v/>
      </c>
      <c r="R37" s="100">
        <f>TEXT(COUNTIFS('Work Items'!A:A,"CR",'Work Items'!D:D,B37,'Work Items'!L:L,"Pending Approval"),"0")&amp;" Pending"</f>
        <v/>
      </c>
      <c r="S37" s="11">
        <f>IF(N37="TBD","Yellow",IF(ISNUMBER(N37),IF(N37&lt;0,"Red",IF(N37&lt;14,"Yellow","Green")),"Yellow"))</f>
        <v/>
      </c>
      <c r="T37" s="11">
        <f>IF(NOT(ISNUMBER(M37)),"Yellow",IF(M37&lt;0,"Red",IF(M37/I37&lt;0.05,"Yellow","Green")))</f>
        <v/>
      </c>
      <c r="U37" s="11">
        <f>IF(OR(S37="Red",T37="Red"),"Red",IF(OR(S37="Yellow",T37="Yellow"),"Yellow","Green"))</f>
        <v/>
      </c>
    </row>
    <row r="38">
      <c r="A38" s="2">
        <f>IFERROR(INDEX('Projects Master'!$A:$A,ROW()-1),"")</f>
        <v/>
      </c>
      <c r="B38" s="101">
        <f>IFERROR(VLOOKUP(A38,'Projects Master'!$A:$I,2,0),"")</f>
        <v/>
      </c>
      <c r="C38" s="101">
        <f>IFERROR(VLOOKUP(A38,'Projects Master'!$A:$I,3,0),"")</f>
        <v/>
      </c>
      <c r="D38" s="101">
        <f>IFERROR(VLOOKUP(A38,'Projects Master'!$A:$I,4,0),"")</f>
        <v/>
      </c>
      <c r="E38" s="4">
        <f>IFERROR(VLOOKUP(A38,'Projects Master'!$A:$I,5,0),"")</f>
        <v/>
      </c>
      <c r="F38" s="92">
        <f>IFERROR(VLOOKUP(A38,'Projects Master'!$A:$I,6,0),"")</f>
        <v/>
      </c>
      <c r="G38" s="6">
        <f>IFERROR(VLOOKUP(A38,'Projects Master'!$A:$I,7,0),"")</f>
        <v/>
      </c>
      <c r="H38" s="6">
        <f>IFERROR(VLOOKUP(A38,'Projects Master'!$A:$I,8,0),"")</f>
        <v/>
      </c>
      <c r="I38" s="7">
        <f>IFERROR(VLOOKUP(A38,'Projects Master'!$A:$I,9,0),"")</f>
        <v/>
      </c>
      <c r="J38" s="6">
        <f>_xlfn.LET(_xlpm.t,_xlfn.MINIFS('Work Items'!P:P,'Work Items'!D:D,B38,'Work Items'!A:A,"Task"),_xlpm.b,_xlfn.MINIFS('Work Items'!P:P,'Work Items'!D:D,B38,'Work Items'!A:A,"Bug"),_xlpm.m,IF(AND(_xlpm.t=0,_xlpm.b=0),0,IF(_xlpm.t=0,_xlpm.b,IF(_xlpm.b=0,_xlpm.t,MIN(_xlpm.t,_xlpm.b)))),IF(_xlpm.m=0,G38,_xlpm.m))</f>
        <v/>
      </c>
      <c r="K38" s="6">
        <f>_xlfn.LET(_xlpm.t,_xlfn.MAXIFS('Work Items'!Q:Q,'Work Items'!D:D,B38,'Work Items'!A:A,"Task"),_xlpm.b,_xlfn.MAXIFS('Work Items'!Q:Q,'Work Items'!D:D,B38,'Work Items'!A:A,"Bug"),_xlpm.m,MAX(_xlpm.t,_xlpm.b),IF(_xlpm.m=0,H38,_xlpm.m))</f>
        <v/>
      </c>
      <c r="L38" s="8">
        <f>IFERROR(SUMIFS('Work Items'!O:O,'Work Items'!D:D,B38,'Work Items'!A:A,"Task"),0)</f>
        <v/>
      </c>
      <c r="M38" s="9">
        <f>IF(ISNUMBER(I38),I38-L38,"N/A")</f>
        <v/>
      </c>
      <c r="N38" s="10">
        <f>IF(AND(ISNUMBER(H38),K38&gt;0),INT(H38-K38),"TBD")</f>
        <v/>
      </c>
      <c r="O38" s="100">
        <f>TEXT(COUNTIFS('Work Items'!A:A,"Task",'Work Items'!D:D,B38,'Work Items'!L:L,"Completed"),"0")&amp;" / "&amp;TEXT(COUNTIFS('Work Items'!A:A,"Task",'Work Items'!D:D,B38),"0")&amp;" Tasks"</f>
        <v/>
      </c>
      <c r="P38" s="100">
        <f>TEXT(COUNTIFS('Work Items'!A:A,"Bug",'Work Items'!D:D,B38,'Work Items'!L:L,"Fixed"),"0")&amp;" / "&amp;TEXT(COUNTIFS('Work Items'!A:A,"Bug",'Work Items'!D:D,B38),"0")&amp;" Bugs"</f>
        <v/>
      </c>
      <c r="Q38" s="100">
        <f>TEXT(COUNTIFS('Work Items'!A:A,"Risk",'Work Items'!D:D,B38,'Work Items'!L:L,"Open"),"0")&amp;" Open"</f>
        <v/>
      </c>
      <c r="R38" s="100">
        <f>TEXT(COUNTIFS('Work Items'!A:A,"CR",'Work Items'!D:D,B38,'Work Items'!L:L,"Pending Approval"),"0")&amp;" Pending"</f>
        <v/>
      </c>
      <c r="S38" s="11">
        <f>IF(N38="TBD","Yellow",IF(ISNUMBER(N38),IF(N38&lt;0,"Red",IF(N38&lt;14,"Yellow","Green")),"Yellow"))</f>
        <v/>
      </c>
      <c r="T38" s="11">
        <f>IF(NOT(ISNUMBER(M38)),"Yellow",IF(M38&lt;0,"Red",IF(M38/I38&lt;0.05,"Yellow","Green")))</f>
        <v/>
      </c>
      <c r="U38" s="11">
        <f>IF(OR(S38="Red",T38="Red"),"Red",IF(OR(S38="Yellow",T38="Yellow"),"Yellow","Green"))</f>
        <v/>
      </c>
    </row>
    <row r="39">
      <c r="A39" s="2">
        <f>IFERROR(INDEX('Projects Master'!$A:$A,ROW()-1),"")</f>
        <v/>
      </c>
      <c r="B39" s="101">
        <f>IFERROR(VLOOKUP(A39,'Projects Master'!$A:$I,2,0),"")</f>
        <v/>
      </c>
      <c r="C39" s="101">
        <f>IFERROR(VLOOKUP(A39,'Projects Master'!$A:$I,3,0),"")</f>
        <v/>
      </c>
      <c r="D39" s="101">
        <f>IFERROR(VLOOKUP(A39,'Projects Master'!$A:$I,4,0),"")</f>
        <v/>
      </c>
      <c r="E39" s="4">
        <f>IFERROR(VLOOKUP(A39,'Projects Master'!$A:$I,5,0),"")</f>
        <v/>
      </c>
      <c r="F39" s="92">
        <f>IFERROR(VLOOKUP(A39,'Projects Master'!$A:$I,6,0),"")</f>
        <v/>
      </c>
      <c r="G39" s="6">
        <f>IFERROR(VLOOKUP(A39,'Projects Master'!$A:$I,7,0),"")</f>
        <v/>
      </c>
      <c r="H39" s="6">
        <f>IFERROR(VLOOKUP(A39,'Projects Master'!$A:$I,8,0),"")</f>
        <v/>
      </c>
      <c r="I39" s="7">
        <f>IFERROR(VLOOKUP(A39,'Projects Master'!$A:$I,9,0),"")</f>
        <v/>
      </c>
      <c r="J39" s="6">
        <f>_xlfn.LET(_xlpm.t,_xlfn.MINIFS('Work Items'!P:P,'Work Items'!D:D,B39,'Work Items'!A:A,"Task"),_xlpm.b,_xlfn.MINIFS('Work Items'!P:P,'Work Items'!D:D,B39,'Work Items'!A:A,"Bug"),_xlpm.m,IF(AND(_xlpm.t=0,_xlpm.b=0),0,IF(_xlpm.t=0,_xlpm.b,IF(_xlpm.b=0,_xlpm.t,MIN(_xlpm.t,_xlpm.b)))),IF(_xlpm.m=0,G39,_xlpm.m))</f>
        <v/>
      </c>
      <c r="K39" s="6">
        <f>_xlfn.LET(_xlpm.t,_xlfn.MAXIFS('Work Items'!Q:Q,'Work Items'!D:D,B39,'Work Items'!A:A,"Task"),_xlpm.b,_xlfn.MAXIFS('Work Items'!Q:Q,'Work Items'!D:D,B39,'Work Items'!A:A,"Bug"),_xlpm.m,MAX(_xlpm.t,_xlpm.b),IF(_xlpm.m=0,H39,_xlpm.m))</f>
        <v/>
      </c>
      <c r="L39" s="8">
        <f>IFERROR(SUMIFS('Work Items'!O:O,'Work Items'!D:D,B39,'Work Items'!A:A,"Task"),0)</f>
        <v/>
      </c>
      <c r="M39" s="9">
        <f>IF(ISNUMBER(I39),I39-L39,"N/A")</f>
        <v/>
      </c>
      <c r="N39" s="10">
        <f>IF(AND(ISNUMBER(H39),K39&gt;0),INT(H39-K39),"TBD")</f>
        <v/>
      </c>
      <c r="O39" s="100">
        <f>TEXT(COUNTIFS('Work Items'!A:A,"Task",'Work Items'!D:D,B39,'Work Items'!L:L,"Completed"),"0")&amp;" / "&amp;TEXT(COUNTIFS('Work Items'!A:A,"Task",'Work Items'!D:D,B39),"0")&amp;" Tasks"</f>
        <v/>
      </c>
      <c r="P39" s="100">
        <f>TEXT(COUNTIFS('Work Items'!A:A,"Bug",'Work Items'!D:D,B39,'Work Items'!L:L,"Fixed"),"0")&amp;" / "&amp;TEXT(COUNTIFS('Work Items'!A:A,"Bug",'Work Items'!D:D,B39),"0")&amp;" Bugs"</f>
        <v/>
      </c>
      <c r="Q39" s="100">
        <f>TEXT(COUNTIFS('Work Items'!A:A,"Risk",'Work Items'!D:D,B39,'Work Items'!L:L,"Open"),"0")&amp;" Open"</f>
        <v/>
      </c>
      <c r="R39" s="100">
        <f>TEXT(COUNTIFS('Work Items'!A:A,"CR",'Work Items'!D:D,B39,'Work Items'!L:L,"Pending Approval"),"0")&amp;" Pending"</f>
        <v/>
      </c>
      <c r="S39" s="11">
        <f>IF(N39="TBD","Yellow",IF(ISNUMBER(N39),IF(N39&lt;0,"Red",IF(N39&lt;14,"Yellow","Green")),"Yellow"))</f>
        <v/>
      </c>
      <c r="T39" s="11">
        <f>IF(NOT(ISNUMBER(M39)),"Yellow",IF(M39&lt;0,"Red",IF(M39/I39&lt;0.05,"Yellow","Green")))</f>
        <v/>
      </c>
      <c r="U39" s="11">
        <f>IF(OR(S39="Red",T39="Red"),"Red",IF(OR(S39="Yellow",T39="Yellow"),"Yellow","Green"))</f>
        <v/>
      </c>
    </row>
    <row r="40">
      <c r="A40" s="2">
        <f>IFERROR(INDEX('Projects Master'!$A:$A,ROW()-1),"")</f>
        <v/>
      </c>
      <c r="B40" s="101">
        <f>IFERROR(VLOOKUP(A40,'Projects Master'!$A:$I,2,0),"")</f>
        <v/>
      </c>
      <c r="C40" s="101">
        <f>IFERROR(VLOOKUP(A40,'Projects Master'!$A:$I,3,0),"")</f>
        <v/>
      </c>
      <c r="D40" s="101">
        <f>IFERROR(VLOOKUP(A40,'Projects Master'!$A:$I,4,0),"")</f>
        <v/>
      </c>
      <c r="E40" s="4">
        <f>IFERROR(VLOOKUP(A40,'Projects Master'!$A:$I,5,0),"")</f>
        <v/>
      </c>
      <c r="F40" s="92">
        <f>IFERROR(VLOOKUP(A40,'Projects Master'!$A:$I,6,0),"")</f>
        <v/>
      </c>
      <c r="G40" s="6">
        <f>IFERROR(VLOOKUP(A40,'Projects Master'!$A:$I,7,0),"")</f>
        <v/>
      </c>
      <c r="H40" s="6">
        <f>IFERROR(VLOOKUP(A40,'Projects Master'!$A:$I,8,0),"")</f>
        <v/>
      </c>
      <c r="I40" s="7">
        <f>IFERROR(VLOOKUP(A40,'Projects Master'!$A:$I,9,0),"")</f>
        <v/>
      </c>
      <c r="J40" s="6">
        <f>_xlfn.LET(_xlpm.t,_xlfn.MINIFS('Work Items'!P:P,'Work Items'!D:D,B40,'Work Items'!A:A,"Task"),_xlpm.b,_xlfn.MINIFS('Work Items'!P:P,'Work Items'!D:D,B40,'Work Items'!A:A,"Bug"),_xlpm.m,IF(AND(_xlpm.t=0,_xlpm.b=0),0,IF(_xlpm.t=0,_xlpm.b,IF(_xlpm.b=0,_xlpm.t,MIN(_xlpm.t,_xlpm.b)))),IF(_xlpm.m=0,G40,_xlpm.m))</f>
        <v/>
      </c>
      <c r="K40" s="6">
        <f>_xlfn.LET(_xlpm.t,_xlfn.MAXIFS('Work Items'!Q:Q,'Work Items'!D:D,B40,'Work Items'!A:A,"Task"),_xlpm.b,_xlfn.MAXIFS('Work Items'!Q:Q,'Work Items'!D:D,B40,'Work Items'!A:A,"Bug"),_xlpm.m,MAX(_xlpm.t,_xlpm.b),IF(_xlpm.m=0,H40,_xlpm.m))</f>
        <v/>
      </c>
      <c r="L40" s="8">
        <f>IFERROR(SUMIFS('Work Items'!O:O,'Work Items'!D:D,B40,'Work Items'!A:A,"Task"),0)</f>
        <v/>
      </c>
      <c r="M40" s="9">
        <f>IF(ISNUMBER(I40),I40-L40,"N/A")</f>
        <v/>
      </c>
      <c r="N40" s="10">
        <f>IF(AND(ISNUMBER(H40),K40&gt;0),INT(H40-K40),"TBD")</f>
        <v/>
      </c>
      <c r="O40" s="100">
        <f>TEXT(COUNTIFS('Work Items'!A:A,"Task",'Work Items'!D:D,B40,'Work Items'!L:L,"Completed"),"0")&amp;" / "&amp;TEXT(COUNTIFS('Work Items'!A:A,"Task",'Work Items'!D:D,B40),"0")&amp;" Tasks"</f>
        <v/>
      </c>
      <c r="P40" s="100">
        <f>TEXT(COUNTIFS('Work Items'!A:A,"Bug",'Work Items'!D:D,B40,'Work Items'!L:L,"Fixed"),"0")&amp;" / "&amp;TEXT(COUNTIFS('Work Items'!A:A,"Bug",'Work Items'!D:D,B40),"0")&amp;" Bugs"</f>
        <v/>
      </c>
      <c r="Q40" s="100">
        <f>TEXT(COUNTIFS('Work Items'!A:A,"Risk",'Work Items'!D:D,B40,'Work Items'!L:L,"Open"),"0")&amp;" Open"</f>
        <v/>
      </c>
      <c r="R40" s="100">
        <f>TEXT(COUNTIFS('Work Items'!A:A,"CR",'Work Items'!D:D,B40,'Work Items'!L:L,"Pending Approval"),"0")&amp;" Pending"</f>
        <v/>
      </c>
      <c r="S40" s="11">
        <f>IF(N40="TBD","Yellow",IF(ISNUMBER(N40),IF(N40&lt;0,"Red",IF(N40&lt;14,"Yellow","Green")),"Yellow"))</f>
        <v/>
      </c>
      <c r="T40" s="11">
        <f>IF(NOT(ISNUMBER(M40)),"Yellow",IF(M40&lt;0,"Red",IF(M40/I40&lt;0.05,"Yellow","Green")))</f>
        <v/>
      </c>
      <c r="U40" s="11">
        <f>IF(OR(S40="Red",T40="Red"),"Red",IF(OR(S40="Yellow",T40="Yellow"),"Yellow","Green"))</f>
        <v/>
      </c>
    </row>
    <row r="41">
      <c r="A41" s="2">
        <f>IFERROR(INDEX('Projects Master'!$A:$A,ROW()-1),"")</f>
        <v/>
      </c>
      <c r="B41" s="101">
        <f>IFERROR(VLOOKUP(A41,'Projects Master'!$A:$I,2,0),"")</f>
        <v/>
      </c>
      <c r="C41" s="101">
        <f>IFERROR(VLOOKUP(A41,'Projects Master'!$A:$I,3,0),"")</f>
        <v/>
      </c>
      <c r="D41" s="101">
        <f>IFERROR(VLOOKUP(A41,'Projects Master'!$A:$I,4,0),"")</f>
        <v/>
      </c>
      <c r="E41" s="4">
        <f>IFERROR(VLOOKUP(A41,'Projects Master'!$A:$I,5,0),"")</f>
        <v/>
      </c>
      <c r="F41" s="92">
        <f>IFERROR(VLOOKUP(A41,'Projects Master'!$A:$I,6,0),"")</f>
        <v/>
      </c>
      <c r="G41" s="6">
        <f>IFERROR(VLOOKUP(A41,'Projects Master'!$A:$I,7,0),"")</f>
        <v/>
      </c>
      <c r="H41" s="6">
        <f>IFERROR(VLOOKUP(A41,'Projects Master'!$A:$I,8,0),"")</f>
        <v/>
      </c>
      <c r="I41" s="7">
        <f>IFERROR(VLOOKUP(A41,'Projects Master'!$A:$I,9,0),"")</f>
        <v/>
      </c>
      <c r="J41" s="6">
        <f>_xlfn.LET(_xlpm.t,_xlfn.MINIFS('Work Items'!P:P,'Work Items'!D:D,B41,'Work Items'!A:A,"Task"),_xlpm.b,_xlfn.MINIFS('Work Items'!P:P,'Work Items'!D:D,B41,'Work Items'!A:A,"Bug"),_xlpm.m,IF(AND(_xlpm.t=0,_xlpm.b=0),0,IF(_xlpm.t=0,_xlpm.b,IF(_xlpm.b=0,_xlpm.t,MIN(_xlpm.t,_xlpm.b)))),IF(_xlpm.m=0,G41,_xlpm.m))</f>
        <v/>
      </c>
      <c r="K41" s="6">
        <f>_xlfn.LET(_xlpm.t,_xlfn.MAXIFS('Work Items'!Q:Q,'Work Items'!D:D,B41,'Work Items'!A:A,"Task"),_xlpm.b,_xlfn.MAXIFS('Work Items'!Q:Q,'Work Items'!D:D,B41,'Work Items'!A:A,"Bug"),_xlpm.m,MAX(_xlpm.t,_xlpm.b),IF(_xlpm.m=0,H41,_xlpm.m))</f>
        <v/>
      </c>
      <c r="L41" s="8">
        <f>IFERROR(SUMIFS('Work Items'!O:O,'Work Items'!D:D,B41,'Work Items'!A:A,"Task"),0)</f>
        <v/>
      </c>
      <c r="M41" s="9">
        <f>IF(ISNUMBER(I41),I41-L41,"N/A")</f>
        <v/>
      </c>
      <c r="N41" s="10">
        <f>IF(AND(ISNUMBER(H41),K41&gt;0),INT(H41-K41),"TBD")</f>
        <v/>
      </c>
      <c r="O41" s="100">
        <f>TEXT(COUNTIFS('Work Items'!A:A,"Task",'Work Items'!D:D,B41,'Work Items'!L:L,"Completed"),"0")&amp;" / "&amp;TEXT(COUNTIFS('Work Items'!A:A,"Task",'Work Items'!D:D,B41),"0")&amp;" Tasks"</f>
        <v/>
      </c>
      <c r="P41" s="100">
        <f>TEXT(COUNTIFS('Work Items'!A:A,"Bug",'Work Items'!D:D,B41,'Work Items'!L:L,"Fixed"),"0")&amp;" / "&amp;TEXT(COUNTIFS('Work Items'!A:A,"Bug",'Work Items'!D:D,B41),"0")&amp;" Bugs"</f>
        <v/>
      </c>
      <c r="Q41" s="100">
        <f>TEXT(COUNTIFS('Work Items'!A:A,"Risk",'Work Items'!D:D,B41,'Work Items'!L:L,"Open"),"0")&amp;" Open"</f>
        <v/>
      </c>
      <c r="R41" s="100">
        <f>TEXT(COUNTIFS('Work Items'!A:A,"CR",'Work Items'!D:D,B41,'Work Items'!L:L,"Pending Approval"),"0")&amp;" Pending"</f>
        <v/>
      </c>
      <c r="S41" s="11">
        <f>IF(N41="TBD","Yellow",IF(ISNUMBER(N41),IF(N41&lt;0,"Red",IF(N41&lt;14,"Yellow","Green")),"Yellow"))</f>
        <v/>
      </c>
      <c r="T41" s="11">
        <f>IF(NOT(ISNUMBER(M41)),"Yellow",IF(M41&lt;0,"Red",IF(M41/I41&lt;0.05,"Yellow","Green")))</f>
        <v/>
      </c>
      <c r="U41" s="11">
        <f>IF(OR(S41="Red",T41="Red"),"Red",IF(OR(S41="Yellow",T41="Yellow"),"Yellow","Green"))</f>
        <v/>
      </c>
    </row>
    <row r="42">
      <c r="A42" s="2">
        <f>IFERROR(INDEX('Projects Master'!$A:$A,ROW()-1),"")</f>
        <v/>
      </c>
      <c r="B42" s="101">
        <f>IFERROR(VLOOKUP(A42,'Projects Master'!$A:$I,2,0),"")</f>
        <v/>
      </c>
      <c r="C42" s="101">
        <f>IFERROR(VLOOKUP(A42,'Projects Master'!$A:$I,3,0),"")</f>
        <v/>
      </c>
      <c r="D42" s="101">
        <f>IFERROR(VLOOKUP(A42,'Projects Master'!$A:$I,4,0),"")</f>
        <v/>
      </c>
      <c r="E42" s="4">
        <f>IFERROR(VLOOKUP(A42,'Projects Master'!$A:$I,5,0),"")</f>
        <v/>
      </c>
      <c r="F42" s="92">
        <f>IFERROR(VLOOKUP(A42,'Projects Master'!$A:$I,6,0),"")</f>
        <v/>
      </c>
      <c r="G42" s="6">
        <f>IFERROR(VLOOKUP(A42,'Projects Master'!$A:$I,7,0),"")</f>
        <v/>
      </c>
      <c r="H42" s="6">
        <f>IFERROR(VLOOKUP(A42,'Projects Master'!$A:$I,8,0),"")</f>
        <v/>
      </c>
      <c r="I42" s="7">
        <f>IFERROR(VLOOKUP(A42,'Projects Master'!$A:$I,9,0),"")</f>
        <v/>
      </c>
      <c r="J42" s="6">
        <f>_xlfn.LET(_xlpm.t,_xlfn.MINIFS('Work Items'!P:P,'Work Items'!D:D,B42,'Work Items'!A:A,"Task"),_xlpm.b,_xlfn.MINIFS('Work Items'!P:P,'Work Items'!D:D,B42,'Work Items'!A:A,"Bug"),_xlpm.m,IF(AND(_xlpm.t=0,_xlpm.b=0),0,IF(_xlpm.t=0,_xlpm.b,IF(_xlpm.b=0,_xlpm.t,MIN(_xlpm.t,_xlpm.b)))),IF(_xlpm.m=0,G42,_xlpm.m))</f>
        <v/>
      </c>
      <c r="K42" s="6">
        <f>_xlfn.LET(_xlpm.t,_xlfn.MAXIFS('Work Items'!Q:Q,'Work Items'!D:D,B42,'Work Items'!A:A,"Task"),_xlpm.b,_xlfn.MAXIFS('Work Items'!Q:Q,'Work Items'!D:D,B42,'Work Items'!A:A,"Bug"),_xlpm.m,MAX(_xlpm.t,_xlpm.b),IF(_xlpm.m=0,H42,_xlpm.m))</f>
        <v/>
      </c>
      <c r="L42" s="8">
        <f>IFERROR(SUMIFS('Work Items'!O:O,'Work Items'!D:D,B42,'Work Items'!A:A,"Task"),0)</f>
        <v/>
      </c>
      <c r="M42" s="9">
        <f>IF(ISNUMBER(I42),I42-L42,"N/A")</f>
        <v/>
      </c>
      <c r="N42" s="10">
        <f>IF(AND(ISNUMBER(H42),K42&gt;0),INT(H42-K42),"TBD")</f>
        <v/>
      </c>
      <c r="O42" s="100">
        <f>TEXT(COUNTIFS('Work Items'!A:A,"Task",'Work Items'!D:D,B42,'Work Items'!L:L,"Completed"),"0")&amp;" / "&amp;TEXT(COUNTIFS('Work Items'!A:A,"Task",'Work Items'!D:D,B42),"0")&amp;" Tasks"</f>
        <v/>
      </c>
      <c r="P42" s="100">
        <f>TEXT(COUNTIFS('Work Items'!A:A,"Bug",'Work Items'!D:D,B42,'Work Items'!L:L,"Fixed"),"0")&amp;" / "&amp;TEXT(COUNTIFS('Work Items'!A:A,"Bug",'Work Items'!D:D,B42),"0")&amp;" Bugs"</f>
        <v/>
      </c>
      <c r="Q42" s="100">
        <f>TEXT(COUNTIFS('Work Items'!A:A,"Risk",'Work Items'!D:D,B42,'Work Items'!L:L,"Open"),"0")&amp;" Open"</f>
        <v/>
      </c>
      <c r="R42" s="100">
        <f>TEXT(COUNTIFS('Work Items'!A:A,"CR",'Work Items'!D:D,B42,'Work Items'!L:L,"Pending Approval"),"0")&amp;" Pending"</f>
        <v/>
      </c>
      <c r="S42" s="11">
        <f>IF(N42="TBD","Yellow",IF(ISNUMBER(N42),IF(N42&lt;0,"Red",IF(N42&lt;14,"Yellow","Green")),"Yellow"))</f>
        <v/>
      </c>
      <c r="T42" s="11">
        <f>IF(NOT(ISNUMBER(M42)),"Yellow",IF(M42&lt;0,"Red",IF(M42/I42&lt;0.05,"Yellow","Green")))</f>
        <v/>
      </c>
      <c r="U42" s="11">
        <f>IF(OR(S42="Red",T42="Red"),"Red",IF(OR(S42="Yellow",T42="Yellow"),"Yellow","Green"))</f>
        <v/>
      </c>
    </row>
    <row r="43">
      <c r="A43" s="2">
        <f>IFERROR(INDEX('Projects Master'!$A:$A,ROW()-1),"")</f>
        <v/>
      </c>
      <c r="B43" s="101">
        <f>IFERROR(VLOOKUP(A43,'Projects Master'!$A:$I,2,0),"")</f>
        <v/>
      </c>
      <c r="C43" s="101">
        <f>IFERROR(VLOOKUP(A43,'Projects Master'!$A:$I,3,0),"")</f>
        <v/>
      </c>
      <c r="D43" s="101">
        <f>IFERROR(VLOOKUP(A43,'Projects Master'!$A:$I,4,0),"")</f>
        <v/>
      </c>
      <c r="E43" s="4">
        <f>IFERROR(VLOOKUP(A43,'Projects Master'!$A:$I,5,0),"")</f>
        <v/>
      </c>
      <c r="F43" s="92">
        <f>IFERROR(VLOOKUP(A43,'Projects Master'!$A:$I,6,0),"")</f>
        <v/>
      </c>
      <c r="G43" s="6">
        <f>IFERROR(VLOOKUP(A43,'Projects Master'!$A:$I,7,0),"")</f>
        <v/>
      </c>
      <c r="H43" s="6">
        <f>IFERROR(VLOOKUP(A43,'Projects Master'!$A:$I,8,0),"")</f>
        <v/>
      </c>
      <c r="I43" s="7">
        <f>IFERROR(VLOOKUP(A43,'Projects Master'!$A:$I,9,0),"")</f>
        <v/>
      </c>
      <c r="J43" s="6">
        <f>_xlfn.LET(_xlpm.t,_xlfn.MINIFS('Work Items'!P:P,'Work Items'!D:D,B43,'Work Items'!A:A,"Task"),_xlpm.b,_xlfn.MINIFS('Work Items'!P:P,'Work Items'!D:D,B43,'Work Items'!A:A,"Bug"),_xlpm.m,IF(AND(_xlpm.t=0,_xlpm.b=0),0,IF(_xlpm.t=0,_xlpm.b,IF(_xlpm.b=0,_xlpm.t,MIN(_xlpm.t,_xlpm.b)))),IF(_xlpm.m=0,G43,_xlpm.m))</f>
        <v/>
      </c>
      <c r="K43" s="6">
        <f>_xlfn.LET(_xlpm.t,_xlfn.MAXIFS('Work Items'!Q:Q,'Work Items'!D:D,B43,'Work Items'!A:A,"Task"),_xlpm.b,_xlfn.MAXIFS('Work Items'!Q:Q,'Work Items'!D:D,B43,'Work Items'!A:A,"Bug"),_xlpm.m,MAX(_xlpm.t,_xlpm.b),IF(_xlpm.m=0,H43,_xlpm.m))</f>
        <v/>
      </c>
      <c r="L43" s="8">
        <f>IFERROR(SUMIFS('Work Items'!O:O,'Work Items'!D:D,B43,'Work Items'!A:A,"Task"),0)</f>
        <v/>
      </c>
      <c r="M43" s="9">
        <f>IF(ISNUMBER(I43),I43-L43,"N/A")</f>
        <v/>
      </c>
      <c r="N43" s="10">
        <f>IF(AND(ISNUMBER(H43),K43&gt;0),INT(H43-K43),"TBD")</f>
        <v/>
      </c>
      <c r="O43" s="100">
        <f>TEXT(COUNTIFS('Work Items'!A:A,"Task",'Work Items'!D:D,B43,'Work Items'!L:L,"Completed"),"0")&amp;" / "&amp;TEXT(COUNTIFS('Work Items'!A:A,"Task",'Work Items'!D:D,B43),"0")&amp;" Tasks"</f>
        <v/>
      </c>
      <c r="P43" s="100">
        <f>TEXT(COUNTIFS('Work Items'!A:A,"Bug",'Work Items'!D:D,B43,'Work Items'!L:L,"Fixed"),"0")&amp;" / "&amp;TEXT(COUNTIFS('Work Items'!A:A,"Bug",'Work Items'!D:D,B43),"0")&amp;" Bugs"</f>
        <v/>
      </c>
      <c r="Q43" s="100">
        <f>TEXT(COUNTIFS('Work Items'!A:A,"Risk",'Work Items'!D:D,B43,'Work Items'!L:L,"Open"),"0")&amp;" Open"</f>
        <v/>
      </c>
      <c r="R43" s="100">
        <f>TEXT(COUNTIFS('Work Items'!A:A,"CR",'Work Items'!D:D,B43,'Work Items'!L:L,"Pending Approval"),"0")&amp;" Pending"</f>
        <v/>
      </c>
      <c r="S43" s="11">
        <f>IF(N43="TBD","Yellow",IF(ISNUMBER(N43),IF(N43&lt;0,"Red",IF(N43&lt;14,"Yellow","Green")),"Yellow"))</f>
        <v/>
      </c>
      <c r="T43" s="11">
        <f>IF(NOT(ISNUMBER(M43)),"Yellow",IF(M43&lt;0,"Red",IF(M43/I43&lt;0.05,"Yellow","Green")))</f>
        <v/>
      </c>
      <c r="U43" s="11">
        <f>IF(OR(S43="Red",T43="Red"),"Red",IF(OR(S43="Yellow",T43="Yellow"),"Yellow","Green"))</f>
        <v/>
      </c>
    </row>
    <row r="44">
      <c r="A44" s="2">
        <f>IFERROR(INDEX('Projects Master'!$A:$A,ROW()-1),"")</f>
        <v/>
      </c>
      <c r="B44" s="101">
        <f>IFERROR(VLOOKUP(A44,'Projects Master'!$A:$I,2,0),"")</f>
        <v/>
      </c>
      <c r="C44" s="101">
        <f>IFERROR(VLOOKUP(A44,'Projects Master'!$A:$I,3,0),"")</f>
        <v/>
      </c>
      <c r="D44" s="101">
        <f>IFERROR(VLOOKUP(A44,'Projects Master'!$A:$I,4,0),"")</f>
        <v/>
      </c>
      <c r="E44" s="4">
        <f>IFERROR(VLOOKUP(A44,'Projects Master'!$A:$I,5,0),"")</f>
        <v/>
      </c>
      <c r="F44" s="92">
        <f>IFERROR(VLOOKUP(A44,'Projects Master'!$A:$I,6,0),"")</f>
        <v/>
      </c>
      <c r="G44" s="6">
        <f>IFERROR(VLOOKUP(A44,'Projects Master'!$A:$I,7,0),"")</f>
        <v/>
      </c>
      <c r="H44" s="6">
        <f>IFERROR(VLOOKUP(A44,'Projects Master'!$A:$I,8,0),"")</f>
        <v/>
      </c>
      <c r="I44" s="7">
        <f>IFERROR(VLOOKUP(A44,'Projects Master'!$A:$I,9,0),"")</f>
        <v/>
      </c>
      <c r="J44" s="6">
        <f>_xlfn.LET(_xlpm.t,_xlfn.MINIFS('Work Items'!P:P,'Work Items'!D:D,B44,'Work Items'!A:A,"Task"),_xlpm.b,_xlfn.MINIFS('Work Items'!P:P,'Work Items'!D:D,B44,'Work Items'!A:A,"Bug"),_xlpm.m,IF(AND(_xlpm.t=0,_xlpm.b=0),0,IF(_xlpm.t=0,_xlpm.b,IF(_xlpm.b=0,_xlpm.t,MIN(_xlpm.t,_xlpm.b)))),IF(_xlpm.m=0,G44,_xlpm.m))</f>
        <v/>
      </c>
      <c r="K44" s="6">
        <f>_xlfn.LET(_xlpm.t,_xlfn.MAXIFS('Work Items'!Q:Q,'Work Items'!D:D,B44,'Work Items'!A:A,"Task"),_xlpm.b,_xlfn.MAXIFS('Work Items'!Q:Q,'Work Items'!D:D,B44,'Work Items'!A:A,"Bug"),_xlpm.m,MAX(_xlpm.t,_xlpm.b),IF(_xlpm.m=0,H44,_xlpm.m))</f>
        <v/>
      </c>
      <c r="L44" s="8">
        <f>IFERROR(SUMIFS('Work Items'!O:O,'Work Items'!D:D,B44,'Work Items'!A:A,"Task"),0)</f>
        <v/>
      </c>
      <c r="M44" s="9">
        <f>IF(ISNUMBER(I44),I44-L44,"N/A")</f>
        <v/>
      </c>
      <c r="N44" s="10">
        <f>IF(AND(ISNUMBER(H44),K44&gt;0),INT(H44-K44),"TBD")</f>
        <v/>
      </c>
      <c r="O44" s="100">
        <f>TEXT(COUNTIFS('Work Items'!A:A,"Task",'Work Items'!D:D,B44,'Work Items'!L:L,"Completed"),"0")&amp;" / "&amp;TEXT(COUNTIFS('Work Items'!A:A,"Task",'Work Items'!D:D,B44),"0")&amp;" Tasks"</f>
        <v/>
      </c>
      <c r="P44" s="100">
        <f>TEXT(COUNTIFS('Work Items'!A:A,"Bug",'Work Items'!D:D,B44,'Work Items'!L:L,"Fixed"),"0")&amp;" / "&amp;TEXT(COUNTIFS('Work Items'!A:A,"Bug",'Work Items'!D:D,B44),"0")&amp;" Bugs"</f>
        <v/>
      </c>
      <c r="Q44" s="100">
        <f>TEXT(COUNTIFS('Work Items'!A:A,"Risk",'Work Items'!D:D,B44,'Work Items'!L:L,"Open"),"0")&amp;" Open"</f>
        <v/>
      </c>
      <c r="R44" s="100">
        <f>TEXT(COUNTIFS('Work Items'!A:A,"CR",'Work Items'!D:D,B44,'Work Items'!L:L,"Pending Approval"),"0")&amp;" Pending"</f>
        <v/>
      </c>
      <c r="S44" s="11">
        <f>IF(N44="TBD","Yellow",IF(ISNUMBER(N44),IF(N44&lt;0,"Red",IF(N44&lt;14,"Yellow","Green")),"Yellow"))</f>
        <v/>
      </c>
      <c r="T44" s="11">
        <f>IF(NOT(ISNUMBER(M44)),"Yellow",IF(M44&lt;0,"Red",IF(M44/I44&lt;0.05,"Yellow","Green")))</f>
        <v/>
      </c>
      <c r="U44" s="11">
        <f>IF(OR(S44="Red",T44="Red"),"Red",IF(OR(S44="Yellow",T44="Yellow"),"Yellow","Green"))</f>
        <v/>
      </c>
    </row>
    <row r="45">
      <c r="A45" s="2">
        <f>IFERROR(INDEX('Projects Master'!$A:$A,ROW()-1),"")</f>
        <v/>
      </c>
      <c r="B45" s="101">
        <f>IFERROR(VLOOKUP(A45,'Projects Master'!$A:$I,2,0),"")</f>
        <v/>
      </c>
      <c r="C45" s="101">
        <f>IFERROR(VLOOKUP(A45,'Projects Master'!$A:$I,3,0),"")</f>
        <v/>
      </c>
      <c r="D45" s="101">
        <f>IFERROR(VLOOKUP(A45,'Projects Master'!$A:$I,4,0),"")</f>
        <v/>
      </c>
      <c r="E45" s="4">
        <f>IFERROR(VLOOKUP(A45,'Projects Master'!$A:$I,5,0),"")</f>
        <v/>
      </c>
      <c r="F45" s="92">
        <f>IFERROR(VLOOKUP(A45,'Projects Master'!$A:$I,6,0),"")</f>
        <v/>
      </c>
      <c r="G45" s="6">
        <f>IFERROR(VLOOKUP(A45,'Projects Master'!$A:$I,7,0),"")</f>
        <v/>
      </c>
      <c r="H45" s="6">
        <f>IFERROR(VLOOKUP(A45,'Projects Master'!$A:$I,8,0),"")</f>
        <v/>
      </c>
      <c r="I45" s="7">
        <f>IFERROR(VLOOKUP(A45,'Projects Master'!$A:$I,9,0),"")</f>
        <v/>
      </c>
      <c r="J45" s="6">
        <f>_xlfn.LET(_xlpm.t,_xlfn.MINIFS('Work Items'!P:P,'Work Items'!D:D,B45,'Work Items'!A:A,"Task"),_xlpm.b,_xlfn.MINIFS('Work Items'!P:P,'Work Items'!D:D,B45,'Work Items'!A:A,"Bug"),_xlpm.m,IF(AND(_xlpm.t=0,_xlpm.b=0),0,IF(_xlpm.t=0,_xlpm.b,IF(_xlpm.b=0,_xlpm.t,MIN(_xlpm.t,_xlpm.b)))),IF(_xlpm.m=0,G45,_xlpm.m))</f>
        <v/>
      </c>
      <c r="K45" s="6">
        <f>_xlfn.LET(_xlpm.t,_xlfn.MAXIFS('Work Items'!Q:Q,'Work Items'!D:D,B45,'Work Items'!A:A,"Task"),_xlpm.b,_xlfn.MAXIFS('Work Items'!Q:Q,'Work Items'!D:D,B45,'Work Items'!A:A,"Bug"),_xlpm.m,MAX(_xlpm.t,_xlpm.b),IF(_xlpm.m=0,H45,_xlpm.m))</f>
        <v/>
      </c>
      <c r="L45" s="8">
        <f>IFERROR(SUMIFS('Work Items'!O:O,'Work Items'!D:D,B45,'Work Items'!A:A,"Task"),0)</f>
        <v/>
      </c>
      <c r="M45" s="9">
        <f>IF(ISNUMBER(I45),I45-L45,"N/A")</f>
        <v/>
      </c>
      <c r="N45" s="10">
        <f>IF(AND(ISNUMBER(H45),K45&gt;0),INT(H45-K45),"TBD")</f>
        <v/>
      </c>
      <c r="O45" s="100">
        <f>TEXT(COUNTIFS('Work Items'!A:A,"Task",'Work Items'!D:D,B45,'Work Items'!L:L,"Completed"),"0")&amp;" / "&amp;TEXT(COUNTIFS('Work Items'!A:A,"Task",'Work Items'!D:D,B45),"0")&amp;" Tasks"</f>
        <v/>
      </c>
      <c r="P45" s="100">
        <f>TEXT(COUNTIFS('Work Items'!A:A,"Bug",'Work Items'!D:D,B45,'Work Items'!L:L,"Fixed"),"0")&amp;" / "&amp;TEXT(COUNTIFS('Work Items'!A:A,"Bug",'Work Items'!D:D,B45),"0")&amp;" Bugs"</f>
        <v/>
      </c>
      <c r="Q45" s="100">
        <f>TEXT(COUNTIFS('Work Items'!A:A,"Risk",'Work Items'!D:D,B45,'Work Items'!L:L,"Open"),"0")&amp;" Open"</f>
        <v/>
      </c>
      <c r="R45" s="100">
        <f>TEXT(COUNTIFS('Work Items'!A:A,"CR",'Work Items'!D:D,B45,'Work Items'!L:L,"Pending Approval"),"0")&amp;" Pending"</f>
        <v/>
      </c>
      <c r="S45" s="11">
        <f>IF(N45="TBD","Yellow",IF(ISNUMBER(N45),IF(N45&lt;0,"Red",IF(N45&lt;14,"Yellow","Green")),"Yellow"))</f>
        <v/>
      </c>
      <c r="T45" s="11">
        <f>IF(NOT(ISNUMBER(M45)),"Yellow",IF(M45&lt;0,"Red",IF(M45/I45&lt;0.05,"Yellow","Green")))</f>
        <v/>
      </c>
      <c r="U45" s="11">
        <f>IF(OR(S45="Red",T45="Red"),"Red",IF(OR(S45="Yellow",T45="Yellow"),"Yellow","Green"))</f>
        <v/>
      </c>
    </row>
    <row r="46">
      <c r="A46" s="2">
        <f>IFERROR(INDEX('Projects Master'!$A:$A,ROW()-1),"")</f>
        <v/>
      </c>
      <c r="B46" s="101">
        <f>IFERROR(VLOOKUP(A46,'Projects Master'!$A:$I,2,0),"")</f>
        <v/>
      </c>
      <c r="C46" s="101">
        <f>IFERROR(VLOOKUP(A46,'Projects Master'!$A:$I,3,0),"")</f>
        <v/>
      </c>
      <c r="D46" s="101">
        <f>IFERROR(VLOOKUP(A46,'Projects Master'!$A:$I,4,0),"")</f>
        <v/>
      </c>
      <c r="E46" s="4">
        <f>IFERROR(VLOOKUP(A46,'Projects Master'!$A:$I,5,0),"")</f>
        <v/>
      </c>
      <c r="F46" s="92">
        <f>IFERROR(VLOOKUP(A46,'Projects Master'!$A:$I,6,0),"")</f>
        <v/>
      </c>
      <c r="G46" s="6">
        <f>IFERROR(VLOOKUP(A46,'Projects Master'!$A:$I,7,0),"")</f>
        <v/>
      </c>
      <c r="H46" s="6">
        <f>IFERROR(VLOOKUP(A46,'Projects Master'!$A:$I,8,0),"")</f>
        <v/>
      </c>
      <c r="I46" s="7">
        <f>IFERROR(VLOOKUP(A46,'Projects Master'!$A:$I,9,0),"")</f>
        <v/>
      </c>
      <c r="J46" s="6">
        <f>_xlfn.LET(_xlpm.t,_xlfn.MINIFS('Work Items'!P:P,'Work Items'!D:D,B46,'Work Items'!A:A,"Task"),_xlpm.b,_xlfn.MINIFS('Work Items'!P:P,'Work Items'!D:D,B46,'Work Items'!A:A,"Bug"),_xlpm.m,IF(AND(_xlpm.t=0,_xlpm.b=0),0,IF(_xlpm.t=0,_xlpm.b,IF(_xlpm.b=0,_xlpm.t,MIN(_xlpm.t,_xlpm.b)))),IF(_xlpm.m=0,G46,_xlpm.m))</f>
        <v/>
      </c>
      <c r="K46" s="6">
        <f>_xlfn.LET(_xlpm.t,_xlfn.MAXIFS('Work Items'!Q:Q,'Work Items'!D:D,B46,'Work Items'!A:A,"Task"),_xlpm.b,_xlfn.MAXIFS('Work Items'!Q:Q,'Work Items'!D:D,B46,'Work Items'!A:A,"Bug"),_xlpm.m,MAX(_xlpm.t,_xlpm.b),IF(_xlpm.m=0,H46,_xlpm.m))</f>
        <v/>
      </c>
      <c r="L46" s="8">
        <f>IFERROR(SUMIFS('Work Items'!O:O,'Work Items'!D:D,B46,'Work Items'!A:A,"Task"),0)</f>
        <v/>
      </c>
      <c r="M46" s="9">
        <f>IF(ISNUMBER(I46),I46-L46,"N/A")</f>
        <v/>
      </c>
      <c r="N46" s="10">
        <f>IF(AND(ISNUMBER(H46),K46&gt;0),INT(H46-K46),"TBD")</f>
        <v/>
      </c>
      <c r="O46" s="100">
        <f>TEXT(COUNTIFS('Work Items'!A:A,"Task",'Work Items'!D:D,B46,'Work Items'!L:L,"Completed"),"0")&amp;" / "&amp;TEXT(COUNTIFS('Work Items'!A:A,"Task",'Work Items'!D:D,B46),"0")&amp;" Tasks"</f>
        <v/>
      </c>
      <c r="P46" s="100">
        <f>TEXT(COUNTIFS('Work Items'!A:A,"Bug",'Work Items'!D:D,B46,'Work Items'!L:L,"Fixed"),"0")&amp;" / "&amp;TEXT(COUNTIFS('Work Items'!A:A,"Bug",'Work Items'!D:D,B46),"0")&amp;" Bugs"</f>
        <v/>
      </c>
      <c r="Q46" s="100">
        <f>TEXT(COUNTIFS('Work Items'!A:A,"Risk",'Work Items'!D:D,B46,'Work Items'!L:L,"Open"),"0")&amp;" Open"</f>
        <v/>
      </c>
      <c r="R46" s="100">
        <f>TEXT(COUNTIFS('Work Items'!A:A,"CR",'Work Items'!D:D,B46,'Work Items'!L:L,"Pending Approval"),"0")&amp;" Pending"</f>
        <v/>
      </c>
      <c r="S46" s="11">
        <f>IF(N46="TBD","Yellow",IF(ISNUMBER(N46),IF(N46&lt;0,"Red",IF(N46&lt;14,"Yellow","Green")),"Yellow"))</f>
        <v/>
      </c>
      <c r="T46" s="11">
        <f>IF(NOT(ISNUMBER(M46)),"Yellow",IF(M46&lt;0,"Red",IF(M46/I46&lt;0.05,"Yellow","Green")))</f>
        <v/>
      </c>
      <c r="U46" s="11">
        <f>IF(OR(S46="Red",T46="Red"),"Red",IF(OR(S46="Yellow",T46="Yellow"),"Yellow","Green"))</f>
        <v/>
      </c>
    </row>
    <row r="47">
      <c r="A47" s="2">
        <f>IFERROR(INDEX('Projects Master'!$A:$A,ROW()-1),"")</f>
        <v/>
      </c>
      <c r="B47" s="101">
        <f>IFERROR(VLOOKUP(A47,'Projects Master'!$A:$I,2,0),"")</f>
        <v/>
      </c>
      <c r="C47" s="101">
        <f>IFERROR(VLOOKUP(A47,'Projects Master'!$A:$I,3,0),"")</f>
        <v/>
      </c>
      <c r="D47" s="101">
        <f>IFERROR(VLOOKUP(A47,'Projects Master'!$A:$I,4,0),"")</f>
        <v/>
      </c>
      <c r="E47" s="4">
        <f>IFERROR(VLOOKUP(A47,'Projects Master'!$A:$I,5,0),"")</f>
        <v/>
      </c>
      <c r="F47" s="92">
        <f>IFERROR(VLOOKUP(A47,'Projects Master'!$A:$I,6,0),"")</f>
        <v/>
      </c>
      <c r="G47" s="6">
        <f>IFERROR(VLOOKUP(A47,'Projects Master'!$A:$I,7,0),"")</f>
        <v/>
      </c>
      <c r="H47" s="6">
        <f>IFERROR(VLOOKUP(A47,'Projects Master'!$A:$I,8,0),"")</f>
        <v/>
      </c>
      <c r="I47" s="7">
        <f>IFERROR(VLOOKUP(A47,'Projects Master'!$A:$I,9,0),"")</f>
        <v/>
      </c>
      <c r="J47" s="6">
        <f>_xlfn.LET(_xlpm.t,_xlfn.MINIFS('Work Items'!P:P,'Work Items'!D:D,B47,'Work Items'!A:A,"Task"),_xlpm.b,_xlfn.MINIFS('Work Items'!P:P,'Work Items'!D:D,B47,'Work Items'!A:A,"Bug"),_xlpm.m,IF(AND(_xlpm.t=0,_xlpm.b=0),0,IF(_xlpm.t=0,_xlpm.b,IF(_xlpm.b=0,_xlpm.t,MIN(_xlpm.t,_xlpm.b)))),IF(_xlpm.m=0,G47,_xlpm.m))</f>
        <v/>
      </c>
      <c r="K47" s="6">
        <f>_xlfn.LET(_xlpm.t,_xlfn.MAXIFS('Work Items'!Q:Q,'Work Items'!D:D,B47,'Work Items'!A:A,"Task"),_xlpm.b,_xlfn.MAXIFS('Work Items'!Q:Q,'Work Items'!D:D,B47,'Work Items'!A:A,"Bug"),_xlpm.m,MAX(_xlpm.t,_xlpm.b),IF(_xlpm.m=0,H47,_xlpm.m))</f>
        <v/>
      </c>
      <c r="L47" s="8">
        <f>IFERROR(SUMIFS('Work Items'!O:O,'Work Items'!D:D,B47,'Work Items'!A:A,"Task"),0)</f>
        <v/>
      </c>
      <c r="M47" s="9">
        <f>IF(ISNUMBER(I47),I47-L47,"N/A")</f>
        <v/>
      </c>
      <c r="N47" s="10">
        <f>IF(AND(ISNUMBER(H47),K47&gt;0),INT(H47-K47),"TBD")</f>
        <v/>
      </c>
      <c r="O47" s="100">
        <f>TEXT(COUNTIFS('Work Items'!A:A,"Task",'Work Items'!D:D,B47,'Work Items'!L:L,"Completed"),"0")&amp;" / "&amp;TEXT(COUNTIFS('Work Items'!A:A,"Task",'Work Items'!D:D,B47),"0")&amp;" Tasks"</f>
        <v/>
      </c>
      <c r="P47" s="100">
        <f>TEXT(COUNTIFS('Work Items'!A:A,"Bug",'Work Items'!D:D,B47,'Work Items'!L:L,"Fixed"),"0")&amp;" / "&amp;TEXT(COUNTIFS('Work Items'!A:A,"Bug",'Work Items'!D:D,B47),"0")&amp;" Bugs"</f>
        <v/>
      </c>
      <c r="Q47" s="100">
        <f>TEXT(COUNTIFS('Work Items'!A:A,"Risk",'Work Items'!D:D,B47,'Work Items'!L:L,"Open"),"0")&amp;" Open"</f>
        <v/>
      </c>
      <c r="R47" s="100">
        <f>TEXT(COUNTIFS('Work Items'!A:A,"CR",'Work Items'!D:D,B47,'Work Items'!L:L,"Pending Approval"),"0")&amp;" Pending"</f>
        <v/>
      </c>
      <c r="S47" s="11">
        <f>IF(N47="TBD","Yellow",IF(ISNUMBER(N47),IF(N47&lt;0,"Red",IF(N47&lt;14,"Yellow","Green")),"Yellow"))</f>
        <v/>
      </c>
      <c r="T47" s="11">
        <f>IF(NOT(ISNUMBER(M47)),"Yellow",IF(M47&lt;0,"Red",IF(M47/I47&lt;0.05,"Yellow","Green")))</f>
        <v/>
      </c>
      <c r="U47" s="11">
        <f>IF(OR(S47="Red",T47="Red"),"Red",IF(OR(S47="Yellow",T47="Yellow"),"Yellow","Green"))</f>
        <v/>
      </c>
    </row>
    <row r="48">
      <c r="A48" s="2">
        <f>IFERROR(INDEX('Projects Master'!$A:$A,ROW()-1),"")</f>
        <v/>
      </c>
      <c r="B48" s="101">
        <f>IFERROR(VLOOKUP(A48,'Projects Master'!$A:$I,2,0),"")</f>
        <v/>
      </c>
      <c r="C48" s="101">
        <f>IFERROR(VLOOKUP(A48,'Projects Master'!$A:$I,3,0),"")</f>
        <v/>
      </c>
      <c r="D48" s="101">
        <f>IFERROR(VLOOKUP(A48,'Projects Master'!$A:$I,4,0),"")</f>
        <v/>
      </c>
      <c r="E48" s="4">
        <f>IFERROR(VLOOKUP(A48,'Projects Master'!$A:$I,5,0),"")</f>
        <v/>
      </c>
      <c r="F48" s="92">
        <f>IFERROR(VLOOKUP(A48,'Projects Master'!$A:$I,6,0),"")</f>
        <v/>
      </c>
      <c r="G48" s="6">
        <f>IFERROR(VLOOKUP(A48,'Projects Master'!$A:$I,7,0),"")</f>
        <v/>
      </c>
      <c r="H48" s="6">
        <f>IFERROR(VLOOKUP(A48,'Projects Master'!$A:$I,8,0),"")</f>
        <v/>
      </c>
      <c r="I48" s="7">
        <f>IFERROR(VLOOKUP(A48,'Projects Master'!$A:$I,9,0),"")</f>
        <v/>
      </c>
      <c r="J48" s="6">
        <f>_xlfn.LET(_xlpm.t,_xlfn.MINIFS('Work Items'!P:P,'Work Items'!D:D,B48,'Work Items'!A:A,"Task"),_xlpm.b,_xlfn.MINIFS('Work Items'!P:P,'Work Items'!D:D,B48,'Work Items'!A:A,"Bug"),_xlpm.m,IF(AND(_xlpm.t=0,_xlpm.b=0),0,IF(_xlpm.t=0,_xlpm.b,IF(_xlpm.b=0,_xlpm.t,MIN(_xlpm.t,_xlpm.b)))),IF(_xlpm.m=0,G48,_xlpm.m))</f>
        <v/>
      </c>
      <c r="K48" s="6">
        <f>_xlfn.LET(_xlpm.t,_xlfn.MAXIFS('Work Items'!Q:Q,'Work Items'!D:D,B48,'Work Items'!A:A,"Task"),_xlpm.b,_xlfn.MAXIFS('Work Items'!Q:Q,'Work Items'!D:D,B48,'Work Items'!A:A,"Bug"),_xlpm.m,MAX(_xlpm.t,_xlpm.b),IF(_xlpm.m=0,H48,_xlpm.m))</f>
        <v/>
      </c>
      <c r="L48" s="8">
        <f>IFERROR(SUMIFS('Work Items'!O:O,'Work Items'!D:D,B48,'Work Items'!A:A,"Task"),0)</f>
        <v/>
      </c>
      <c r="M48" s="9">
        <f>IF(ISNUMBER(I48),I48-L48,"N/A")</f>
        <v/>
      </c>
      <c r="N48" s="10">
        <f>IF(AND(ISNUMBER(H48),K48&gt;0),INT(H48-K48),"TBD")</f>
        <v/>
      </c>
      <c r="O48" s="100">
        <f>TEXT(COUNTIFS('Work Items'!A:A,"Task",'Work Items'!D:D,B48,'Work Items'!L:L,"Completed"),"0")&amp;" / "&amp;TEXT(COUNTIFS('Work Items'!A:A,"Task",'Work Items'!D:D,B48),"0")&amp;" Tasks"</f>
        <v/>
      </c>
      <c r="P48" s="100">
        <f>TEXT(COUNTIFS('Work Items'!A:A,"Bug",'Work Items'!D:D,B48,'Work Items'!L:L,"Fixed"),"0")&amp;" / "&amp;TEXT(COUNTIFS('Work Items'!A:A,"Bug",'Work Items'!D:D,B48),"0")&amp;" Bugs"</f>
        <v/>
      </c>
      <c r="Q48" s="100">
        <f>TEXT(COUNTIFS('Work Items'!A:A,"Risk",'Work Items'!D:D,B48,'Work Items'!L:L,"Open"),"0")&amp;" Open"</f>
        <v/>
      </c>
      <c r="R48" s="100">
        <f>TEXT(COUNTIFS('Work Items'!A:A,"CR",'Work Items'!D:D,B48,'Work Items'!L:L,"Pending Approval"),"0")&amp;" Pending"</f>
        <v/>
      </c>
      <c r="S48" s="11">
        <f>IF(N48="TBD","Yellow",IF(ISNUMBER(N48),IF(N48&lt;0,"Red",IF(N48&lt;14,"Yellow","Green")),"Yellow"))</f>
        <v/>
      </c>
      <c r="T48" s="11">
        <f>IF(NOT(ISNUMBER(M48)),"Yellow",IF(M48&lt;0,"Red",IF(M48/I48&lt;0.05,"Yellow","Green")))</f>
        <v/>
      </c>
      <c r="U48" s="11">
        <f>IF(OR(S48="Red",T48="Red"),"Red",IF(OR(S48="Yellow",T48="Yellow"),"Yellow","Green"))</f>
        <v/>
      </c>
    </row>
    <row r="49">
      <c r="A49" s="2">
        <f>IFERROR(INDEX('Projects Master'!$A:$A,ROW()-1),"")</f>
        <v/>
      </c>
      <c r="B49" s="101">
        <f>IFERROR(VLOOKUP(A49,'Projects Master'!$A:$I,2,0),"")</f>
        <v/>
      </c>
      <c r="C49" s="101">
        <f>IFERROR(VLOOKUP(A49,'Projects Master'!$A:$I,3,0),"")</f>
        <v/>
      </c>
      <c r="D49" s="101">
        <f>IFERROR(VLOOKUP(A49,'Projects Master'!$A:$I,4,0),"")</f>
        <v/>
      </c>
      <c r="E49" s="4">
        <f>IFERROR(VLOOKUP(A49,'Projects Master'!$A:$I,5,0),"")</f>
        <v/>
      </c>
      <c r="F49" s="92">
        <f>IFERROR(VLOOKUP(A49,'Projects Master'!$A:$I,6,0),"")</f>
        <v/>
      </c>
      <c r="G49" s="6">
        <f>IFERROR(VLOOKUP(A49,'Projects Master'!$A:$I,7,0),"")</f>
        <v/>
      </c>
      <c r="H49" s="6">
        <f>IFERROR(VLOOKUP(A49,'Projects Master'!$A:$I,8,0),"")</f>
        <v/>
      </c>
      <c r="I49" s="7">
        <f>IFERROR(VLOOKUP(A49,'Projects Master'!$A:$I,9,0),"")</f>
        <v/>
      </c>
      <c r="J49" s="6">
        <f>_xlfn.LET(_xlpm.t,_xlfn.MINIFS('Work Items'!P:P,'Work Items'!D:D,B49,'Work Items'!A:A,"Task"),_xlpm.b,_xlfn.MINIFS('Work Items'!P:P,'Work Items'!D:D,B49,'Work Items'!A:A,"Bug"),_xlpm.m,IF(AND(_xlpm.t=0,_xlpm.b=0),0,IF(_xlpm.t=0,_xlpm.b,IF(_xlpm.b=0,_xlpm.t,MIN(_xlpm.t,_xlpm.b)))),IF(_xlpm.m=0,G49,_xlpm.m))</f>
        <v/>
      </c>
      <c r="K49" s="6">
        <f>_xlfn.LET(_xlpm.t,_xlfn.MAXIFS('Work Items'!Q:Q,'Work Items'!D:D,B49,'Work Items'!A:A,"Task"),_xlpm.b,_xlfn.MAXIFS('Work Items'!Q:Q,'Work Items'!D:D,B49,'Work Items'!A:A,"Bug"),_xlpm.m,MAX(_xlpm.t,_xlpm.b),IF(_xlpm.m=0,H49,_xlpm.m))</f>
        <v/>
      </c>
      <c r="L49" s="8">
        <f>IFERROR(SUMIFS('Work Items'!O:O,'Work Items'!D:D,B49,'Work Items'!A:A,"Task"),0)</f>
        <v/>
      </c>
      <c r="M49" s="9">
        <f>IF(ISNUMBER(I49),I49-L49,"N/A")</f>
        <v/>
      </c>
      <c r="N49" s="10">
        <f>IF(AND(ISNUMBER(H49),K49&gt;0),INT(H49-K49),"TBD")</f>
        <v/>
      </c>
      <c r="O49" s="100">
        <f>TEXT(COUNTIFS('Work Items'!A:A,"Task",'Work Items'!D:D,B49,'Work Items'!L:L,"Completed"),"0")&amp;" / "&amp;TEXT(COUNTIFS('Work Items'!A:A,"Task",'Work Items'!D:D,B49),"0")&amp;" Tasks"</f>
        <v/>
      </c>
      <c r="P49" s="100">
        <f>TEXT(COUNTIFS('Work Items'!A:A,"Bug",'Work Items'!D:D,B49,'Work Items'!L:L,"Fixed"),"0")&amp;" / "&amp;TEXT(COUNTIFS('Work Items'!A:A,"Bug",'Work Items'!D:D,B49),"0")&amp;" Bugs"</f>
        <v/>
      </c>
      <c r="Q49" s="100">
        <f>TEXT(COUNTIFS('Work Items'!A:A,"Risk",'Work Items'!D:D,B49,'Work Items'!L:L,"Open"),"0")&amp;" Open"</f>
        <v/>
      </c>
      <c r="R49" s="100">
        <f>TEXT(COUNTIFS('Work Items'!A:A,"CR",'Work Items'!D:D,B49,'Work Items'!L:L,"Pending Approval"),"0")&amp;" Pending"</f>
        <v/>
      </c>
      <c r="S49" s="11">
        <f>IF(N49="TBD","Yellow",IF(ISNUMBER(N49),IF(N49&lt;0,"Red",IF(N49&lt;14,"Yellow","Green")),"Yellow"))</f>
        <v/>
      </c>
      <c r="T49" s="11">
        <f>IF(NOT(ISNUMBER(M49)),"Yellow",IF(M49&lt;0,"Red",IF(M49/I49&lt;0.05,"Yellow","Green")))</f>
        <v/>
      </c>
      <c r="U49" s="11">
        <f>IF(OR(S49="Red",T49="Red"),"Red",IF(OR(S49="Yellow",T49="Yellow"),"Yellow","Green"))</f>
        <v/>
      </c>
    </row>
    <row r="50">
      <c r="A50" s="2">
        <f>IFERROR(INDEX('Projects Master'!$A:$A,ROW()-1),"")</f>
        <v/>
      </c>
      <c r="B50" s="101">
        <f>IFERROR(VLOOKUP(A50,'Projects Master'!$A:$I,2,0),"")</f>
        <v/>
      </c>
      <c r="C50" s="101">
        <f>IFERROR(VLOOKUP(A50,'Projects Master'!$A:$I,3,0),"")</f>
        <v/>
      </c>
      <c r="D50" s="101">
        <f>IFERROR(VLOOKUP(A50,'Projects Master'!$A:$I,4,0),"")</f>
        <v/>
      </c>
      <c r="E50" s="4">
        <f>IFERROR(VLOOKUP(A50,'Projects Master'!$A:$I,5,0),"")</f>
        <v/>
      </c>
      <c r="F50" s="92">
        <f>IFERROR(VLOOKUP(A50,'Projects Master'!$A:$I,6,0),"")</f>
        <v/>
      </c>
      <c r="G50" s="6">
        <f>IFERROR(VLOOKUP(A50,'Projects Master'!$A:$I,7,0),"")</f>
        <v/>
      </c>
      <c r="H50" s="6">
        <f>IFERROR(VLOOKUP(A50,'Projects Master'!$A:$I,8,0),"")</f>
        <v/>
      </c>
      <c r="I50" s="7">
        <f>IFERROR(VLOOKUP(A50,'Projects Master'!$A:$I,9,0),"")</f>
        <v/>
      </c>
      <c r="J50" s="6">
        <f>_xlfn.LET(_xlpm.t,_xlfn.MINIFS('Work Items'!P:P,'Work Items'!D:D,B50,'Work Items'!A:A,"Task"),_xlpm.b,_xlfn.MINIFS('Work Items'!P:P,'Work Items'!D:D,B50,'Work Items'!A:A,"Bug"),_xlpm.m,IF(AND(_xlpm.t=0,_xlpm.b=0),0,IF(_xlpm.t=0,_xlpm.b,IF(_xlpm.b=0,_xlpm.t,MIN(_xlpm.t,_xlpm.b)))),IF(_xlpm.m=0,G50,_xlpm.m))</f>
        <v/>
      </c>
      <c r="K50" s="6">
        <f>_xlfn.LET(_xlpm.t,_xlfn.MAXIFS('Work Items'!Q:Q,'Work Items'!D:D,B50,'Work Items'!A:A,"Task"),_xlpm.b,_xlfn.MAXIFS('Work Items'!Q:Q,'Work Items'!D:D,B50,'Work Items'!A:A,"Bug"),_xlpm.m,MAX(_xlpm.t,_xlpm.b),IF(_xlpm.m=0,H50,_xlpm.m))</f>
        <v/>
      </c>
      <c r="L50" s="8">
        <f>IFERROR(SUMIFS('Work Items'!O:O,'Work Items'!D:D,B50,'Work Items'!A:A,"Task"),0)</f>
        <v/>
      </c>
      <c r="M50" s="9">
        <f>IF(ISNUMBER(I50),I50-L50,"N/A")</f>
        <v/>
      </c>
      <c r="N50" s="10">
        <f>IF(AND(ISNUMBER(H50),K50&gt;0),INT(H50-K50),"TBD")</f>
        <v/>
      </c>
      <c r="O50" s="100">
        <f>TEXT(COUNTIFS('Work Items'!A:A,"Task",'Work Items'!D:D,B50,'Work Items'!L:L,"Completed"),"0")&amp;" / "&amp;TEXT(COUNTIFS('Work Items'!A:A,"Task",'Work Items'!D:D,B50),"0")&amp;" Tasks"</f>
        <v/>
      </c>
      <c r="P50" s="100">
        <f>TEXT(COUNTIFS('Work Items'!A:A,"Bug",'Work Items'!D:D,B50,'Work Items'!L:L,"Fixed"),"0")&amp;" / "&amp;TEXT(COUNTIFS('Work Items'!A:A,"Bug",'Work Items'!D:D,B50),"0")&amp;" Bugs"</f>
        <v/>
      </c>
      <c r="Q50" s="100">
        <f>TEXT(COUNTIFS('Work Items'!A:A,"Risk",'Work Items'!D:D,B50,'Work Items'!L:L,"Open"),"0")&amp;" Open"</f>
        <v/>
      </c>
      <c r="R50" s="100">
        <f>TEXT(COUNTIFS('Work Items'!A:A,"CR",'Work Items'!D:D,B50,'Work Items'!L:L,"Pending Approval"),"0")&amp;" Pending"</f>
        <v/>
      </c>
      <c r="S50" s="11">
        <f>IF(N50="TBD","Yellow",IF(ISNUMBER(N50),IF(N50&lt;0,"Red",IF(N50&lt;14,"Yellow","Green")),"Yellow"))</f>
        <v/>
      </c>
      <c r="T50" s="11">
        <f>IF(NOT(ISNUMBER(M50)),"Yellow",IF(M50&lt;0,"Red",IF(M50/I50&lt;0.05,"Yellow","Green")))</f>
        <v/>
      </c>
      <c r="U50" s="11">
        <f>IF(OR(S50="Red",T50="Red"),"Red",IF(OR(S50="Yellow",T50="Yellow"),"Yellow","Green"))</f>
        <v/>
      </c>
    </row>
    <row r="51">
      <c r="A51" s="2">
        <f>IFERROR(INDEX('Projects Master'!$A:$A,ROW()-1),"")</f>
        <v/>
      </c>
      <c r="B51" s="101">
        <f>IFERROR(VLOOKUP(A51,'Projects Master'!$A:$I,2,0),"")</f>
        <v/>
      </c>
      <c r="C51" s="101">
        <f>IFERROR(VLOOKUP(A51,'Projects Master'!$A:$I,3,0),"")</f>
        <v/>
      </c>
      <c r="D51" s="101">
        <f>IFERROR(VLOOKUP(A51,'Projects Master'!$A:$I,4,0),"")</f>
        <v/>
      </c>
      <c r="E51" s="4">
        <f>IFERROR(VLOOKUP(A51,'Projects Master'!$A:$I,5,0),"")</f>
        <v/>
      </c>
      <c r="F51" s="92">
        <f>IFERROR(VLOOKUP(A51,'Projects Master'!$A:$I,6,0),"")</f>
        <v/>
      </c>
      <c r="G51" s="6">
        <f>IFERROR(VLOOKUP(A51,'Projects Master'!$A:$I,7,0),"")</f>
        <v/>
      </c>
      <c r="H51" s="6">
        <f>IFERROR(VLOOKUP(A51,'Projects Master'!$A:$I,8,0),"")</f>
        <v/>
      </c>
      <c r="I51" s="7">
        <f>IFERROR(VLOOKUP(A51,'Projects Master'!$A:$I,9,0),"")</f>
        <v/>
      </c>
      <c r="J51" s="6">
        <f>_xlfn.LET(_xlpm.t,_xlfn.MINIFS('Work Items'!P:P,'Work Items'!D:D,B51,'Work Items'!A:A,"Task"),_xlpm.b,_xlfn.MINIFS('Work Items'!P:P,'Work Items'!D:D,B51,'Work Items'!A:A,"Bug"),_xlpm.m,IF(AND(_xlpm.t=0,_xlpm.b=0),0,IF(_xlpm.t=0,_xlpm.b,IF(_xlpm.b=0,_xlpm.t,MIN(_xlpm.t,_xlpm.b)))),IF(_xlpm.m=0,G51,_xlpm.m))</f>
        <v/>
      </c>
      <c r="K51" s="6">
        <f>_xlfn.LET(_xlpm.t,_xlfn.MAXIFS('Work Items'!Q:Q,'Work Items'!D:D,B51,'Work Items'!A:A,"Task"),_xlpm.b,_xlfn.MAXIFS('Work Items'!Q:Q,'Work Items'!D:D,B51,'Work Items'!A:A,"Bug"),_xlpm.m,MAX(_xlpm.t,_xlpm.b),IF(_xlpm.m=0,H51,_xlpm.m))</f>
        <v/>
      </c>
      <c r="L51" s="8">
        <f>IFERROR(SUMIFS('Work Items'!O:O,'Work Items'!D:D,B51,'Work Items'!A:A,"Task"),0)</f>
        <v/>
      </c>
      <c r="M51" s="9">
        <f>IF(ISNUMBER(I51),I51-L51,"N/A")</f>
        <v/>
      </c>
      <c r="N51" s="10">
        <f>IF(AND(ISNUMBER(H51),K51&gt;0),INT(H51-K51),"TBD")</f>
        <v/>
      </c>
      <c r="O51" s="100">
        <f>TEXT(COUNTIFS('Work Items'!A:A,"Task",'Work Items'!D:D,B51,'Work Items'!L:L,"Completed"),"0")&amp;" / "&amp;TEXT(COUNTIFS('Work Items'!A:A,"Task",'Work Items'!D:D,B51),"0")&amp;" Tasks"</f>
        <v/>
      </c>
      <c r="P51" s="100">
        <f>TEXT(COUNTIFS('Work Items'!A:A,"Bug",'Work Items'!D:D,B51,'Work Items'!L:L,"Fixed"),"0")&amp;" / "&amp;TEXT(COUNTIFS('Work Items'!A:A,"Bug",'Work Items'!D:D,B51),"0")&amp;" Bugs"</f>
        <v/>
      </c>
      <c r="Q51" s="100">
        <f>TEXT(COUNTIFS('Work Items'!A:A,"Risk",'Work Items'!D:D,B51,'Work Items'!L:L,"Open"),"0")&amp;" Open"</f>
        <v/>
      </c>
      <c r="R51" s="100">
        <f>TEXT(COUNTIFS('Work Items'!A:A,"CR",'Work Items'!D:D,B51,'Work Items'!L:L,"Pending Approval"),"0")&amp;" Pending"</f>
        <v/>
      </c>
      <c r="S51" s="11">
        <f>IF(N51="TBD","Yellow",IF(ISNUMBER(N51),IF(N51&lt;0,"Red",IF(N51&lt;14,"Yellow","Green")),"Yellow"))</f>
        <v/>
      </c>
      <c r="T51" s="11">
        <f>IF(NOT(ISNUMBER(M51)),"Yellow",IF(M51&lt;0,"Red",IF(M51/I51&lt;0.05,"Yellow","Green")))</f>
        <v/>
      </c>
      <c r="U51" s="11">
        <f>IF(OR(S51="Red",T51="Red"),"Red",IF(OR(S51="Yellow",T51="Yellow"),"Yellow","Green"))</f>
        <v/>
      </c>
    </row>
    <row r="52">
      <c r="A52" s="2">
        <f>IFERROR(INDEX('Projects Master'!$A:$A,ROW()-1),"")</f>
        <v/>
      </c>
      <c r="B52" s="101">
        <f>IFERROR(VLOOKUP(A52,'Projects Master'!$A:$I,2,0),"")</f>
        <v/>
      </c>
      <c r="C52" s="101">
        <f>IFERROR(VLOOKUP(A52,'Projects Master'!$A:$I,3,0),"")</f>
        <v/>
      </c>
      <c r="D52" s="101">
        <f>IFERROR(VLOOKUP(A52,'Projects Master'!$A:$I,4,0),"")</f>
        <v/>
      </c>
      <c r="E52" s="4">
        <f>IFERROR(VLOOKUP(A52,'Projects Master'!$A:$I,5,0),"")</f>
        <v/>
      </c>
      <c r="F52" s="92">
        <f>IFERROR(VLOOKUP(A52,'Projects Master'!$A:$I,6,0),"")</f>
        <v/>
      </c>
      <c r="G52" s="6">
        <f>IFERROR(VLOOKUP(A52,'Projects Master'!$A:$I,7,0),"")</f>
        <v/>
      </c>
      <c r="H52" s="6">
        <f>IFERROR(VLOOKUP(A52,'Projects Master'!$A:$I,8,0),"")</f>
        <v/>
      </c>
      <c r="I52" s="7">
        <f>IFERROR(VLOOKUP(A52,'Projects Master'!$A:$I,9,0),"")</f>
        <v/>
      </c>
      <c r="J52" s="6">
        <f>_xlfn.LET(_xlpm.t,_xlfn.MINIFS('Work Items'!P:P,'Work Items'!D:D,B52,'Work Items'!A:A,"Task"),_xlpm.b,_xlfn.MINIFS('Work Items'!P:P,'Work Items'!D:D,B52,'Work Items'!A:A,"Bug"),_xlpm.m,IF(AND(_xlpm.t=0,_xlpm.b=0),0,IF(_xlpm.t=0,_xlpm.b,IF(_xlpm.b=0,_xlpm.t,MIN(_xlpm.t,_xlpm.b)))),IF(_xlpm.m=0,G52,_xlpm.m))</f>
        <v/>
      </c>
      <c r="K52" s="6">
        <f>_xlfn.LET(_xlpm.t,_xlfn.MAXIFS('Work Items'!Q:Q,'Work Items'!D:D,B52,'Work Items'!A:A,"Task"),_xlpm.b,_xlfn.MAXIFS('Work Items'!Q:Q,'Work Items'!D:D,B52,'Work Items'!A:A,"Bug"),_xlpm.m,MAX(_xlpm.t,_xlpm.b),IF(_xlpm.m=0,H52,_xlpm.m))</f>
        <v/>
      </c>
      <c r="L52" s="8">
        <f>IFERROR(SUMIFS('Work Items'!O:O,'Work Items'!D:D,B52,'Work Items'!A:A,"Task"),0)</f>
        <v/>
      </c>
      <c r="M52" s="9">
        <f>IF(ISNUMBER(I52),I52-L52,"N/A")</f>
        <v/>
      </c>
      <c r="N52" s="10">
        <f>IF(AND(ISNUMBER(H52),K52&gt;0),INT(H52-K52),"TBD")</f>
        <v/>
      </c>
      <c r="O52" s="100">
        <f>TEXT(COUNTIFS('Work Items'!A:A,"Task",'Work Items'!D:D,B52,'Work Items'!L:L,"Completed"),"0")&amp;" / "&amp;TEXT(COUNTIFS('Work Items'!A:A,"Task",'Work Items'!D:D,B52),"0")&amp;" Tasks"</f>
        <v/>
      </c>
      <c r="P52" s="100">
        <f>TEXT(COUNTIFS('Work Items'!A:A,"Bug",'Work Items'!D:D,B52,'Work Items'!L:L,"Fixed"),"0")&amp;" / "&amp;TEXT(COUNTIFS('Work Items'!A:A,"Bug",'Work Items'!D:D,B52),"0")&amp;" Bugs"</f>
        <v/>
      </c>
      <c r="Q52" s="100">
        <f>TEXT(COUNTIFS('Work Items'!A:A,"Risk",'Work Items'!D:D,B52,'Work Items'!L:L,"Open"),"0")&amp;" Open"</f>
        <v/>
      </c>
      <c r="R52" s="100">
        <f>TEXT(COUNTIFS('Work Items'!A:A,"CR",'Work Items'!D:D,B52,'Work Items'!L:L,"Pending Approval"),"0")&amp;" Pending"</f>
        <v/>
      </c>
      <c r="S52" s="11">
        <f>IF(N52="TBD","Yellow",IF(ISNUMBER(N52),IF(N52&lt;0,"Red",IF(N52&lt;14,"Yellow","Green")),"Yellow"))</f>
        <v/>
      </c>
      <c r="T52" s="11">
        <f>IF(NOT(ISNUMBER(M52)),"Yellow",IF(M52&lt;0,"Red",IF(M52/I52&lt;0.05,"Yellow","Green")))</f>
        <v/>
      </c>
      <c r="U52" s="11">
        <f>IF(OR(S52="Red",T52="Red"),"Red",IF(OR(S52="Yellow",T52="Yellow"),"Yellow","Green"))</f>
        <v/>
      </c>
    </row>
    <row r="53">
      <c r="A53" s="2">
        <f>IFERROR(INDEX('Projects Master'!$A:$A,ROW()-1),"")</f>
        <v/>
      </c>
      <c r="B53" s="101">
        <f>IFERROR(VLOOKUP(A53,'Projects Master'!$A:$I,2,0),"")</f>
        <v/>
      </c>
      <c r="C53" s="101">
        <f>IFERROR(VLOOKUP(A53,'Projects Master'!$A:$I,3,0),"")</f>
        <v/>
      </c>
      <c r="D53" s="101">
        <f>IFERROR(VLOOKUP(A53,'Projects Master'!$A:$I,4,0),"")</f>
        <v/>
      </c>
      <c r="E53" s="4">
        <f>IFERROR(VLOOKUP(A53,'Projects Master'!$A:$I,5,0),"")</f>
        <v/>
      </c>
      <c r="F53" s="92">
        <f>IFERROR(VLOOKUP(A53,'Projects Master'!$A:$I,6,0),"")</f>
        <v/>
      </c>
      <c r="G53" s="6">
        <f>IFERROR(VLOOKUP(A53,'Projects Master'!$A:$I,7,0),"")</f>
        <v/>
      </c>
      <c r="H53" s="6">
        <f>IFERROR(VLOOKUP(A53,'Projects Master'!$A:$I,8,0),"")</f>
        <v/>
      </c>
      <c r="I53" s="7">
        <f>IFERROR(VLOOKUP(A53,'Projects Master'!$A:$I,9,0),"")</f>
        <v/>
      </c>
      <c r="J53" s="6">
        <f>_xlfn.LET(_xlpm.t,_xlfn.MINIFS('Work Items'!P:P,'Work Items'!D:D,B53,'Work Items'!A:A,"Task"),_xlpm.b,_xlfn.MINIFS('Work Items'!P:P,'Work Items'!D:D,B53,'Work Items'!A:A,"Bug"),_xlpm.m,IF(AND(_xlpm.t=0,_xlpm.b=0),0,IF(_xlpm.t=0,_xlpm.b,IF(_xlpm.b=0,_xlpm.t,MIN(_xlpm.t,_xlpm.b)))),IF(_xlpm.m=0,G53,_xlpm.m))</f>
        <v/>
      </c>
      <c r="K53" s="6">
        <f>_xlfn.LET(_xlpm.t,_xlfn.MAXIFS('Work Items'!Q:Q,'Work Items'!D:D,B53,'Work Items'!A:A,"Task"),_xlpm.b,_xlfn.MAXIFS('Work Items'!Q:Q,'Work Items'!D:D,B53,'Work Items'!A:A,"Bug"),_xlpm.m,MAX(_xlpm.t,_xlpm.b),IF(_xlpm.m=0,H53,_xlpm.m))</f>
        <v/>
      </c>
      <c r="L53" s="8">
        <f>IFERROR(SUMIFS('Work Items'!O:O,'Work Items'!D:D,B53,'Work Items'!A:A,"Task"),0)</f>
        <v/>
      </c>
      <c r="M53" s="9">
        <f>IF(ISNUMBER(I53),I53-L53,"N/A")</f>
        <v/>
      </c>
      <c r="N53" s="10">
        <f>IF(AND(ISNUMBER(H53),K53&gt;0),INT(H53-K53),"TBD")</f>
        <v/>
      </c>
      <c r="O53" s="100">
        <f>TEXT(COUNTIFS('Work Items'!A:A,"Task",'Work Items'!D:D,B53,'Work Items'!L:L,"Completed"),"0")&amp;" / "&amp;TEXT(COUNTIFS('Work Items'!A:A,"Task",'Work Items'!D:D,B53),"0")&amp;" Tasks"</f>
        <v/>
      </c>
      <c r="P53" s="100">
        <f>TEXT(COUNTIFS('Work Items'!A:A,"Bug",'Work Items'!D:D,B53,'Work Items'!L:L,"Fixed"),"0")&amp;" / "&amp;TEXT(COUNTIFS('Work Items'!A:A,"Bug",'Work Items'!D:D,B53),"0")&amp;" Bugs"</f>
        <v/>
      </c>
      <c r="Q53" s="100">
        <f>TEXT(COUNTIFS('Work Items'!A:A,"Risk",'Work Items'!D:D,B53,'Work Items'!L:L,"Open"),"0")&amp;" Open"</f>
        <v/>
      </c>
      <c r="R53" s="100">
        <f>TEXT(COUNTIFS('Work Items'!A:A,"CR",'Work Items'!D:D,B53,'Work Items'!L:L,"Pending Approval"),"0")&amp;" Pending"</f>
        <v/>
      </c>
      <c r="S53" s="11">
        <f>IF(N53="TBD","Yellow",IF(ISNUMBER(N53),IF(N53&lt;0,"Red",IF(N53&lt;14,"Yellow","Green")),"Yellow"))</f>
        <v/>
      </c>
      <c r="T53" s="11">
        <f>IF(NOT(ISNUMBER(M53)),"Yellow",IF(M53&lt;0,"Red",IF(M53/I53&lt;0.05,"Yellow","Green")))</f>
        <v/>
      </c>
      <c r="U53" s="11">
        <f>IF(OR(S53="Red",T53="Red"),"Red",IF(OR(S53="Yellow",T53="Yellow"),"Yellow","Green"))</f>
        <v/>
      </c>
    </row>
    <row r="54">
      <c r="A54" s="2">
        <f>IFERROR(INDEX('Projects Master'!$A:$A,ROW()-1),"")</f>
        <v/>
      </c>
      <c r="B54" s="101">
        <f>IFERROR(VLOOKUP(A54,'Projects Master'!$A:$I,2,0),"")</f>
        <v/>
      </c>
      <c r="C54" s="101">
        <f>IFERROR(VLOOKUP(A54,'Projects Master'!$A:$I,3,0),"")</f>
        <v/>
      </c>
      <c r="D54" s="101">
        <f>IFERROR(VLOOKUP(A54,'Projects Master'!$A:$I,4,0),"")</f>
        <v/>
      </c>
      <c r="E54" s="4">
        <f>IFERROR(VLOOKUP(A54,'Projects Master'!$A:$I,5,0),"")</f>
        <v/>
      </c>
      <c r="F54" s="92">
        <f>IFERROR(VLOOKUP(A54,'Projects Master'!$A:$I,6,0),"")</f>
        <v/>
      </c>
      <c r="G54" s="6">
        <f>IFERROR(VLOOKUP(A54,'Projects Master'!$A:$I,7,0),"")</f>
        <v/>
      </c>
      <c r="H54" s="6">
        <f>IFERROR(VLOOKUP(A54,'Projects Master'!$A:$I,8,0),"")</f>
        <v/>
      </c>
      <c r="I54" s="7">
        <f>IFERROR(VLOOKUP(A54,'Projects Master'!$A:$I,9,0),"")</f>
        <v/>
      </c>
      <c r="J54" s="6">
        <f>_xlfn.LET(_xlpm.t,_xlfn.MINIFS('Work Items'!P:P,'Work Items'!D:D,B54,'Work Items'!A:A,"Task"),_xlpm.b,_xlfn.MINIFS('Work Items'!P:P,'Work Items'!D:D,B54,'Work Items'!A:A,"Bug"),_xlpm.m,IF(AND(_xlpm.t=0,_xlpm.b=0),0,IF(_xlpm.t=0,_xlpm.b,IF(_xlpm.b=0,_xlpm.t,MIN(_xlpm.t,_xlpm.b)))),IF(_xlpm.m=0,G54,_xlpm.m))</f>
        <v/>
      </c>
      <c r="K54" s="6">
        <f>_xlfn.LET(_xlpm.t,_xlfn.MAXIFS('Work Items'!Q:Q,'Work Items'!D:D,B54,'Work Items'!A:A,"Task"),_xlpm.b,_xlfn.MAXIFS('Work Items'!Q:Q,'Work Items'!D:D,B54,'Work Items'!A:A,"Bug"),_xlpm.m,MAX(_xlpm.t,_xlpm.b),IF(_xlpm.m=0,H54,_xlpm.m))</f>
        <v/>
      </c>
      <c r="L54" s="8">
        <f>IFERROR(SUMIFS('Work Items'!O:O,'Work Items'!D:D,B54,'Work Items'!A:A,"Task"),0)</f>
        <v/>
      </c>
      <c r="M54" s="9">
        <f>IF(ISNUMBER(I54),I54-L54,"N/A")</f>
        <v/>
      </c>
      <c r="N54" s="10">
        <f>IF(AND(ISNUMBER(H54),K54&gt;0),INT(H54-K54),"TBD")</f>
        <v/>
      </c>
      <c r="O54" s="100">
        <f>TEXT(COUNTIFS('Work Items'!A:A,"Task",'Work Items'!D:D,B54,'Work Items'!L:L,"Completed"),"0")&amp;" / "&amp;TEXT(COUNTIFS('Work Items'!A:A,"Task",'Work Items'!D:D,B54),"0")&amp;" Tasks"</f>
        <v/>
      </c>
      <c r="P54" s="100">
        <f>TEXT(COUNTIFS('Work Items'!A:A,"Bug",'Work Items'!D:D,B54,'Work Items'!L:L,"Fixed"),"0")&amp;" / "&amp;TEXT(COUNTIFS('Work Items'!A:A,"Bug",'Work Items'!D:D,B54),"0")&amp;" Bugs"</f>
        <v/>
      </c>
      <c r="Q54" s="100">
        <f>TEXT(COUNTIFS('Work Items'!A:A,"Risk",'Work Items'!D:D,B54,'Work Items'!L:L,"Open"),"0")&amp;" Open"</f>
        <v/>
      </c>
      <c r="R54" s="100">
        <f>TEXT(COUNTIFS('Work Items'!A:A,"CR",'Work Items'!D:D,B54,'Work Items'!L:L,"Pending Approval"),"0")&amp;" Pending"</f>
        <v/>
      </c>
      <c r="S54" s="11">
        <f>IF(N54="TBD","Yellow",IF(ISNUMBER(N54),IF(N54&lt;0,"Red",IF(N54&lt;14,"Yellow","Green")),"Yellow"))</f>
        <v/>
      </c>
      <c r="T54" s="11">
        <f>IF(NOT(ISNUMBER(M54)),"Yellow",IF(M54&lt;0,"Red",IF(M54/I54&lt;0.05,"Yellow","Green")))</f>
        <v/>
      </c>
      <c r="U54" s="11">
        <f>IF(OR(S54="Red",T54="Red"),"Red",IF(OR(S54="Yellow",T54="Yellow"),"Yellow","Green"))</f>
        <v/>
      </c>
    </row>
    <row r="55">
      <c r="A55" s="2">
        <f>IFERROR(INDEX('Projects Master'!$A:$A,ROW()-1),"")</f>
        <v/>
      </c>
      <c r="B55" s="101">
        <f>IFERROR(VLOOKUP(A55,'Projects Master'!$A:$I,2,0),"")</f>
        <v/>
      </c>
      <c r="C55" s="101">
        <f>IFERROR(VLOOKUP(A55,'Projects Master'!$A:$I,3,0),"")</f>
        <v/>
      </c>
      <c r="D55" s="101">
        <f>IFERROR(VLOOKUP(A55,'Projects Master'!$A:$I,4,0),"")</f>
        <v/>
      </c>
      <c r="E55" s="4">
        <f>IFERROR(VLOOKUP(A55,'Projects Master'!$A:$I,5,0),"")</f>
        <v/>
      </c>
      <c r="F55" s="92">
        <f>IFERROR(VLOOKUP(A55,'Projects Master'!$A:$I,6,0),"")</f>
        <v/>
      </c>
      <c r="G55" s="6">
        <f>IFERROR(VLOOKUP(A55,'Projects Master'!$A:$I,7,0),"")</f>
        <v/>
      </c>
      <c r="H55" s="6">
        <f>IFERROR(VLOOKUP(A55,'Projects Master'!$A:$I,8,0),"")</f>
        <v/>
      </c>
      <c r="I55" s="7">
        <f>IFERROR(VLOOKUP(A55,'Projects Master'!$A:$I,9,0),"")</f>
        <v/>
      </c>
      <c r="J55" s="6">
        <f>_xlfn.LET(_xlpm.t,_xlfn.MINIFS('Work Items'!P:P,'Work Items'!D:D,B55,'Work Items'!A:A,"Task"),_xlpm.b,_xlfn.MINIFS('Work Items'!P:P,'Work Items'!D:D,B55,'Work Items'!A:A,"Bug"),_xlpm.m,IF(AND(_xlpm.t=0,_xlpm.b=0),0,IF(_xlpm.t=0,_xlpm.b,IF(_xlpm.b=0,_xlpm.t,MIN(_xlpm.t,_xlpm.b)))),IF(_xlpm.m=0,G55,_xlpm.m))</f>
        <v/>
      </c>
      <c r="K55" s="6">
        <f>_xlfn.LET(_xlpm.t,_xlfn.MAXIFS('Work Items'!Q:Q,'Work Items'!D:D,B55,'Work Items'!A:A,"Task"),_xlpm.b,_xlfn.MAXIFS('Work Items'!Q:Q,'Work Items'!D:D,B55,'Work Items'!A:A,"Bug"),_xlpm.m,MAX(_xlpm.t,_xlpm.b),IF(_xlpm.m=0,H55,_xlpm.m))</f>
        <v/>
      </c>
      <c r="L55" s="8">
        <f>IFERROR(SUMIFS('Work Items'!O:O,'Work Items'!D:D,B55,'Work Items'!A:A,"Task"),0)</f>
        <v/>
      </c>
      <c r="M55" s="9">
        <f>IF(ISNUMBER(I55),I55-L55,"N/A")</f>
        <v/>
      </c>
      <c r="N55" s="10">
        <f>IF(AND(ISNUMBER(H55),K55&gt;0),INT(H55-K55),"TBD")</f>
        <v/>
      </c>
      <c r="O55" s="100">
        <f>TEXT(COUNTIFS('Work Items'!A:A,"Task",'Work Items'!D:D,B55,'Work Items'!L:L,"Completed"),"0")&amp;" / "&amp;TEXT(COUNTIFS('Work Items'!A:A,"Task",'Work Items'!D:D,B55),"0")&amp;" Tasks"</f>
        <v/>
      </c>
      <c r="P55" s="100">
        <f>TEXT(COUNTIFS('Work Items'!A:A,"Bug",'Work Items'!D:D,B55,'Work Items'!L:L,"Fixed"),"0")&amp;" / "&amp;TEXT(COUNTIFS('Work Items'!A:A,"Bug",'Work Items'!D:D,B55),"0")&amp;" Bugs"</f>
        <v/>
      </c>
      <c r="Q55" s="100">
        <f>TEXT(COUNTIFS('Work Items'!A:A,"Risk",'Work Items'!D:D,B55,'Work Items'!L:L,"Open"),"0")&amp;" Open"</f>
        <v/>
      </c>
      <c r="R55" s="100">
        <f>TEXT(COUNTIFS('Work Items'!A:A,"CR",'Work Items'!D:D,B55,'Work Items'!L:L,"Pending Approval"),"0")&amp;" Pending"</f>
        <v/>
      </c>
      <c r="S55" s="11">
        <f>IF(N55="TBD","Yellow",IF(ISNUMBER(N55),IF(N55&lt;0,"Red",IF(N55&lt;14,"Yellow","Green")),"Yellow"))</f>
        <v/>
      </c>
      <c r="T55" s="11">
        <f>IF(NOT(ISNUMBER(M55)),"Yellow",IF(M55&lt;0,"Red",IF(M55/I55&lt;0.05,"Yellow","Green")))</f>
        <v/>
      </c>
      <c r="U55" s="11">
        <f>IF(OR(S55="Red",T55="Red"),"Red",IF(OR(S55="Yellow",T55="Yellow"),"Yellow","Green"))</f>
        <v/>
      </c>
    </row>
    <row r="56">
      <c r="A56" s="2">
        <f>IFERROR(INDEX('Projects Master'!$A:$A,ROW()-1),"")</f>
        <v/>
      </c>
      <c r="B56" s="101">
        <f>IFERROR(VLOOKUP(A56,'Projects Master'!$A:$I,2,0),"")</f>
        <v/>
      </c>
      <c r="C56" s="101">
        <f>IFERROR(VLOOKUP(A56,'Projects Master'!$A:$I,3,0),"")</f>
        <v/>
      </c>
      <c r="D56" s="101">
        <f>IFERROR(VLOOKUP(A56,'Projects Master'!$A:$I,4,0),"")</f>
        <v/>
      </c>
      <c r="E56" s="4">
        <f>IFERROR(VLOOKUP(A56,'Projects Master'!$A:$I,5,0),"")</f>
        <v/>
      </c>
      <c r="F56" s="92">
        <f>IFERROR(VLOOKUP(A56,'Projects Master'!$A:$I,6,0),"")</f>
        <v/>
      </c>
      <c r="G56" s="6">
        <f>IFERROR(VLOOKUP(A56,'Projects Master'!$A:$I,7,0),"")</f>
        <v/>
      </c>
      <c r="H56" s="6">
        <f>IFERROR(VLOOKUP(A56,'Projects Master'!$A:$I,8,0),"")</f>
        <v/>
      </c>
      <c r="I56" s="7">
        <f>IFERROR(VLOOKUP(A56,'Projects Master'!$A:$I,9,0),"")</f>
        <v/>
      </c>
      <c r="J56" s="6">
        <f>_xlfn.LET(_xlpm.t,_xlfn.MINIFS('Work Items'!P:P,'Work Items'!D:D,B56,'Work Items'!A:A,"Task"),_xlpm.b,_xlfn.MINIFS('Work Items'!P:P,'Work Items'!D:D,B56,'Work Items'!A:A,"Bug"),_xlpm.m,IF(AND(_xlpm.t=0,_xlpm.b=0),0,IF(_xlpm.t=0,_xlpm.b,IF(_xlpm.b=0,_xlpm.t,MIN(_xlpm.t,_xlpm.b)))),IF(_xlpm.m=0,G56,_xlpm.m))</f>
        <v/>
      </c>
      <c r="K56" s="6">
        <f>_xlfn.LET(_xlpm.t,_xlfn.MAXIFS('Work Items'!Q:Q,'Work Items'!D:D,B56,'Work Items'!A:A,"Task"),_xlpm.b,_xlfn.MAXIFS('Work Items'!Q:Q,'Work Items'!D:D,B56,'Work Items'!A:A,"Bug"),_xlpm.m,MAX(_xlpm.t,_xlpm.b),IF(_xlpm.m=0,H56,_xlpm.m))</f>
        <v/>
      </c>
      <c r="L56" s="8">
        <f>IFERROR(SUMIFS('Work Items'!O:O,'Work Items'!D:D,B56,'Work Items'!A:A,"Task"),0)</f>
        <v/>
      </c>
      <c r="M56" s="9">
        <f>IF(ISNUMBER(I56),I56-L56,"N/A")</f>
        <v/>
      </c>
      <c r="N56" s="10">
        <f>IF(AND(ISNUMBER(H56),K56&gt;0),INT(H56-K56),"TBD")</f>
        <v/>
      </c>
      <c r="O56" s="100">
        <f>TEXT(COUNTIFS('Work Items'!A:A,"Task",'Work Items'!D:D,B56,'Work Items'!L:L,"Completed"),"0")&amp;" / "&amp;TEXT(COUNTIFS('Work Items'!A:A,"Task",'Work Items'!D:D,B56),"0")&amp;" Tasks"</f>
        <v/>
      </c>
      <c r="P56" s="100">
        <f>TEXT(COUNTIFS('Work Items'!A:A,"Bug",'Work Items'!D:D,B56,'Work Items'!L:L,"Fixed"),"0")&amp;" / "&amp;TEXT(COUNTIFS('Work Items'!A:A,"Bug",'Work Items'!D:D,B56),"0")&amp;" Bugs"</f>
        <v/>
      </c>
      <c r="Q56" s="100">
        <f>TEXT(COUNTIFS('Work Items'!A:A,"Risk",'Work Items'!D:D,B56,'Work Items'!L:L,"Open"),"0")&amp;" Open"</f>
        <v/>
      </c>
      <c r="R56" s="100">
        <f>TEXT(COUNTIFS('Work Items'!A:A,"CR",'Work Items'!D:D,B56,'Work Items'!L:L,"Pending Approval"),"0")&amp;" Pending"</f>
        <v/>
      </c>
      <c r="S56" s="11">
        <f>IF(N56="TBD","Yellow",IF(ISNUMBER(N56),IF(N56&lt;0,"Red",IF(N56&lt;14,"Yellow","Green")),"Yellow"))</f>
        <v/>
      </c>
      <c r="T56" s="11">
        <f>IF(NOT(ISNUMBER(M56)),"Yellow",IF(M56&lt;0,"Red",IF(M56/I56&lt;0.05,"Yellow","Green")))</f>
        <v/>
      </c>
      <c r="U56" s="11">
        <f>IF(OR(S56="Red",T56="Red"),"Red",IF(OR(S56="Yellow",T56="Yellow"),"Yellow","Green"))</f>
        <v/>
      </c>
    </row>
    <row r="57">
      <c r="A57" s="2">
        <f>IFERROR(INDEX('Projects Master'!$A:$A,ROW()-1),"")</f>
        <v/>
      </c>
      <c r="B57" s="101">
        <f>IFERROR(VLOOKUP(A57,'Projects Master'!$A:$I,2,0),"")</f>
        <v/>
      </c>
      <c r="C57" s="101">
        <f>IFERROR(VLOOKUP(A57,'Projects Master'!$A:$I,3,0),"")</f>
        <v/>
      </c>
      <c r="D57" s="101">
        <f>IFERROR(VLOOKUP(A57,'Projects Master'!$A:$I,4,0),"")</f>
        <v/>
      </c>
      <c r="E57" s="4">
        <f>IFERROR(VLOOKUP(A57,'Projects Master'!$A:$I,5,0),"")</f>
        <v/>
      </c>
      <c r="F57" s="92">
        <f>IFERROR(VLOOKUP(A57,'Projects Master'!$A:$I,6,0),"")</f>
        <v/>
      </c>
      <c r="G57" s="6">
        <f>IFERROR(VLOOKUP(A57,'Projects Master'!$A:$I,7,0),"")</f>
        <v/>
      </c>
      <c r="H57" s="6">
        <f>IFERROR(VLOOKUP(A57,'Projects Master'!$A:$I,8,0),"")</f>
        <v/>
      </c>
      <c r="I57" s="7">
        <f>IFERROR(VLOOKUP(A57,'Projects Master'!$A:$I,9,0),"")</f>
        <v/>
      </c>
      <c r="J57" s="6">
        <f>_xlfn.LET(_xlpm.t,_xlfn.MINIFS('Work Items'!P:P,'Work Items'!D:D,B57,'Work Items'!A:A,"Task"),_xlpm.b,_xlfn.MINIFS('Work Items'!P:P,'Work Items'!D:D,B57,'Work Items'!A:A,"Bug"),_xlpm.m,IF(AND(_xlpm.t=0,_xlpm.b=0),0,IF(_xlpm.t=0,_xlpm.b,IF(_xlpm.b=0,_xlpm.t,MIN(_xlpm.t,_xlpm.b)))),IF(_xlpm.m=0,G57,_xlpm.m))</f>
        <v/>
      </c>
      <c r="K57" s="6">
        <f>_xlfn.LET(_xlpm.t,_xlfn.MAXIFS('Work Items'!Q:Q,'Work Items'!D:D,B57,'Work Items'!A:A,"Task"),_xlpm.b,_xlfn.MAXIFS('Work Items'!Q:Q,'Work Items'!D:D,B57,'Work Items'!A:A,"Bug"),_xlpm.m,MAX(_xlpm.t,_xlpm.b),IF(_xlpm.m=0,H57,_xlpm.m))</f>
        <v/>
      </c>
      <c r="L57" s="8">
        <f>IFERROR(SUMIFS('Work Items'!O:O,'Work Items'!D:D,B57,'Work Items'!A:A,"Task"),0)</f>
        <v/>
      </c>
      <c r="M57" s="9">
        <f>IF(ISNUMBER(I57),I57-L57,"N/A")</f>
        <v/>
      </c>
      <c r="N57" s="10">
        <f>IF(AND(ISNUMBER(H57),K57&gt;0),INT(H57-K57),"TBD")</f>
        <v/>
      </c>
      <c r="O57" s="100">
        <f>TEXT(COUNTIFS('Work Items'!A:A,"Task",'Work Items'!D:D,B57,'Work Items'!L:L,"Completed"),"0")&amp;" / "&amp;TEXT(COUNTIFS('Work Items'!A:A,"Task",'Work Items'!D:D,B57),"0")&amp;" Tasks"</f>
        <v/>
      </c>
      <c r="P57" s="100">
        <f>TEXT(COUNTIFS('Work Items'!A:A,"Bug",'Work Items'!D:D,B57,'Work Items'!L:L,"Fixed"),"0")&amp;" / "&amp;TEXT(COUNTIFS('Work Items'!A:A,"Bug",'Work Items'!D:D,B57),"0")&amp;" Bugs"</f>
        <v/>
      </c>
      <c r="Q57" s="100">
        <f>TEXT(COUNTIFS('Work Items'!A:A,"Risk",'Work Items'!D:D,B57,'Work Items'!L:L,"Open"),"0")&amp;" Open"</f>
        <v/>
      </c>
      <c r="R57" s="100">
        <f>TEXT(COUNTIFS('Work Items'!A:A,"CR",'Work Items'!D:D,B57,'Work Items'!L:L,"Pending Approval"),"0")&amp;" Pending"</f>
        <v/>
      </c>
      <c r="S57" s="11">
        <f>IF(N57="TBD","Yellow",IF(ISNUMBER(N57),IF(N57&lt;0,"Red",IF(N57&lt;14,"Yellow","Green")),"Yellow"))</f>
        <v/>
      </c>
      <c r="T57" s="11">
        <f>IF(NOT(ISNUMBER(M57)),"Yellow",IF(M57&lt;0,"Red",IF(M57/I57&lt;0.05,"Yellow","Green")))</f>
        <v/>
      </c>
      <c r="U57" s="11">
        <f>IF(OR(S57="Red",T57="Red"),"Red",IF(OR(S57="Yellow",T57="Yellow"),"Yellow","Green"))</f>
        <v/>
      </c>
    </row>
    <row r="58">
      <c r="A58" s="2">
        <f>IFERROR(INDEX('Projects Master'!$A:$A,ROW()-1),"")</f>
        <v/>
      </c>
      <c r="B58" s="101">
        <f>IFERROR(VLOOKUP(A58,'Projects Master'!$A:$I,2,0),"")</f>
        <v/>
      </c>
      <c r="C58" s="101">
        <f>IFERROR(VLOOKUP(A58,'Projects Master'!$A:$I,3,0),"")</f>
        <v/>
      </c>
      <c r="D58" s="101">
        <f>IFERROR(VLOOKUP(A58,'Projects Master'!$A:$I,4,0),"")</f>
        <v/>
      </c>
      <c r="E58" s="4">
        <f>IFERROR(VLOOKUP(A58,'Projects Master'!$A:$I,5,0),"")</f>
        <v/>
      </c>
      <c r="F58" s="92">
        <f>IFERROR(VLOOKUP(A58,'Projects Master'!$A:$I,6,0),"")</f>
        <v/>
      </c>
      <c r="G58" s="6">
        <f>IFERROR(VLOOKUP(A58,'Projects Master'!$A:$I,7,0),"")</f>
        <v/>
      </c>
      <c r="H58" s="6">
        <f>IFERROR(VLOOKUP(A58,'Projects Master'!$A:$I,8,0),"")</f>
        <v/>
      </c>
      <c r="I58" s="7">
        <f>IFERROR(VLOOKUP(A58,'Projects Master'!$A:$I,9,0),"")</f>
        <v/>
      </c>
      <c r="J58" s="6">
        <f>_xlfn.LET(_xlpm.t,_xlfn.MINIFS('Work Items'!P:P,'Work Items'!D:D,B58,'Work Items'!A:A,"Task"),_xlpm.b,_xlfn.MINIFS('Work Items'!P:P,'Work Items'!D:D,B58,'Work Items'!A:A,"Bug"),_xlpm.m,IF(AND(_xlpm.t=0,_xlpm.b=0),0,IF(_xlpm.t=0,_xlpm.b,IF(_xlpm.b=0,_xlpm.t,MIN(_xlpm.t,_xlpm.b)))),IF(_xlpm.m=0,G58,_xlpm.m))</f>
        <v/>
      </c>
      <c r="K58" s="6">
        <f>_xlfn.LET(_xlpm.t,_xlfn.MAXIFS('Work Items'!Q:Q,'Work Items'!D:D,B58,'Work Items'!A:A,"Task"),_xlpm.b,_xlfn.MAXIFS('Work Items'!Q:Q,'Work Items'!D:D,B58,'Work Items'!A:A,"Bug"),_xlpm.m,MAX(_xlpm.t,_xlpm.b),IF(_xlpm.m=0,H58,_xlpm.m))</f>
        <v/>
      </c>
      <c r="L58" s="8">
        <f>IFERROR(SUMIFS('Work Items'!O:O,'Work Items'!D:D,B58,'Work Items'!A:A,"Task"),0)</f>
        <v/>
      </c>
      <c r="M58" s="9">
        <f>IF(ISNUMBER(I58),I58-L58,"N/A")</f>
        <v/>
      </c>
      <c r="N58" s="10">
        <f>IF(AND(ISNUMBER(H58),K58&gt;0),INT(H58-K58),"TBD")</f>
        <v/>
      </c>
      <c r="O58" s="100">
        <f>TEXT(COUNTIFS('Work Items'!A:A,"Task",'Work Items'!D:D,B58,'Work Items'!L:L,"Completed"),"0")&amp;" / "&amp;TEXT(COUNTIFS('Work Items'!A:A,"Task",'Work Items'!D:D,B58),"0")&amp;" Tasks"</f>
        <v/>
      </c>
      <c r="P58" s="100">
        <f>TEXT(COUNTIFS('Work Items'!A:A,"Bug",'Work Items'!D:D,B58,'Work Items'!L:L,"Fixed"),"0")&amp;" / "&amp;TEXT(COUNTIFS('Work Items'!A:A,"Bug",'Work Items'!D:D,B58),"0")&amp;" Bugs"</f>
        <v/>
      </c>
      <c r="Q58" s="100">
        <f>TEXT(COUNTIFS('Work Items'!A:A,"Risk",'Work Items'!D:D,B58,'Work Items'!L:L,"Open"),"0")&amp;" Open"</f>
        <v/>
      </c>
      <c r="R58" s="100">
        <f>TEXT(COUNTIFS('Work Items'!A:A,"CR",'Work Items'!D:D,B58,'Work Items'!L:L,"Pending Approval"),"0")&amp;" Pending"</f>
        <v/>
      </c>
      <c r="S58" s="11">
        <f>IF(N58="TBD","Yellow",IF(ISNUMBER(N58),IF(N58&lt;0,"Red",IF(N58&lt;14,"Yellow","Green")),"Yellow"))</f>
        <v/>
      </c>
      <c r="T58" s="11">
        <f>IF(NOT(ISNUMBER(M58)),"Yellow",IF(M58&lt;0,"Red",IF(M58/I58&lt;0.05,"Yellow","Green")))</f>
        <v/>
      </c>
      <c r="U58" s="11">
        <f>IF(OR(S58="Red",T58="Red"),"Red",IF(OR(S58="Yellow",T58="Yellow"),"Yellow","Green"))</f>
        <v/>
      </c>
    </row>
    <row r="59">
      <c r="A59" s="2">
        <f>IFERROR(INDEX('Projects Master'!$A:$A,ROW()-1),"")</f>
        <v/>
      </c>
      <c r="B59" s="101">
        <f>IFERROR(VLOOKUP(A59,'Projects Master'!$A:$I,2,0),"")</f>
        <v/>
      </c>
      <c r="C59" s="101">
        <f>IFERROR(VLOOKUP(A59,'Projects Master'!$A:$I,3,0),"")</f>
        <v/>
      </c>
      <c r="D59" s="101">
        <f>IFERROR(VLOOKUP(A59,'Projects Master'!$A:$I,4,0),"")</f>
        <v/>
      </c>
      <c r="E59" s="4">
        <f>IFERROR(VLOOKUP(A59,'Projects Master'!$A:$I,5,0),"")</f>
        <v/>
      </c>
      <c r="F59" s="92">
        <f>IFERROR(VLOOKUP(A59,'Projects Master'!$A:$I,6,0),"")</f>
        <v/>
      </c>
      <c r="G59" s="6">
        <f>IFERROR(VLOOKUP(A59,'Projects Master'!$A:$I,7,0),"")</f>
        <v/>
      </c>
      <c r="H59" s="6">
        <f>IFERROR(VLOOKUP(A59,'Projects Master'!$A:$I,8,0),"")</f>
        <v/>
      </c>
      <c r="I59" s="7">
        <f>IFERROR(VLOOKUP(A59,'Projects Master'!$A:$I,9,0),"")</f>
        <v/>
      </c>
      <c r="J59" s="6">
        <f>_xlfn.LET(_xlpm.t,_xlfn.MINIFS('Work Items'!P:P,'Work Items'!D:D,B59,'Work Items'!A:A,"Task"),_xlpm.b,_xlfn.MINIFS('Work Items'!P:P,'Work Items'!D:D,B59,'Work Items'!A:A,"Bug"),_xlpm.m,IF(AND(_xlpm.t=0,_xlpm.b=0),0,IF(_xlpm.t=0,_xlpm.b,IF(_xlpm.b=0,_xlpm.t,MIN(_xlpm.t,_xlpm.b)))),IF(_xlpm.m=0,G59,_xlpm.m))</f>
        <v/>
      </c>
      <c r="K59" s="6">
        <f>_xlfn.LET(_xlpm.t,_xlfn.MAXIFS('Work Items'!Q:Q,'Work Items'!D:D,B59,'Work Items'!A:A,"Task"),_xlpm.b,_xlfn.MAXIFS('Work Items'!Q:Q,'Work Items'!D:D,B59,'Work Items'!A:A,"Bug"),_xlpm.m,MAX(_xlpm.t,_xlpm.b),IF(_xlpm.m=0,H59,_xlpm.m))</f>
        <v/>
      </c>
      <c r="L59" s="8">
        <f>IFERROR(SUMIFS('Work Items'!O:O,'Work Items'!D:D,B59,'Work Items'!A:A,"Task"),0)</f>
        <v/>
      </c>
      <c r="M59" s="9">
        <f>IF(ISNUMBER(I59),I59-L59,"N/A")</f>
        <v/>
      </c>
      <c r="N59" s="10">
        <f>IF(AND(ISNUMBER(H59),K59&gt;0),INT(H59-K59),"TBD")</f>
        <v/>
      </c>
      <c r="O59" s="100">
        <f>TEXT(COUNTIFS('Work Items'!A:A,"Task",'Work Items'!D:D,B59,'Work Items'!L:L,"Completed"),"0")&amp;" / "&amp;TEXT(COUNTIFS('Work Items'!A:A,"Task",'Work Items'!D:D,B59),"0")&amp;" Tasks"</f>
        <v/>
      </c>
      <c r="P59" s="100">
        <f>TEXT(COUNTIFS('Work Items'!A:A,"Bug",'Work Items'!D:D,B59,'Work Items'!L:L,"Fixed"),"0")&amp;" / "&amp;TEXT(COUNTIFS('Work Items'!A:A,"Bug",'Work Items'!D:D,B59),"0")&amp;" Bugs"</f>
        <v/>
      </c>
      <c r="Q59" s="100">
        <f>TEXT(COUNTIFS('Work Items'!A:A,"Risk",'Work Items'!D:D,B59,'Work Items'!L:L,"Open"),"0")&amp;" Open"</f>
        <v/>
      </c>
      <c r="R59" s="100">
        <f>TEXT(COUNTIFS('Work Items'!A:A,"CR",'Work Items'!D:D,B59,'Work Items'!L:L,"Pending Approval"),"0")&amp;" Pending"</f>
        <v/>
      </c>
      <c r="S59" s="11">
        <f>IF(N59="TBD","Yellow",IF(ISNUMBER(N59),IF(N59&lt;0,"Red",IF(N59&lt;14,"Yellow","Green")),"Yellow"))</f>
        <v/>
      </c>
      <c r="T59" s="11">
        <f>IF(NOT(ISNUMBER(M59)),"Yellow",IF(M59&lt;0,"Red",IF(M59/I59&lt;0.05,"Yellow","Green")))</f>
        <v/>
      </c>
      <c r="U59" s="11">
        <f>IF(OR(S59="Red",T59="Red"),"Red",IF(OR(S59="Yellow",T59="Yellow"),"Yellow","Green"))</f>
        <v/>
      </c>
    </row>
    <row r="60">
      <c r="A60" s="2">
        <f>IFERROR(INDEX('Projects Master'!$A:$A,ROW()-1),"")</f>
        <v/>
      </c>
      <c r="B60" s="101">
        <f>IFERROR(VLOOKUP(A60,'Projects Master'!$A:$I,2,0),"")</f>
        <v/>
      </c>
      <c r="C60" s="101">
        <f>IFERROR(VLOOKUP(A60,'Projects Master'!$A:$I,3,0),"")</f>
        <v/>
      </c>
      <c r="D60" s="101">
        <f>IFERROR(VLOOKUP(A60,'Projects Master'!$A:$I,4,0),"")</f>
        <v/>
      </c>
      <c r="E60" s="4">
        <f>IFERROR(VLOOKUP(A60,'Projects Master'!$A:$I,5,0),"")</f>
        <v/>
      </c>
      <c r="F60" s="92">
        <f>IFERROR(VLOOKUP(A60,'Projects Master'!$A:$I,6,0),"")</f>
        <v/>
      </c>
      <c r="G60" s="6">
        <f>IFERROR(VLOOKUP(A60,'Projects Master'!$A:$I,7,0),"")</f>
        <v/>
      </c>
      <c r="H60" s="6">
        <f>IFERROR(VLOOKUP(A60,'Projects Master'!$A:$I,8,0),"")</f>
        <v/>
      </c>
      <c r="I60" s="7">
        <f>IFERROR(VLOOKUP(A60,'Projects Master'!$A:$I,9,0),"")</f>
        <v/>
      </c>
      <c r="J60" s="6">
        <f>_xlfn.LET(_xlpm.t,_xlfn.MINIFS('Work Items'!P:P,'Work Items'!D:D,B60,'Work Items'!A:A,"Task"),_xlpm.b,_xlfn.MINIFS('Work Items'!P:P,'Work Items'!D:D,B60,'Work Items'!A:A,"Bug"),_xlpm.m,IF(AND(_xlpm.t=0,_xlpm.b=0),0,IF(_xlpm.t=0,_xlpm.b,IF(_xlpm.b=0,_xlpm.t,MIN(_xlpm.t,_xlpm.b)))),IF(_xlpm.m=0,G60,_xlpm.m))</f>
        <v/>
      </c>
      <c r="K60" s="6">
        <f>_xlfn.LET(_xlpm.t,_xlfn.MAXIFS('Work Items'!Q:Q,'Work Items'!D:D,B60,'Work Items'!A:A,"Task"),_xlpm.b,_xlfn.MAXIFS('Work Items'!Q:Q,'Work Items'!D:D,B60,'Work Items'!A:A,"Bug"),_xlpm.m,MAX(_xlpm.t,_xlpm.b),IF(_xlpm.m=0,H60,_xlpm.m))</f>
        <v/>
      </c>
      <c r="L60" s="8">
        <f>IFERROR(SUMIFS('Work Items'!O:O,'Work Items'!D:D,B60,'Work Items'!A:A,"Task"),0)</f>
        <v/>
      </c>
      <c r="M60" s="9">
        <f>IF(ISNUMBER(I60),I60-L60,"N/A")</f>
        <v/>
      </c>
      <c r="N60" s="10">
        <f>IF(AND(ISNUMBER(H60),K60&gt;0),INT(H60-K60),"TBD")</f>
        <v/>
      </c>
      <c r="O60" s="100">
        <f>TEXT(COUNTIFS('Work Items'!A:A,"Task",'Work Items'!D:D,B60,'Work Items'!L:L,"Completed"),"0")&amp;" / "&amp;TEXT(COUNTIFS('Work Items'!A:A,"Task",'Work Items'!D:D,B60),"0")&amp;" Tasks"</f>
        <v/>
      </c>
      <c r="P60" s="100">
        <f>TEXT(COUNTIFS('Work Items'!A:A,"Bug",'Work Items'!D:D,B60,'Work Items'!L:L,"Fixed"),"0")&amp;" / "&amp;TEXT(COUNTIFS('Work Items'!A:A,"Bug",'Work Items'!D:D,B60),"0")&amp;" Bugs"</f>
        <v/>
      </c>
      <c r="Q60" s="100">
        <f>TEXT(COUNTIFS('Work Items'!A:A,"Risk",'Work Items'!D:D,B60,'Work Items'!L:L,"Open"),"0")&amp;" Open"</f>
        <v/>
      </c>
      <c r="R60" s="100">
        <f>TEXT(COUNTIFS('Work Items'!A:A,"CR",'Work Items'!D:D,B60,'Work Items'!L:L,"Pending Approval"),"0")&amp;" Pending"</f>
        <v/>
      </c>
      <c r="S60" s="11">
        <f>IF(N60="TBD","Yellow",IF(ISNUMBER(N60),IF(N60&lt;0,"Red",IF(N60&lt;14,"Yellow","Green")),"Yellow"))</f>
        <v/>
      </c>
      <c r="T60" s="11">
        <f>IF(NOT(ISNUMBER(M60)),"Yellow",IF(M60&lt;0,"Red",IF(M60/I60&lt;0.05,"Yellow","Green")))</f>
        <v/>
      </c>
      <c r="U60" s="11">
        <f>IF(OR(S60="Red",T60="Red"),"Red",IF(OR(S60="Yellow",T60="Yellow"),"Yellow","Green"))</f>
        <v/>
      </c>
    </row>
    <row r="61">
      <c r="A61" s="2">
        <f>IFERROR(INDEX('Projects Master'!$A:$A,ROW()-1),"")</f>
        <v/>
      </c>
      <c r="B61" s="101">
        <f>IFERROR(VLOOKUP(A61,'Projects Master'!$A:$I,2,0),"")</f>
        <v/>
      </c>
      <c r="C61" s="101">
        <f>IFERROR(VLOOKUP(A61,'Projects Master'!$A:$I,3,0),"")</f>
        <v/>
      </c>
      <c r="D61" s="101">
        <f>IFERROR(VLOOKUP(A61,'Projects Master'!$A:$I,4,0),"")</f>
        <v/>
      </c>
      <c r="E61" s="4">
        <f>IFERROR(VLOOKUP(A61,'Projects Master'!$A:$I,5,0),"")</f>
        <v/>
      </c>
      <c r="F61" s="92">
        <f>IFERROR(VLOOKUP(A61,'Projects Master'!$A:$I,6,0),"")</f>
        <v/>
      </c>
      <c r="G61" s="6">
        <f>IFERROR(VLOOKUP(A61,'Projects Master'!$A:$I,7,0),"")</f>
        <v/>
      </c>
      <c r="H61" s="6">
        <f>IFERROR(VLOOKUP(A61,'Projects Master'!$A:$I,8,0),"")</f>
        <v/>
      </c>
      <c r="I61" s="7">
        <f>IFERROR(VLOOKUP(A61,'Projects Master'!$A:$I,9,0),"")</f>
        <v/>
      </c>
      <c r="J61" s="6">
        <f>_xlfn.LET(_xlpm.t,_xlfn.MINIFS('Work Items'!P:P,'Work Items'!D:D,B61,'Work Items'!A:A,"Task"),_xlpm.b,_xlfn.MINIFS('Work Items'!P:P,'Work Items'!D:D,B61,'Work Items'!A:A,"Bug"),_xlpm.m,IF(AND(_xlpm.t=0,_xlpm.b=0),0,IF(_xlpm.t=0,_xlpm.b,IF(_xlpm.b=0,_xlpm.t,MIN(_xlpm.t,_xlpm.b)))),IF(_xlpm.m=0,G61,_xlpm.m))</f>
        <v/>
      </c>
      <c r="K61" s="6">
        <f>_xlfn.LET(_xlpm.t,_xlfn.MAXIFS('Work Items'!Q:Q,'Work Items'!D:D,B61,'Work Items'!A:A,"Task"),_xlpm.b,_xlfn.MAXIFS('Work Items'!Q:Q,'Work Items'!D:D,B61,'Work Items'!A:A,"Bug"),_xlpm.m,MAX(_xlpm.t,_xlpm.b),IF(_xlpm.m=0,H61,_xlpm.m))</f>
        <v/>
      </c>
      <c r="L61" s="8">
        <f>IFERROR(SUMIFS('Work Items'!O:O,'Work Items'!D:D,B61,'Work Items'!A:A,"Task"),0)</f>
        <v/>
      </c>
      <c r="M61" s="9">
        <f>IF(ISNUMBER(I61),I61-L61,"N/A")</f>
        <v/>
      </c>
      <c r="N61" s="10">
        <f>IF(AND(ISNUMBER(H61),K61&gt;0),INT(H61-K61),"TBD")</f>
        <v/>
      </c>
      <c r="O61" s="100">
        <f>TEXT(COUNTIFS('Work Items'!A:A,"Task",'Work Items'!D:D,B61,'Work Items'!L:L,"Completed"),"0")&amp;" / "&amp;TEXT(COUNTIFS('Work Items'!A:A,"Task",'Work Items'!D:D,B61),"0")&amp;" Tasks"</f>
        <v/>
      </c>
      <c r="P61" s="100">
        <f>TEXT(COUNTIFS('Work Items'!A:A,"Bug",'Work Items'!D:D,B61,'Work Items'!L:L,"Fixed"),"0")&amp;" / "&amp;TEXT(COUNTIFS('Work Items'!A:A,"Bug",'Work Items'!D:D,B61),"0")&amp;" Bugs"</f>
        <v/>
      </c>
      <c r="Q61" s="100">
        <f>TEXT(COUNTIFS('Work Items'!A:A,"Risk",'Work Items'!D:D,B61,'Work Items'!L:L,"Open"),"0")&amp;" Open"</f>
        <v/>
      </c>
      <c r="R61" s="100">
        <f>TEXT(COUNTIFS('Work Items'!A:A,"CR",'Work Items'!D:D,B61,'Work Items'!L:L,"Pending Approval"),"0")&amp;" Pending"</f>
        <v/>
      </c>
      <c r="S61" s="11">
        <f>IF(N61="TBD","Yellow",IF(ISNUMBER(N61),IF(N61&lt;0,"Red",IF(N61&lt;14,"Yellow","Green")),"Yellow"))</f>
        <v/>
      </c>
      <c r="T61" s="11">
        <f>IF(NOT(ISNUMBER(M61)),"Yellow",IF(M61&lt;0,"Red",IF(M61/I61&lt;0.05,"Yellow","Green")))</f>
        <v/>
      </c>
      <c r="U61" s="11">
        <f>IF(OR(S61="Red",T61="Red"),"Red",IF(OR(S61="Yellow",T61="Yellow"),"Yellow","Green"))</f>
        <v/>
      </c>
    </row>
    <row r="62">
      <c r="A62" s="2">
        <f>IFERROR(INDEX('Projects Master'!$A:$A,ROW()-1),"")</f>
        <v/>
      </c>
      <c r="B62" s="101">
        <f>IFERROR(VLOOKUP(A62,'Projects Master'!$A:$I,2,0),"")</f>
        <v/>
      </c>
      <c r="C62" s="101">
        <f>IFERROR(VLOOKUP(A62,'Projects Master'!$A:$I,3,0),"")</f>
        <v/>
      </c>
      <c r="D62" s="101">
        <f>IFERROR(VLOOKUP(A62,'Projects Master'!$A:$I,4,0),"")</f>
        <v/>
      </c>
      <c r="E62" s="4">
        <f>IFERROR(VLOOKUP(A62,'Projects Master'!$A:$I,5,0),"")</f>
        <v/>
      </c>
      <c r="F62" s="92">
        <f>IFERROR(VLOOKUP(A62,'Projects Master'!$A:$I,6,0),"")</f>
        <v/>
      </c>
      <c r="G62" s="6">
        <f>IFERROR(VLOOKUP(A62,'Projects Master'!$A:$I,7,0),"")</f>
        <v/>
      </c>
      <c r="H62" s="6">
        <f>IFERROR(VLOOKUP(A62,'Projects Master'!$A:$I,8,0),"")</f>
        <v/>
      </c>
      <c r="I62" s="7">
        <f>IFERROR(VLOOKUP(A62,'Projects Master'!$A:$I,9,0),"")</f>
        <v/>
      </c>
      <c r="J62" s="6">
        <f>_xlfn.LET(_xlpm.t,_xlfn.MINIFS('Work Items'!P:P,'Work Items'!D:D,B62,'Work Items'!A:A,"Task"),_xlpm.b,_xlfn.MINIFS('Work Items'!P:P,'Work Items'!D:D,B62,'Work Items'!A:A,"Bug"),_xlpm.m,IF(AND(_xlpm.t=0,_xlpm.b=0),0,IF(_xlpm.t=0,_xlpm.b,IF(_xlpm.b=0,_xlpm.t,MIN(_xlpm.t,_xlpm.b)))),IF(_xlpm.m=0,G62,_xlpm.m))</f>
        <v/>
      </c>
      <c r="K62" s="6">
        <f>_xlfn.LET(_xlpm.t,_xlfn.MAXIFS('Work Items'!Q:Q,'Work Items'!D:D,B62,'Work Items'!A:A,"Task"),_xlpm.b,_xlfn.MAXIFS('Work Items'!Q:Q,'Work Items'!D:D,B62,'Work Items'!A:A,"Bug"),_xlpm.m,MAX(_xlpm.t,_xlpm.b),IF(_xlpm.m=0,H62,_xlpm.m))</f>
        <v/>
      </c>
      <c r="L62" s="8">
        <f>IFERROR(SUMIFS('Work Items'!O:O,'Work Items'!D:D,B62,'Work Items'!A:A,"Task"),0)</f>
        <v/>
      </c>
      <c r="M62" s="9">
        <f>IF(ISNUMBER(I62),I62-L62,"N/A")</f>
        <v/>
      </c>
      <c r="N62" s="10">
        <f>IF(AND(ISNUMBER(H62),K62&gt;0),INT(H62-K62),"TBD")</f>
        <v/>
      </c>
      <c r="O62" s="100">
        <f>TEXT(COUNTIFS('Work Items'!A:A,"Task",'Work Items'!D:D,B62,'Work Items'!L:L,"Completed"),"0")&amp;" / "&amp;TEXT(COUNTIFS('Work Items'!A:A,"Task",'Work Items'!D:D,B62),"0")&amp;" Tasks"</f>
        <v/>
      </c>
      <c r="P62" s="100">
        <f>TEXT(COUNTIFS('Work Items'!A:A,"Bug",'Work Items'!D:D,B62,'Work Items'!L:L,"Fixed"),"0")&amp;" / "&amp;TEXT(COUNTIFS('Work Items'!A:A,"Bug",'Work Items'!D:D,B62),"0")&amp;" Bugs"</f>
        <v/>
      </c>
      <c r="Q62" s="100">
        <f>TEXT(COUNTIFS('Work Items'!A:A,"Risk",'Work Items'!D:D,B62,'Work Items'!L:L,"Open"),"0")&amp;" Open"</f>
        <v/>
      </c>
      <c r="R62" s="100">
        <f>TEXT(COUNTIFS('Work Items'!A:A,"CR",'Work Items'!D:D,B62,'Work Items'!L:L,"Pending Approval"),"0")&amp;" Pending"</f>
        <v/>
      </c>
      <c r="S62" s="11">
        <f>IF(N62="TBD","Yellow",IF(ISNUMBER(N62),IF(N62&lt;0,"Red",IF(N62&lt;14,"Yellow","Green")),"Yellow"))</f>
        <v/>
      </c>
      <c r="T62" s="11">
        <f>IF(NOT(ISNUMBER(M62)),"Yellow",IF(M62&lt;0,"Red",IF(M62/I62&lt;0.05,"Yellow","Green")))</f>
        <v/>
      </c>
      <c r="U62" s="11">
        <f>IF(OR(S62="Red",T62="Red"),"Red",IF(OR(S62="Yellow",T62="Yellow"),"Yellow","Green"))</f>
        <v/>
      </c>
    </row>
    <row r="63">
      <c r="A63" s="2">
        <f>IFERROR(INDEX('Projects Master'!$A:$A,ROW()-1),"")</f>
        <v/>
      </c>
      <c r="B63" s="101">
        <f>IFERROR(VLOOKUP(A63,'Projects Master'!$A:$I,2,0),"")</f>
        <v/>
      </c>
      <c r="C63" s="101">
        <f>IFERROR(VLOOKUP(A63,'Projects Master'!$A:$I,3,0),"")</f>
        <v/>
      </c>
      <c r="D63" s="101">
        <f>IFERROR(VLOOKUP(A63,'Projects Master'!$A:$I,4,0),"")</f>
        <v/>
      </c>
      <c r="E63" s="4">
        <f>IFERROR(VLOOKUP(A63,'Projects Master'!$A:$I,5,0),"")</f>
        <v/>
      </c>
      <c r="F63" s="92">
        <f>IFERROR(VLOOKUP(A63,'Projects Master'!$A:$I,6,0),"")</f>
        <v/>
      </c>
      <c r="G63" s="6">
        <f>IFERROR(VLOOKUP(A63,'Projects Master'!$A:$I,7,0),"")</f>
        <v/>
      </c>
      <c r="H63" s="6">
        <f>IFERROR(VLOOKUP(A63,'Projects Master'!$A:$I,8,0),"")</f>
        <v/>
      </c>
      <c r="I63" s="7">
        <f>IFERROR(VLOOKUP(A63,'Projects Master'!$A:$I,9,0),"")</f>
        <v/>
      </c>
      <c r="J63" s="6">
        <f>_xlfn.LET(_xlpm.t,_xlfn.MINIFS('Work Items'!P:P,'Work Items'!D:D,B63,'Work Items'!A:A,"Task"),_xlpm.b,_xlfn.MINIFS('Work Items'!P:P,'Work Items'!D:D,B63,'Work Items'!A:A,"Bug"),_xlpm.m,IF(AND(_xlpm.t=0,_xlpm.b=0),0,IF(_xlpm.t=0,_xlpm.b,IF(_xlpm.b=0,_xlpm.t,MIN(_xlpm.t,_xlpm.b)))),IF(_xlpm.m=0,G63,_xlpm.m))</f>
        <v/>
      </c>
      <c r="K63" s="6">
        <f>_xlfn.LET(_xlpm.t,_xlfn.MAXIFS('Work Items'!Q:Q,'Work Items'!D:D,B63,'Work Items'!A:A,"Task"),_xlpm.b,_xlfn.MAXIFS('Work Items'!Q:Q,'Work Items'!D:D,B63,'Work Items'!A:A,"Bug"),_xlpm.m,MAX(_xlpm.t,_xlpm.b),IF(_xlpm.m=0,H63,_xlpm.m))</f>
        <v/>
      </c>
      <c r="L63" s="8">
        <f>IFERROR(SUMIFS('Work Items'!O:O,'Work Items'!D:D,B63,'Work Items'!A:A,"Task"),0)</f>
        <v/>
      </c>
      <c r="M63" s="9">
        <f>IF(ISNUMBER(I63),I63-L63,"N/A")</f>
        <v/>
      </c>
      <c r="N63" s="10">
        <f>IF(AND(ISNUMBER(H63),K63&gt;0),INT(H63-K63),"TBD")</f>
        <v/>
      </c>
      <c r="O63" s="100">
        <f>TEXT(COUNTIFS('Work Items'!A:A,"Task",'Work Items'!D:D,B63,'Work Items'!L:L,"Completed"),"0")&amp;" / "&amp;TEXT(COUNTIFS('Work Items'!A:A,"Task",'Work Items'!D:D,B63),"0")&amp;" Tasks"</f>
        <v/>
      </c>
      <c r="P63" s="100">
        <f>TEXT(COUNTIFS('Work Items'!A:A,"Bug",'Work Items'!D:D,B63,'Work Items'!L:L,"Fixed"),"0")&amp;" / "&amp;TEXT(COUNTIFS('Work Items'!A:A,"Bug",'Work Items'!D:D,B63),"0")&amp;" Bugs"</f>
        <v/>
      </c>
      <c r="Q63" s="100">
        <f>TEXT(COUNTIFS('Work Items'!A:A,"Risk",'Work Items'!D:D,B63,'Work Items'!L:L,"Open"),"0")&amp;" Open"</f>
        <v/>
      </c>
      <c r="R63" s="100">
        <f>TEXT(COUNTIFS('Work Items'!A:A,"CR",'Work Items'!D:D,B63,'Work Items'!L:L,"Pending Approval"),"0")&amp;" Pending"</f>
        <v/>
      </c>
      <c r="S63" s="11">
        <f>IF(N63="TBD","Yellow",IF(ISNUMBER(N63),IF(N63&lt;0,"Red",IF(N63&lt;14,"Yellow","Green")),"Yellow"))</f>
        <v/>
      </c>
      <c r="T63" s="11">
        <f>IF(NOT(ISNUMBER(M63)),"Yellow",IF(M63&lt;0,"Red",IF(M63/I63&lt;0.05,"Yellow","Green")))</f>
        <v/>
      </c>
      <c r="U63" s="11">
        <f>IF(OR(S63="Red",T63="Red"),"Red",IF(OR(S63="Yellow",T63="Yellow"),"Yellow","Green"))</f>
        <v/>
      </c>
    </row>
    <row r="64">
      <c r="A64" s="2">
        <f>IFERROR(INDEX('Projects Master'!$A:$A,ROW()-1),"")</f>
        <v/>
      </c>
      <c r="B64" s="101">
        <f>IFERROR(VLOOKUP(A64,'Projects Master'!$A:$I,2,0),"")</f>
        <v/>
      </c>
      <c r="C64" s="101">
        <f>IFERROR(VLOOKUP(A64,'Projects Master'!$A:$I,3,0),"")</f>
        <v/>
      </c>
      <c r="D64" s="101">
        <f>IFERROR(VLOOKUP(A64,'Projects Master'!$A:$I,4,0),"")</f>
        <v/>
      </c>
      <c r="E64" s="4">
        <f>IFERROR(VLOOKUP(A64,'Projects Master'!$A:$I,5,0),"")</f>
        <v/>
      </c>
      <c r="F64" s="92">
        <f>IFERROR(VLOOKUP(A64,'Projects Master'!$A:$I,6,0),"")</f>
        <v/>
      </c>
      <c r="G64" s="6">
        <f>IFERROR(VLOOKUP(A64,'Projects Master'!$A:$I,7,0),"")</f>
        <v/>
      </c>
      <c r="H64" s="6">
        <f>IFERROR(VLOOKUP(A64,'Projects Master'!$A:$I,8,0),"")</f>
        <v/>
      </c>
      <c r="I64" s="7">
        <f>IFERROR(VLOOKUP(A64,'Projects Master'!$A:$I,9,0),"")</f>
        <v/>
      </c>
      <c r="J64" s="6">
        <f>_xlfn.LET(_xlpm.t,_xlfn.MINIFS('Work Items'!P:P,'Work Items'!D:D,B64,'Work Items'!A:A,"Task"),_xlpm.b,_xlfn.MINIFS('Work Items'!P:P,'Work Items'!D:D,B64,'Work Items'!A:A,"Bug"),_xlpm.m,IF(AND(_xlpm.t=0,_xlpm.b=0),0,IF(_xlpm.t=0,_xlpm.b,IF(_xlpm.b=0,_xlpm.t,MIN(_xlpm.t,_xlpm.b)))),IF(_xlpm.m=0,G64,_xlpm.m))</f>
        <v/>
      </c>
      <c r="K64" s="6">
        <f>_xlfn.LET(_xlpm.t,_xlfn.MAXIFS('Work Items'!Q:Q,'Work Items'!D:D,B64,'Work Items'!A:A,"Task"),_xlpm.b,_xlfn.MAXIFS('Work Items'!Q:Q,'Work Items'!D:D,B64,'Work Items'!A:A,"Bug"),_xlpm.m,MAX(_xlpm.t,_xlpm.b),IF(_xlpm.m=0,H64,_xlpm.m))</f>
        <v/>
      </c>
      <c r="L64" s="8">
        <f>IFERROR(SUMIFS('Work Items'!O:O,'Work Items'!D:D,B64,'Work Items'!A:A,"Task"),0)</f>
        <v/>
      </c>
      <c r="M64" s="9">
        <f>IF(ISNUMBER(I64),I64-L64,"N/A")</f>
        <v/>
      </c>
      <c r="N64" s="10">
        <f>IF(AND(ISNUMBER(H64),K64&gt;0),INT(H64-K64),"TBD")</f>
        <v/>
      </c>
      <c r="O64" s="100">
        <f>TEXT(COUNTIFS('Work Items'!A:A,"Task",'Work Items'!D:D,B64,'Work Items'!L:L,"Completed"),"0")&amp;" / "&amp;TEXT(COUNTIFS('Work Items'!A:A,"Task",'Work Items'!D:D,B64),"0")&amp;" Tasks"</f>
        <v/>
      </c>
      <c r="P64" s="100">
        <f>TEXT(COUNTIFS('Work Items'!A:A,"Bug",'Work Items'!D:D,B64,'Work Items'!L:L,"Fixed"),"0")&amp;" / "&amp;TEXT(COUNTIFS('Work Items'!A:A,"Bug",'Work Items'!D:D,B64),"0")&amp;" Bugs"</f>
        <v/>
      </c>
      <c r="Q64" s="100">
        <f>TEXT(COUNTIFS('Work Items'!A:A,"Risk",'Work Items'!D:D,B64,'Work Items'!L:L,"Open"),"0")&amp;" Open"</f>
        <v/>
      </c>
      <c r="R64" s="100">
        <f>TEXT(COUNTIFS('Work Items'!A:A,"CR",'Work Items'!D:D,B64,'Work Items'!L:L,"Pending Approval"),"0")&amp;" Pending"</f>
        <v/>
      </c>
      <c r="S64" s="11">
        <f>IF(N64="TBD","Yellow",IF(ISNUMBER(N64),IF(N64&lt;0,"Red",IF(N64&lt;14,"Yellow","Green")),"Yellow"))</f>
        <v/>
      </c>
      <c r="T64" s="11">
        <f>IF(NOT(ISNUMBER(M64)),"Yellow",IF(M64&lt;0,"Red",IF(M64/I64&lt;0.05,"Yellow","Green")))</f>
        <v/>
      </c>
      <c r="U64" s="11">
        <f>IF(OR(S64="Red",T64="Red"),"Red",IF(OR(S64="Yellow",T64="Yellow"),"Yellow","Green"))</f>
        <v/>
      </c>
    </row>
    <row r="65">
      <c r="A65" s="2">
        <f>IFERROR(INDEX('Projects Master'!$A:$A,ROW()-1),"")</f>
        <v/>
      </c>
      <c r="B65" s="101">
        <f>IFERROR(VLOOKUP(A65,'Projects Master'!$A:$I,2,0),"")</f>
        <v/>
      </c>
      <c r="C65" s="101">
        <f>IFERROR(VLOOKUP(A65,'Projects Master'!$A:$I,3,0),"")</f>
        <v/>
      </c>
      <c r="D65" s="101">
        <f>IFERROR(VLOOKUP(A65,'Projects Master'!$A:$I,4,0),"")</f>
        <v/>
      </c>
      <c r="E65" s="4">
        <f>IFERROR(VLOOKUP(A65,'Projects Master'!$A:$I,5,0),"")</f>
        <v/>
      </c>
      <c r="F65" s="92">
        <f>IFERROR(VLOOKUP(A65,'Projects Master'!$A:$I,6,0),"")</f>
        <v/>
      </c>
      <c r="G65" s="6">
        <f>IFERROR(VLOOKUP(A65,'Projects Master'!$A:$I,7,0),"")</f>
        <v/>
      </c>
      <c r="H65" s="6">
        <f>IFERROR(VLOOKUP(A65,'Projects Master'!$A:$I,8,0),"")</f>
        <v/>
      </c>
      <c r="I65" s="7">
        <f>IFERROR(VLOOKUP(A65,'Projects Master'!$A:$I,9,0),"")</f>
        <v/>
      </c>
      <c r="J65" s="6">
        <f>_xlfn.LET(_xlpm.t,_xlfn.MINIFS('Work Items'!P:P,'Work Items'!D:D,B65,'Work Items'!A:A,"Task"),_xlpm.b,_xlfn.MINIFS('Work Items'!P:P,'Work Items'!D:D,B65,'Work Items'!A:A,"Bug"),_xlpm.m,IF(AND(_xlpm.t=0,_xlpm.b=0),0,IF(_xlpm.t=0,_xlpm.b,IF(_xlpm.b=0,_xlpm.t,MIN(_xlpm.t,_xlpm.b)))),IF(_xlpm.m=0,G65,_xlpm.m))</f>
        <v/>
      </c>
      <c r="K65" s="6">
        <f>_xlfn.LET(_xlpm.t,_xlfn.MAXIFS('Work Items'!Q:Q,'Work Items'!D:D,B65,'Work Items'!A:A,"Task"),_xlpm.b,_xlfn.MAXIFS('Work Items'!Q:Q,'Work Items'!D:D,B65,'Work Items'!A:A,"Bug"),_xlpm.m,MAX(_xlpm.t,_xlpm.b),IF(_xlpm.m=0,H65,_xlpm.m))</f>
        <v/>
      </c>
      <c r="L65" s="8">
        <f>IFERROR(SUMIFS('Work Items'!O:O,'Work Items'!D:D,B65,'Work Items'!A:A,"Task"),0)</f>
        <v/>
      </c>
      <c r="M65" s="9">
        <f>IF(ISNUMBER(I65),I65-L65,"N/A")</f>
        <v/>
      </c>
      <c r="N65" s="10">
        <f>IF(AND(ISNUMBER(H65),K65&gt;0),INT(H65-K65),"TBD")</f>
        <v/>
      </c>
      <c r="O65" s="100">
        <f>TEXT(COUNTIFS('Work Items'!A:A,"Task",'Work Items'!D:D,B65,'Work Items'!L:L,"Completed"),"0")&amp;" / "&amp;TEXT(COUNTIFS('Work Items'!A:A,"Task",'Work Items'!D:D,B65),"0")&amp;" Tasks"</f>
        <v/>
      </c>
      <c r="P65" s="100">
        <f>TEXT(COUNTIFS('Work Items'!A:A,"Bug",'Work Items'!D:D,B65,'Work Items'!L:L,"Fixed"),"0")&amp;" / "&amp;TEXT(COUNTIFS('Work Items'!A:A,"Bug",'Work Items'!D:D,B65),"0")&amp;" Bugs"</f>
        <v/>
      </c>
      <c r="Q65" s="100">
        <f>TEXT(COUNTIFS('Work Items'!A:A,"Risk",'Work Items'!D:D,B65,'Work Items'!L:L,"Open"),"0")&amp;" Open"</f>
        <v/>
      </c>
      <c r="R65" s="100">
        <f>TEXT(COUNTIFS('Work Items'!A:A,"CR",'Work Items'!D:D,B65,'Work Items'!L:L,"Pending Approval"),"0")&amp;" Pending"</f>
        <v/>
      </c>
      <c r="S65" s="11">
        <f>IF(N65="TBD","Yellow",IF(ISNUMBER(N65),IF(N65&lt;0,"Red",IF(N65&lt;14,"Yellow","Green")),"Yellow"))</f>
        <v/>
      </c>
      <c r="T65" s="11">
        <f>IF(NOT(ISNUMBER(M65)),"Yellow",IF(M65&lt;0,"Red",IF(M65/I65&lt;0.05,"Yellow","Green")))</f>
        <v/>
      </c>
      <c r="U65" s="11">
        <f>IF(OR(S65="Red",T65="Red"),"Red",IF(OR(S65="Yellow",T65="Yellow"),"Yellow","Green"))</f>
        <v/>
      </c>
    </row>
    <row r="66">
      <c r="A66" s="2">
        <f>IFERROR(INDEX('Projects Master'!$A:$A,ROW()-1),"")</f>
        <v/>
      </c>
      <c r="B66" s="101">
        <f>IFERROR(VLOOKUP(A66,'Projects Master'!$A:$I,2,0),"")</f>
        <v/>
      </c>
      <c r="C66" s="101">
        <f>IFERROR(VLOOKUP(A66,'Projects Master'!$A:$I,3,0),"")</f>
        <v/>
      </c>
      <c r="D66" s="101">
        <f>IFERROR(VLOOKUP(A66,'Projects Master'!$A:$I,4,0),"")</f>
        <v/>
      </c>
      <c r="E66" s="4">
        <f>IFERROR(VLOOKUP(A66,'Projects Master'!$A:$I,5,0),"")</f>
        <v/>
      </c>
      <c r="F66" s="92">
        <f>IFERROR(VLOOKUP(A66,'Projects Master'!$A:$I,6,0),"")</f>
        <v/>
      </c>
      <c r="G66" s="6">
        <f>IFERROR(VLOOKUP(A66,'Projects Master'!$A:$I,7,0),"")</f>
        <v/>
      </c>
      <c r="H66" s="6">
        <f>IFERROR(VLOOKUP(A66,'Projects Master'!$A:$I,8,0),"")</f>
        <v/>
      </c>
      <c r="I66" s="7">
        <f>IFERROR(VLOOKUP(A66,'Projects Master'!$A:$I,9,0),"")</f>
        <v/>
      </c>
      <c r="J66" s="6">
        <f>_xlfn.LET(_xlpm.t,_xlfn.MINIFS('Work Items'!P:P,'Work Items'!D:D,B66,'Work Items'!A:A,"Task"),_xlpm.b,_xlfn.MINIFS('Work Items'!P:P,'Work Items'!D:D,B66,'Work Items'!A:A,"Bug"),_xlpm.m,IF(AND(_xlpm.t=0,_xlpm.b=0),0,IF(_xlpm.t=0,_xlpm.b,IF(_xlpm.b=0,_xlpm.t,MIN(_xlpm.t,_xlpm.b)))),IF(_xlpm.m=0,G66,_xlpm.m))</f>
        <v/>
      </c>
      <c r="K66" s="6">
        <f>_xlfn.LET(_xlpm.t,_xlfn.MAXIFS('Work Items'!Q:Q,'Work Items'!D:D,B66,'Work Items'!A:A,"Task"),_xlpm.b,_xlfn.MAXIFS('Work Items'!Q:Q,'Work Items'!D:D,B66,'Work Items'!A:A,"Bug"),_xlpm.m,MAX(_xlpm.t,_xlpm.b),IF(_xlpm.m=0,H66,_xlpm.m))</f>
        <v/>
      </c>
      <c r="L66" s="8">
        <f>IFERROR(SUMIFS('Work Items'!O:O,'Work Items'!D:D,B66,'Work Items'!A:A,"Task"),0)</f>
        <v/>
      </c>
      <c r="M66" s="9">
        <f>IF(ISNUMBER(I66),I66-L66,"N/A")</f>
        <v/>
      </c>
      <c r="N66" s="10">
        <f>IF(AND(ISNUMBER(H66),K66&gt;0),INT(H66-K66),"TBD")</f>
        <v/>
      </c>
      <c r="O66" s="100">
        <f>TEXT(COUNTIFS('Work Items'!A:A,"Task",'Work Items'!D:D,B66,'Work Items'!L:L,"Completed"),"0")&amp;" / "&amp;TEXT(COUNTIFS('Work Items'!A:A,"Task",'Work Items'!D:D,B66),"0")&amp;" Tasks"</f>
        <v/>
      </c>
      <c r="P66" s="100">
        <f>TEXT(COUNTIFS('Work Items'!A:A,"Bug",'Work Items'!D:D,B66,'Work Items'!L:L,"Fixed"),"0")&amp;" / "&amp;TEXT(COUNTIFS('Work Items'!A:A,"Bug",'Work Items'!D:D,B66),"0")&amp;" Bugs"</f>
        <v/>
      </c>
      <c r="Q66" s="100">
        <f>TEXT(COUNTIFS('Work Items'!A:A,"Risk",'Work Items'!D:D,B66,'Work Items'!L:L,"Open"),"0")&amp;" Open"</f>
        <v/>
      </c>
      <c r="R66" s="100">
        <f>TEXT(COUNTIFS('Work Items'!A:A,"CR",'Work Items'!D:D,B66,'Work Items'!L:L,"Pending Approval"),"0")&amp;" Pending"</f>
        <v/>
      </c>
      <c r="S66" s="11">
        <f>IF(N66="TBD","Yellow",IF(ISNUMBER(N66),IF(N66&lt;0,"Red",IF(N66&lt;14,"Yellow","Green")),"Yellow"))</f>
        <v/>
      </c>
      <c r="T66" s="11">
        <f>IF(NOT(ISNUMBER(M66)),"Yellow",IF(M66&lt;0,"Red",IF(M66/I66&lt;0.05,"Yellow","Green")))</f>
        <v/>
      </c>
      <c r="U66" s="11">
        <f>IF(OR(S66="Red",T66="Red"),"Red",IF(OR(S66="Yellow",T66="Yellow"),"Yellow","Green"))</f>
        <v/>
      </c>
    </row>
    <row r="67">
      <c r="A67" s="2">
        <f>IFERROR(INDEX('Projects Master'!$A:$A,ROW()-1),"")</f>
        <v/>
      </c>
      <c r="B67" s="101">
        <f>IFERROR(VLOOKUP(A67,'Projects Master'!$A:$I,2,0),"")</f>
        <v/>
      </c>
      <c r="C67" s="101">
        <f>IFERROR(VLOOKUP(A67,'Projects Master'!$A:$I,3,0),"")</f>
        <v/>
      </c>
      <c r="D67" s="101">
        <f>IFERROR(VLOOKUP(A67,'Projects Master'!$A:$I,4,0),"")</f>
        <v/>
      </c>
      <c r="E67" s="4">
        <f>IFERROR(VLOOKUP(A67,'Projects Master'!$A:$I,5,0),"")</f>
        <v/>
      </c>
      <c r="F67" s="92">
        <f>IFERROR(VLOOKUP(A67,'Projects Master'!$A:$I,6,0),"")</f>
        <v/>
      </c>
      <c r="G67" s="6">
        <f>IFERROR(VLOOKUP(A67,'Projects Master'!$A:$I,7,0),"")</f>
        <v/>
      </c>
      <c r="H67" s="6">
        <f>IFERROR(VLOOKUP(A67,'Projects Master'!$A:$I,8,0),"")</f>
        <v/>
      </c>
      <c r="I67" s="7">
        <f>IFERROR(VLOOKUP(A67,'Projects Master'!$A:$I,9,0),"")</f>
        <v/>
      </c>
      <c r="J67" s="6">
        <f>_xlfn.LET(_xlpm.t,_xlfn.MINIFS('Work Items'!P:P,'Work Items'!D:D,B67,'Work Items'!A:A,"Task"),_xlpm.b,_xlfn.MINIFS('Work Items'!P:P,'Work Items'!D:D,B67,'Work Items'!A:A,"Bug"),_xlpm.m,IF(AND(_xlpm.t=0,_xlpm.b=0),0,IF(_xlpm.t=0,_xlpm.b,IF(_xlpm.b=0,_xlpm.t,MIN(_xlpm.t,_xlpm.b)))),IF(_xlpm.m=0,G67,_xlpm.m))</f>
        <v/>
      </c>
      <c r="K67" s="6">
        <f>_xlfn.LET(_xlpm.t,_xlfn.MAXIFS('Work Items'!Q:Q,'Work Items'!D:D,B67,'Work Items'!A:A,"Task"),_xlpm.b,_xlfn.MAXIFS('Work Items'!Q:Q,'Work Items'!D:D,B67,'Work Items'!A:A,"Bug"),_xlpm.m,MAX(_xlpm.t,_xlpm.b),IF(_xlpm.m=0,H67,_xlpm.m))</f>
        <v/>
      </c>
      <c r="L67" s="8">
        <f>IFERROR(SUMIFS('Work Items'!O:O,'Work Items'!D:D,B67,'Work Items'!A:A,"Task"),0)</f>
        <v/>
      </c>
      <c r="M67" s="9">
        <f>IF(ISNUMBER(I67),I67-L67,"N/A")</f>
        <v/>
      </c>
      <c r="N67" s="10">
        <f>IF(AND(ISNUMBER(H67),K67&gt;0),INT(H67-K67),"TBD")</f>
        <v/>
      </c>
      <c r="O67" s="100">
        <f>TEXT(COUNTIFS('Work Items'!A:A,"Task",'Work Items'!D:D,B67,'Work Items'!L:L,"Completed"),"0")&amp;" / "&amp;TEXT(COUNTIFS('Work Items'!A:A,"Task",'Work Items'!D:D,B67),"0")&amp;" Tasks"</f>
        <v/>
      </c>
      <c r="P67" s="100">
        <f>TEXT(COUNTIFS('Work Items'!A:A,"Bug",'Work Items'!D:D,B67,'Work Items'!L:L,"Fixed"),"0")&amp;" / "&amp;TEXT(COUNTIFS('Work Items'!A:A,"Bug",'Work Items'!D:D,B67),"0")&amp;" Bugs"</f>
        <v/>
      </c>
      <c r="Q67" s="100">
        <f>TEXT(COUNTIFS('Work Items'!A:A,"Risk",'Work Items'!D:D,B67,'Work Items'!L:L,"Open"),"0")&amp;" Open"</f>
        <v/>
      </c>
      <c r="R67" s="100">
        <f>TEXT(COUNTIFS('Work Items'!A:A,"CR",'Work Items'!D:D,B67,'Work Items'!L:L,"Pending Approval"),"0")&amp;" Pending"</f>
        <v/>
      </c>
      <c r="S67" s="11">
        <f>IF(N67="TBD","Yellow",IF(ISNUMBER(N67),IF(N67&lt;0,"Red",IF(N67&lt;14,"Yellow","Green")),"Yellow"))</f>
        <v/>
      </c>
      <c r="T67" s="11">
        <f>IF(NOT(ISNUMBER(M67)),"Yellow",IF(M67&lt;0,"Red",IF(M67/I67&lt;0.05,"Yellow","Green")))</f>
        <v/>
      </c>
      <c r="U67" s="11">
        <f>IF(OR(S67="Red",T67="Red"),"Red",IF(OR(S67="Yellow",T67="Yellow"),"Yellow","Green"))</f>
        <v/>
      </c>
    </row>
    <row r="68">
      <c r="A68" s="2">
        <f>IFERROR(INDEX('Projects Master'!$A:$A,ROW()-1),"")</f>
        <v/>
      </c>
      <c r="B68" s="101">
        <f>IFERROR(VLOOKUP(A68,'Projects Master'!$A:$I,2,0),"")</f>
        <v/>
      </c>
      <c r="C68" s="101">
        <f>IFERROR(VLOOKUP(A68,'Projects Master'!$A:$I,3,0),"")</f>
        <v/>
      </c>
      <c r="D68" s="101">
        <f>IFERROR(VLOOKUP(A68,'Projects Master'!$A:$I,4,0),"")</f>
        <v/>
      </c>
      <c r="E68" s="4">
        <f>IFERROR(VLOOKUP(A68,'Projects Master'!$A:$I,5,0),"")</f>
        <v/>
      </c>
      <c r="F68" s="92">
        <f>IFERROR(VLOOKUP(A68,'Projects Master'!$A:$I,6,0),"")</f>
        <v/>
      </c>
      <c r="G68" s="6">
        <f>IFERROR(VLOOKUP(A68,'Projects Master'!$A:$I,7,0),"")</f>
        <v/>
      </c>
      <c r="H68" s="6">
        <f>IFERROR(VLOOKUP(A68,'Projects Master'!$A:$I,8,0),"")</f>
        <v/>
      </c>
      <c r="I68" s="7">
        <f>IFERROR(VLOOKUP(A68,'Projects Master'!$A:$I,9,0),"")</f>
        <v/>
      </c>
      <c r="J68" s="6">
        <f>_xlfn.LET(_xlpm.t,_xlfn.MINIFS('Work Items'!P:P,'Work Items'!D:D,B68,'Work Items'!A:A,"Task"),_xlpm.b,_xlfn.MINIFS('Work Items'!P:P,'Work Items'!D:D,B68,'Work Items'!A:A,"Bug"),_xlpm.m,IF(AND(_xlpm.t=0,_xlpm.b=0),0,IF(_xlpm.t=0,_xlpm.b,IF(_xlpm.b=0,_xlpm.t,MIN(_xlpm.t,_xlpm.b)))),IF(_xlpm.m=0,G68,_xlpm.m))</f>
        <v/>
      </c>
      <c r="K68" s="6">
        <f>_xlfn.LET(_xlpm.t,_xlfn.MAXIFS('Work Items'!Q:Q,'Work Items'!D:D,B68,'Work Items'!A:A,"Task"),_xlpm.b,_xlfn.MAXIFS('Work Items'!Q:Q,'Work Items'!D:D,B68,'Work Items'!A:A,"Bug"),_xlpm.m,MAX(_xlpm.t,_xlpm.b),IF(_xlpm.m=0,H68,_xlpm.m))</f>
        <v/>
      </c>
      <c r="L68" s="8">
        <f>IFERROR(SUMIFS('Work Items'!O:O,'Work Items'!D:D,B68,'Work Items'!A:A,"Task"),0)</f>
        <v/>
      </c>
      <c r="M68" s="9">
        <f>IF(ISNUMBER(I68),I68-L68,"N/A")</f>
        <v/>
      </c>
      <c r="N68" s="10">
        <f>IF(AND(ISNUMBER(H68),K68&gt;0),INT(H68-K68),"TBD")</f>
        <v/>
      </c>
      <c r="O68" s="100">
        <f>TEXT(COUNTIFS('Work Items'!A:A,"Task",'Work Items'!D:D,B68,'Work Items'!L:L,"Completed"),"0")&amp;" / "&amp;TEXT(COUNTIFS('Work Items'!A:A,"Task",'Work Items'!D:D,B68),"0")&amp;" Tasks"</f>
        <v/>
      </c>
      <c r="P68" s="100">
        <f>TEXT(COUNTIFS('Work Items'!A:A,"Bug",'Work Items'!D:D,B68,'Work Items'!L:L,"Fixed"),"0")&amp;" / "&amp;TEXT(COUNTIFS('Work Items'!A:A,"Bug",'Work Items'!D:D,B68),"0")&amp;" Bugs"</f>
        <v/>
      </c>
      <c r="Q68" s="100">
        <f>TEXT(COUNTIFS('Work Items'!A:A,"Risk",'Work Items'!D:D,B68,'Work Items'!L:L,"Open"),"0")&amp;" Open"</f>
        <v/>
      </c>
      <c r="R68" s="100">
        <f>TEXT(COUNTIFS('Work Items'!A:A,"CR",'Work Items'!D:D,B68,'Work Items'!L:L,"Pending Approval"),"0")&amp;" Pending"</f>
        <v/>
      </c>
      <c r="S68" s="11">
        <f>IF(N68="TBD","Yellow",IF(ISNUMBER(N68),IF(N68&lt;0,"Red",IF(N68&lt;14,"Yellow","Green")),"Yellow"))</f>
        <v/>
      </c>
      <c r="T68" s="11">
        <f>IF(NOT(ISNUMBER(M68)),"Yellow",IF(M68&lt;0,"Red",IF(M68/I68&lt;0.05,"Yellow","Green")))</f>
        <v/>
      </c>
      <c r="U68" s="11">
        <f>IF(OR(S68="Red",T68="Red"),"Red",IF(OR(S68="Yellow",T68="Yellow"),"Yellow","Green"))</f>
        <v/>
      </c>
    </row>
    <row r="69">
      <c r="A69" s="2">
        <f>IFERROR(INDEX('Projects Master'!$A:$A,ROW()-1),"")</f>
        <v/>
      </c>
      <c r="B69" s="101">
        <f>IFERROR(VLOOKUP(A69,'Projects Master'!$A:$I,2,0),"")</f>
        <v/>
      </c>
      <c r="C69" s="101">
        <f>IFERROR(VLOOKUP(A69,'Projects Master'!$A:$I,3,0),"")</f>
        <v/>
      </c>
      <c r="D69" s="101">
        <f>IFERROR(VLOOKUP(A69,'Projects Master'!$A:$I,4,0),"")</f>
        <v/>
      </c>
      <c r="E69" s="4">
        <f>IFERROR(VLOOKUP(A69,'Projects Master'!$A:$I,5,0),"")</f>
        <v/>
      </c>
      <c r="F69" s="92">
        <f>IFERROR(VLOOKUP(A69,'Projects Master'!$A:$I,6,0),"")</f>
        <v/>
      </c>
      <c r="G69" s="6">
        <f>IFERROR(VLOOKUP(A69,'Projects Master'!$A:$I,7,0),"")</f>
        <v/>
      </c>
      <c r="H69" s="6">
        <f>IFERROR(VLOOKUP(A69,'Projects Master'!$A:$I,8,0),"")</f>
        <v/>
      </c>
      <c r="I69" s="7">
        <f>IFERROR(VLOOKUP(A69,'Projects Master'!$A:$I,9,0),"")</f>
        <v/>
      </c>
      <c r="J69" s="6">
        <f>_xlfn.LET(_xlpm.t,_xlfn.MINIFS('Work Items'!P:P,'Work Items'!D:D,B69,'Work Items'!A:A,"Task"),_xlpm.b,_xlfn.MINIFS('Work Items'!P:P,'Work Items'!D:D,B69,'Work Items'!A:A,"Bug"),_xlpm.m,IF(AND(_xlpm.t=0,_xlpm.b=0),0,IF(_xlpm.t=0,_xlpm.b,IF(_xlpm.b=0,_xlpm.t,MIN(_xlpm.t,_xlpm.b)))),IF(_xlpm.m=0,G69,_xlpm.m))</f>
        <v/>
      </c>
      <c r="K69" s="6">
        <f>_xlfn.LET(_xlpm.t,_xlfn.MAXIFS('Work Items'!Q:Q,'Work Items'!D:D,B69,'Work Items'!A:A,"Task"),_xlpm.b,_xlfn.MAXIFS('Work Items'!Q:Q,'Work Items'!D:D,B69,'Work Items'!A:A,"Bug"),_xlpm.m,MAX(_xlpm.t,_xlpm.b),IF(_xlpm.m=0,H69,_xlpm.m))</f>
        <v/>
      </c>
      <c r="L69" s="8">
        <f>IFERROR(SUMIFS('Work Items'!O:O,'Work Items'!D:D,B69,'Work Items'!A:A,"Task"),0)</f>
        <v/>
      </c>
      <c r="M69" s="9">
        <f>IF(ISNUMBER(I69),I69-L69,"N/A")</f>
        <v/>
      </c>
      <c r="N69" s="10">
        <f>IF(AND(ISNUMBER(H69),K69&gt;0),INT(H69-K69),"TBD")</f>
        <v/>
      </c>
      <c r="O69" s="100">
        <f>TEXT(COUNTIFS('Work Items'!A:A,"Task",'Work Items'!D:D,B69,'Work Items'!L:L,"Completed"),"0")&amp;" / "&amp;TEXT(COUNTIFS('Work Items'!A:A,"Task",'Work Items'!D:D,B69),"0")&amp;" Tasks"</f>
        <v/>
      </c>
      <c r="P69" s="100">
        <f>TEXT(COUNTIFS('Work Items'!A:A,"Bug",'Work Items'!D:D,B69,'Work Items'!L:L,"Fixed"),"0")&amp;" / "&amp;TEXT(COUNTIFS('Work Items'!A:A,"Bug",'Work Items'!D:D,B69),"0")&amp;" Bugs"</f>
        <v/>
      </c>
      <c r="Q69" s="100">
        <f>TEXT(COUNTIFS('Work Items'!A:A,"Risk",'Work Items'!D:D,B69,'Work Items'!L:L,"Open"),"0")&amp;" Open"</f>
        <v/>
      </c>
      <c r="R69" s="100">
        <f>TEXT(COUNTIFS('Work Items'!A:A,"CR",'Work Items'!D:D,B69,'Work Items'!L:L,"Pending Approval"),"0")&amp;" Pending"</f>
        <v/>
      </c>
      <c r="S69" s="11">
        <f>IF(N69="TBD","Yellow",IF(ISNUMBER(N69),IF(N69&lt;0,"Red",IF(N69&lt;14,"Yellow","Green")),"Yellow"))</f>
        <v/>
      </c>
      <c r="T69" s="11">
        <f>IF(NOT(ISNUMBER(M69)),"Yellow",IF(M69&lt;0,"Red",IF(M69/I69&lt;0.05,"Yellow","Green")))</f>
        <v/>
      </c>
      <c r="U69" s="11">
        <f>IF(OR(S69="Red",T69="Red"),"Red",IF(OR(S69="Yellow",T69="Yellow"),"Yellow","Green"))</f>
        <v/>
      </c>
    </row>
    <row r="70">
      <c r="A70" s="2">
        <f>IFERROR(INDEX('Projects Master'!$A:$A,ROW()-1),"")</f>
        <v/>
      </c>
      <c r="B70" s="101">
        <f>IFERROR(VLOOKUP(A70,'Projects Master'!$A:$I,2,0),"")</f>
        <v/>
      </c>
      <c r="C70" s="101">
        <f>IFERROR(VLOOKUP(A70,'Projects Master'!$A:$I,3,0),"")</f>
        <v/>
      </c>
      <c r="D70" s="101">
        <f>IFERROR(VLOOKUP(A70,'Projects Master'!$A:$I,4,0),"")</f>
        <v/>
      </c>
      <c r="E70" s="4">
        <f>IFERROR(VLOOKUP(A70,'Projects Master'!$A:$I,5,0),"")</f>
        <v/>
      </c>
      <c r="F70" s="92">
        <f>IFERROR(VLOOKUP(A70,'Projects Master'!$A:$I,6,0),"")</f>
        <v/>
      </c>
      <c r="G70" s="6">
        <f>IFERROR(VLOOKUP(A70,'Projects Master'!$A:$I,7,0),"")</f>
        <v/>
      </c>
      <c r="H70" s="6">
        <f>IFERROR(VLOOKUP(A70,'Projects Master'!$A:$I,8,0),"")</f>
        <v/>
      </c>
      <c r="I70" s="7">
        <f>IFERROR(VLOOKUP(A70,'Projects Master'!$A:$I,9,0),"")</f>
        <v/>
      </c>
      <c r="J70" s="6">
        <f>_xlfn.LET(_xlpm.t,_xlfn.MINIFS('Work Items'!P:P,'Work Items'!D:D,B70,'Work Items'!A:A,"Task"),_xlpm.b,_xlfn.MINIFS('Work Items'!P:P,'Work Items'!D:D,B70,'Work Items'!A:A,"Bug"),_xlpm.m,IF(AND(_xlpm.t=0,_xlpm.b=0),0,IF(_xlpm.t=0,_xlpm.b,IF(_xlpm.b=0,_xlpm.t,MIN(_xlpm.t,_xlpm.b)))),IF(_xlpm.m=0,G70,_xlpm.m))</f>
        <v/>
      </c>
      <c r="K70" s="6">
        <f>_xlfn.LET(_xlpm.t,_xlfn.MAXIFS('Work Items'!Q:Q,'Work Items'!D:D,B70,'Work Items'!A:A,"Task"),_xlpm.b,_xlfn.MAXIFS('Work Items'!Q:Q,'Work Items'!D:D,B70,'Work Items'!A:A,"Bug"),_xlpm.m,MAX(_xlpm.t,_xlpm.b),IF(_xlpm.m=0,H70,_xlpm.m))</f>
        <v/>
      </c>
      <c r="L70" s="8">
        <f>IFERROR(SUMIFS('Work Items'!O:O,'Work Items'!D:D,B70,'Work Items'!A:A,"Task"),0)</f>
        <v/>
      </c>
      <c r="M70" s="9">
        <f>IF(ISNUMBER(I70),I70-L70,"N/A")</f>
        <v/>
      </c>
      <c r="N70" s="10">
        <f>IF(AND(ISNUMBER(H70),K70&gt;0),INT(H70-K70),"TBD")</f>
        <v/>
      </c>
      <c r="O70" s="100">
        <f>TEXT(COUNTIFS('Work Items'!A:A,"Task",'Work Items'!D:D,B70,'Work Items'!L:L,"Completed"),"0")&amp;" / "&amp;TEXT(COUNTIFS('Work Items'!A:A,"Task",'Work Items'!D:D,B70),"0")&amp;" Tasks"</f>
        <v/>
      </c>
      <c r="P70" s="100">
        <f>TEXT(COUNTIFS('Work Items'!A:A,"Bug",'Work Items'!D:D,B70,'Work Items'!L:L,"Fixed"),"0")&amp;" / "&amp;TEXT(COUNTIFS('Work Items'!A:A,"Bug",'Work Items'!D:D,B70),"0")&amp;" Bugs"</f>
        <v/>
      </c>
      <c r="Q70" s="100">
        <f>TEXT(COUNTIFS('Work Items'!A:A,"Risk",'Work Items'!D:D,B70,'Work Items'!L:L,"Open"),"0")&amp;" Open"</f>
        <v/>
      </c>
      <c r="R70" s="100">
        <f>TEXT(COUNTIFS('Work Items'!A:A,"CR",'Work Items'!D:D,B70,'Work Items'!L:L,"Pending Approval"),"0")&amp;" Pending"</f>
        <v/>
      </c>
      <c r="S70" s="11">
        <f>IF(N70="TBD","Yellow",IF(ISNUMBER(N70),IF(N70&lt;0,"Red",IF(N70&lt;14,"Yellow","Green")),"Yellow"))</f>
        <v/>
      </c>
      <c r="T70" s="11">
        <f>IF(NOT(ISNUMBER(M70)),"Yellow",IF(M70&lt;0,"Red",IF(M70/I70&lt;0.05,"Yellow","Green")))</f>
        <v/>
      </c>
      <c r="U70" s="11">
        <f>IF(OR(S70="Red",T70="Red"),"Red",IF(OR(S70="Yellow",T70="Yellow"),"Yellow","Green"))</f>
        <v/>
      </c>
    </row>
    <row r="71">
      <c r="A71" s="2">
        <f>IFERROR(INDEX('Projects Master'!$A:$A,ROW()-1),"")</f>
        <v/>
      </c>
      <c r="B71" s="101">
        <f>IFERROR(VLOOKUP(A71,'Projects Master'!$A:$I,2,0),"")</f>
        <v/>
      </c>
      <c r="C71" s="101">
        <f>IFERROR(VLOOKUP(A71,'Projects Master'!$A:$I,3,0),"")</f>
        <v/>
      </c>
      <c r="D71" s="101">
        <f>IFERROR(VLOOKUP(A71,'Projects Master'!$A:$I,4,0),"")</f>
        <v/>
      </c>
      <c r="E71" s="4">
        <f>IFERROR(VLOOKUP(A71,'Projects Master'!$A:$I,5,0),"")</f>
        <v/>
      </c>
      <c r="F71" s="92">
        <f>IFERROR(VLOOKUP(A71,'Projects Master'!$A:$I,6,0),"")</f>
        <v/>
      </c>
      <c r="G71" s="6">
        <f>IFERROR(VLOOKUP(A71,'Projects Master'!$A:$I,7,0),"")</f>
        <v/>
      </c>
      <c r="H71" s="6">
        <f>IFERROR(VLOOKUP(A71,'Projects Master'!$A:$I,8,0),"")</f>
        <v/>
      </c>
      <c r="I71" s="7">
        <f>IFERROR(VLOOKUP(A71,'Projects Master'!$A:$I,9,0),"")</f>
        <v/>
      </c>
      <c r="J71" s="6">
        <f>_xlfn.LET(_xlpm.t,_xlfn.MINIFS('Work Items'!P:P,'Work Items'!D:D,B71,'Work Items'!A:A,"Task"),_xlpm.b,_xlfn.MINIFS('Work Items'!P:P,'Work Items'!D:D,B71,'Work Items'!A:A,"Bug"),_xlpm.m,IF(AND(_xlpm.t=0,_xlpm.b=0),0,IF(_xlpm.t=0,_xlpm.b,IF(_xlpm.b=0,_xlpm.t,MIN(_xlpm.t,_xlpm.b)))),IF(_xlpm.m=0,G71,_xlpm.m))</f>
        <v/>
      </c>
      <c r="K71" s="6">
        <f>_xlfn.LET(_xlpm.t,_xlfn.MAXIFS('Work Items'!Q:Q,'Work Items'!D:D,B71,'Work Items'!A:A,"Task"),_xlpm.b,_xlfn.MAXIFS('Work Items'!Q:Q,'Work Items'!D:D,B71,'Work Items'!A:A,"Bug"),_xlpm.m,MAX(_xlpm.t,_xlpm.b),IF(_xlpm.m=0,H71,_xlpm.m))</f>
        <v/>
      </c>
      <c r="L71" s="8">
        <f>IFERROR(SUMIFS('Work Items'!O:O,'Work Items'!D:D,B71,'Work Items'!A:A,"Task"),0)</f>
        <v/>
      </c>
      <c r="M71" s="9">
        <f>IF(ISNUMBER(I71),I71-L71,"N/A")</f>
        <v/>
      </c>
      <c r="N71" s="10">
        <f>IF(AND(ISNUMBER(H71),K71&gt;0),INT(H71-K71),"TBD")</f>
        <v/>
      </c>
      <c r="O71" s="100">
        <f>TEXT(COUNTIFS('Work Items'!A:A,"Task",'Work Items'!D:D,B71,'Work Items'!L:L,"Completed"),"0")&amp;" / "&amp;TEXT(COUNTIFS('Work Items'!A:A,"Task",'Work Items'!D:D,B71),"0")&amp;" Tasks"</f>
        <v/>
      </c>
      <c r="P71" s="100">
        <f>TEXT(COUNTIFS('Work Items'!A:A,"Bug",'Work Items'!D:D,B71,'Work Items'!L:L,"Fixed"),"0")&amp;" / "&amp;TEXT(COUNTIFS('Work Items'!A:A,"Bug",'Work Items'!D:D,B71),"0")&amp;" Bugs"</f>
        <v/>
      </c>
      <c r="Q71" s="100">
        <f>TEXT(COUNTIFS('Work Items'!A:A,"Risk",'Work Items'!D:D,B71,'Work Items'!L:L,"Open"),"0")&amp;" Open"</f>
        <v/>
      </c>
      <c r="R71" s="100">
        <f>TEXT(COUNTIFS('Work Items'!A:A,"CR",'Work Items'!D:D,B71,'Work Items'!L:L,"Pending Approval"),"0")&amp;" Pending"</f>
        <v/>
      </c>
      <c r="S71" s="11">
        <f>IF(N71="TBD","Yellow",IF(ISNUMBER(N71),IF(N71&lt;0,"Red",IF(N71&lt;14,"Yellow","Green")),"Yellow"))</f>
        <v/>
      </c>
      <c r="T71" s="11">
        <f>IF(NOT(ISNUMBER(M71)),"Yellow",IF(M71&lt;0,"Red",IF(M71/I71&lt;0.05,"Yellow","Green")))</f>
        <v/>
      </c>
      <c r="U71" s="11">
        <f>IF(OR(S71="Red",T71="Red"),"Red",IF(OR(S71="Yellow",T71="Yellow"),"Yellow","Green"))</f>
        <v/>
      </c>
    </row>
    <row r="72">
      <c r="A72" s="2">
        <f>IFERROR(INDEX('Projects Master'!$A:$A,ROW()-1),"")</f>
        <v/>
      </c>
      <c r="B72" s="101">
        <f>IFERROR(VLOOKUP(A72,'Projects Master'!$A:$I,2,0),"")</f>
        <v/>
      </c>
      <c r="C72" s="101">
        <f>IFERROR(VLOOKUP(A72,'Projects Master'!$A:$I,3,0),"")</f>
        <v/>
      </c>
      <c r="D72" s="101">
        <f>IFERROR(VLOOKUP(A72,'Projects Master'!$A:$I,4,0),"")</f>
        <v/>
      </c>
      <c r="E72" s="4">
        <f>IFERROR(VLOOKUP(A72,'Projects Master'!$A:$I,5,0),"")</f>
        <v/>
      </c>
      <c r="F72" s="92">
        <f>IFERROR(VLOOKUP(A72,'Projects Master'!$A:$I,6,0),"")</f>
        <v/>
      </c>
      <c r="G72" s="6">
        <f>IFERROR(VLOOKUP(A72,'Projects Master'!$A:$I,7,0),"")</f>
        <v/>
      </c>
      <c r="H72" s="6">
        <f>IFERROR(VLOOKUP(A72,'Projects Master'!$A:$I,8,0),"")</f>
        <v/>
      </c>
      <c r="I72" s="7">
        <f>IFERROR(VLOOKUP(A72,'Projects Master'!$A:$I,9,0),"")</f>
        <v/>
      </c>
      <c r="J72" s="6">
        <f>_xlfn.LET(_xlpm.t,_xlfn.MINIFS('Work Items'!P:P,'Work Items'!D:D,B72,'Work Items'!A:A,"Task"),_xlpm.b,_xlfn.MINIFS('Work Items'!P:P,'Work Items'!D:D,B72,'Work Items'!A:A,"Bug"),_xlpm.m,IF(AND(_xlpm.t=0,_xlpm.b=0),0,IF(_xlpm.t=0,_xlpm.b,IF(_xlpm.b=0,_xlpm.t,MIN(_xlpm.t,_xlpm.b)))),IF(_xlpm.m=0,G72,_xlpm.m))</f>
        <v/>
      </c>
      <c r="K72" s="6">
        <f>_xlfn.LET(_xlpm.t,_xlfn.MAXIFS('Work Items'!Q:Q,'Work Items'!D:D,B72,'Work Items'!A:A,"Task"),_xlpm.b,_xlfn.MAXIFS('Work Items'!Q:Q,'Work Items'!D:D,B72,'Work Items'!A:A,"Bug"),_xlpm.m,MAX(_xlpm.t,_xlpm.b),IF(_xlpm.m=0,H72,_xlpm.m))</f>
        <v/>
      </c>
      <c r="L72" s="8">
        <f>IFERROR(SUMIFS('Work Items'!O:O,'Work Items'!D:D,B72,'Work Items'!A:A,"Task"),0)</f>
        <v/>
      </c>
      <c r="M72" s="9">
        <f>IF(ISNUMBER(I72),I72-L72,"N/A")</f>
        <v/>
      </c>
      <c r="N72" s="10">
        <f>IF(AND(ISNUMBER(H72),K72&gt;0),INT(H72-K72),"TBD")</f>
        <v/>
      </c>
      <c r="O72" s="100">
        <f>TEXT(COUNTIFS('Work Items'!A:A,"Task",'Work Items'!D:D,B72,'Work Items'!L:L,"Completed"),"0")&amp;" / "&amp;TEXT(COUNTIFS('Work Items'!A:A,"Task",'Work Items'!D:D,B72),"0")&amp;" Tasks"</f>
        <v/>
      </c>
      <c r="P72" s="100">
        <f>TEXT(COUNTIFS('Work Items'!A:A,"Bug",'Work Items'!D:D,B72,'Work Items'!L:L,"Fixed"),"0")&amp;" / "&amp;TEXT(COUNTIFS('Work Items'!A:A,"Bug",'Work Items'!D:D,B72),"0")&amp;" Bugs"</f>
        <v/>
      </c>
      <c r="Q72" s="100">
        <f>TEXT(COUNTIFS('Work Items'!A:A,"Risk",'Work Items'!D:D,B72,'Work Items'!L:L,"Open"),"0")&amp;" Open"</f>
        <v/>
      </c>
      <c r="R72" s="100">
        <f>TEXT(COUNTIFS('Work Items'!A:A,"CR",'Work Items'!D:D,B72,'Work Items'!L:L,"Pending Approval"),"0")&amp;" Pending"</f>
        <v/>
      </c>
      <c r="S72" s="11">
        <f>IF(N72="TBD","Yellow",IF(ISNUMBER(N72),IF(N72&lt;0,"Red",IF(N72&lt;14,"Yellow","Green")),"Yellow"))</f>
        <v/>
      </c>
      <c r="T72" s="11">
        <f>IF(NOT(ISNUMBER(M72)),"Yellow",IF(M72&lt;0,"Red",IF(M72/I72&lt;0.05,"Yellow","Green")))</f>
        <v/>
      </c>
      <c r="U72" s="11">
        <f>IF(OR(S72="Red",T72="Red"),"Red",IF(OR(S72="Yellow",T72="Yellow"),"Yellow","Green"))</f>
        <v/>
      </c>
    </row>
    <row r="73">
      <c r="A73" s="2">
        <f>IFERROR(INDEX('Projects Master'!$A:$A,ROW()-1),"")</f>
        <v/>
      </c>
      <c r="B73" s="101">
        <f>IFERROR(VLOOKUP(A73,'Projects Master'!$A:$I,2,0),"")</f>
        <v/>
      </c>
      <c r="C73" s="101">
        <f>IFERROR(VLOOKUP(A73,'Projects Master'!$A:$I,3,0),"")</f>
        <v/>
      </c>
      <c r="D73" s="101">
        <f>IFERROR(VLOOKUP(A73,'Projects Master'!$A:$I,4,0),"")</f>
        <v/>
      </c>
      <c r="E73" s="4">
        <f>IFERROR(VLOOKUP(A73,'Projects Master'!$A:$I,5,0),"")</f>
        <v/>
      </c>
      <c r="F73" s="92">
        <f>IFERROR(VLOOKUP(A73,'Projects Master'!$A:$I,6,0),"")</f>
        <v/>
      </c>
      <c r="G73" s="6">
        <f>IFERROR(VLOOKUP(A73,'Projects Master'!$A:$I,7,0),"")</f>
        <v/>
      </c>
      <c r="H73" s="6">
        <f>IFERROR(VLOOKUP(A73,'Projects Master'!$A:$I,8,0),"")</f>
        <v/>
      </c>
      <c r="I73" s="7">
        <f>IFERROR(VLOOKUP(A73,'Projects Master'!$A:$I,9,0),"")</f>
        <v/>
      </c>
      <c r="J73" s="6">
        <f>_xlfn.LET(_xlpm.t,_xlfn.MINIFS('Work Items'!P:P,'Work Items'!D:D,B73,'Work Items'!A:A,"Task"),_xlpm.b,_xlfn.MINIFS('Work Items'!P:P,'Work Items'!D:D,B73,'Work Items'!A:A,"Bug"),_xlpm.m,IF(AND(_xlpm.t=0,_xlpm.b=0),0,IF(_xlpm.t=0,_xlpm.b,IF(_xlpm.b=0,_xlpm.t,MIN(_xlpm.t,_xlpm.b)))),IF(_xlpm.m=0,G73,_xlpm.m))</f>
        <v/>
      </c>
      <c r="K73" s="6">
        <f>_xlfn.LET(_xlpm.t,_xlfn.MAXIFS('Work Items'!Q:Q,'Work Items'!D:D,B73,'Work Items'!A:A,"Task"),_xlpm.b,_xlfn.MAXIFS('Work Items'!Q:Q,'Work Items'!D:D,B73,'Work Items'!A:A,"Bug"),_xlpm.m,MAX(_xlpm.t,_xlpm.b),IF(_xlpm.m=0,H73,_xlpm.m))</f>
        <v/>
      </c>
      <c r="L73" s="8">
        <f>IFERROR(SUMIFS('Work Items'!O:O,'Work Items'!D:D,B73,'Work Items'!A:A,"Task"),0)</f>
        <v/>
      </c>
      <c r="M73" s="9">
        <f>IF(ISNUMBER(I73),I73-L73,"N/A")</f>
        <v/>
      </c>
      <c r="N73" s="10">
        <f>IF(AND(ISNUMBER(H73),K73&gt;0),INT(H73-K73),"TBD")</f>
        <v/>
      </c>
      <c r="O73" s="100">
        <f>TEXT(COUNTIFS('Work Items'!A:A,"Task",'Work Items'!D:D,B73,'Work Items'!L:L,"Completed"),"0")&amp;" / "&amp;TEXT(COUNTIFS('Work Items'!A:A,"Task",'Work Items'!D:D,B73),"0")&amp;" Tasks"</f>
        <v/>
      </c>
      <c r="P73" s="100">
        <f>TEXT(COUNTIFS('Work Items'!A:A,"Bug",'Work Items'!D:D,B73,'Work Items'!L:L,"Fixed"),"0")&amp;" / "&amp;TEXT(COUNTIFS('Work Items'!A:A,"Bug",'Work Items'!D:D,B73),"0")&amp;" Bugs"</f>
        <v/>
      </c>
      <c r="Q73" s="100">
        <f>TEXT(COUNTIFS('Work Items'!A:A,"Risk",'Work Items'!D:D,B73,'Work Items'!L:L,"Open"),"0")&amp;" Open"</f>
        <v/>
      </c>
      <c r="R73" s="100">
        <f>TEXT(COUNTIFS('Work Items'!A:A,"CR",'Work Items'!D:D,B73,'Work Items'!L:L,"Pending Approval"),"0")&amp;" Pending"</f>
        <v/>
      </c>
      <c r="S73" s="11">
        <f>IF(N73="TBD","Yellow",IF(ISNUMBER(N73),IF(N73&lt;0,"Red",IF(N73&lt;14,"Yellow","Green")),"Yellow"))</f>
        <v/>
      </c>
      <c r="T73" s="11">
        <f>IF(NOT(ISNUMBER(M73)),"Yellow",IF(M73&lt;0,"Red",IF(M73/I73&lt;0.05,"Yellow","Green")))</f>
        <v/>
      </c>
      <c r="U73" s="11">
        <f>IF(OR(S73="Red",T73="Red"),"Red",IF(OR(S73="Yellow",T73="Yellow"),"Yellow","Green"))</f>
        <v/>
      </c>
    </row>
    <row r="74">
      <c r="A74" s="2">
        <f>IFERROR(INDEX('Projects Master'!$A:$A,ROW()-1),"")</f>
        <v/>
      </c>
      <c r="B74" s="101">
        <f>IFERROR(VLOOKUP(A74,'Projects Master'!$A:$I,2,0),"")</f>
        <v/>
      </c>
      <c r="C74" s="101">
        <f>IFERROR(VLOOKUP(A74,'Projects Master'!$A:$I,3,0),"")</f>
        <v/>
      </c>
      <c r="D74" s="101">
        <f>IFERROR(VLOOKUP(A74,'Projects Master'!$A:$I,4,0),"")</f>
        <v/>
      </c>
      <c r="E74" s="4">
        <f>IFERROR(VLOOKUP(A74,'Projects Master'!$A:$I,5,0),"")</f>
        <v/>
      </c>
      <c r="F74" s="92">
        <f>IFERROR(VLOOKUP(A74,'Projects Master'!$A:$I,6,0),"")</f>
        <v/>
      </c>
      <c r="G74" s="6">
        <f>IFERROR(VLOOKUP(A74,'Projects Master'!$A:$I,7,0),"")</f>
        <v/>
      </c>
      <c r="H74" s="6">
        <f>IFERROR(VLOOKUP(A74,'Projects Master'!$A:$I,8,0),"")</f>
        <v/>
      </c>
      <c r="I74" s="7">
        <f>IFERROR(VLOOKUP(A74,'Projects Master'!$A:$I,9,0),"")</f>
        <v/>
      </c>
      <c r="J74" s="6">
        <f>_xlfn.LET(_xlpm.t,_xlfn.MINIFS('Work Items'!P:P,'Work Items'!D:D,B74,'Work Items'!A:A,"Task"),_xlpm.b,_xlfn.MINIFS('Work Items'!P:P,'Work Items'!D:D,B74,'Work Items'!A:A,"Bug"),_xlpm.m,IF(AND(_xlpm.t=0,_xlpm.b=0),0,IF(_xlpm.t=0,_xlpm.b,IF(_xlpm.b=0,_xlpm.t,MIN(_xlpm.t,_xlpm.b)))),IF(_xlpm.m=0,G74,_xlpm.m))</f>
        <v/>
      </c>
      <c r="K74" s="6">
        <f>_xlfn.LET(_xlpm.t,_xlfn.MAXIFS('Work Items'!Q:Q,'Work Items'!D:D,B74,'Work Items'!A:A,"Task"),_xlpm.b,_xlfn.MAXIFS('Work Items'!Q:Q,'Work Items'!D:D,B74,'Work Items'!A:A,"Bug"),_xlpm.m,MAX(_xlpm.t,_xlpm.b),IF(_xlpm.m=0,H74,_xlpm.m))</f>
        <v/>
      </c>
      <c r="L74" s="8">
        <f>IFERROR(SUMIFS('Work Items'!O:O,'Work Items'!D:D,B74,'Work Items'!A:A,"Task"),0)</f>
        <v/>
      </c>
      <c r="M74" s="9">
        <f>IF(ISNUMBER(I74),I74-L74,"N/A")</f>
        <v/>
      </c>
      <c r="N74" s="10">
        <f>IF(AND(ISNUMBER(H74),K74&gt;0),INT(H74-K74),"TBD")</f>
        <v/>
      </c>
      <c r="O74" s="100">
        <f>TEXT(COUNTIFS('Work Items'!A:A,"Task",'Work Items'!D:D,B74,'Work Items'!L:L,"Completed"),"0")&amp;" / "&amp;TEXT(COUNTIFS('Work Items'!A:A,"Task",'Work Items'!D:D,B74),"0")&amp;" Tasks"</f>
        <v/>
      </c>
      <c r="P74" s="100">
        <f>TEXT(COUNTIFS('Work Items'!A:A,"Bug",'Work Items'!D:D,B74,'Work Items'!L:L,"Fixed"),"0")&amp;" / "&amp;TEXT(COUNTIFS('Work Items'!A:A,"Bug",'Work Items'!D:D,B74),"0")&amp;" Bugs"</f>
        <v/>
      </c>
      <c r="Q74" s="100">
        <f>TEXT(COUNTIFS('Work Items'!A:A,"Risk",'Work Items'!D:D,B74,'Work Items'!L:L,"Open"),"0")&amp;" Open"</f>
        <v/>
      </c>
      <c r="R74" s="100">
        <f>TEXT(COUNTIFS('Work Items'!A:A,"CR",'Work Items'!D:D,B74,'Work Items'!L:L,"Pending Approval"),"0")&amp;" Pending"</f>
        <v/>
      </c>
      <c r="S74" s="11">
        <f>IF(N74="TBD","Yellow",IF(ISNUMBER(N74),IF(N74&lt;0,"Red",IF(N74&lt;14,"Yellow","Green")),"Yellow"))</f>
        <v/>
      </c>
      <c r="T74" s="11">
        <f>IF(NOT(ISNUMBER(M74)),"Yellow",IF(M74&lt;0,"Red",IF(M74/I74&lt;0.05,"Yellow","Green")))</f>
        <v/>
      </c>
      <c r="U74" s="11">
        <f>IF(OR(S74="Red",T74="Red"),"Red",IF(OR(S74="Yellow",T74="Yellow"),"Yellow","Green"))</f>
        <v/>
      </c>
    </row>
    <row r="75">
      <c r="A75" s="2">
        <f>IFERROR(INDEX('Projects Master'!$A:$A,ROW()-1),"")</f>
        <v/>
      </c>
      <c r="B75" s="101">
        <f>IFERROR(VLOOKUP(A75,'Projects Master'!$A:$I,2,0),"")</f>
        <v/>
      </c>
      <c r="C75" s="101">
        <f>IFERROR(VLOOKUP(A75,'Projects Master'!$A:$I,3,0),"")</f>
        <v/>
      </c>
      <c r="D75" s="101">
        <f>IFERROR(VLOOKUP(A75,'Projects Master'!$A:$I,4,0),"")</f>
        <v/>
      </c>
      <c r="E75" s="4">
        <f>IFERROR(VLOOKUP(A75,'Projects Master'!$A:$I,5,0),"")</f>
        <v/>
      </c>
      <c r="F75" s="92">
        <f>IFERROR(VLOOKUP(A75,'Projects Master'!$A:$I,6,0),"")</f>
        <v/>
      </c>
      <c r="G75" s="6">
        <f>IFERROR(VLOOKUP(A75,'Projects Master'!$A:$I,7,0),"")</f>
        <v/>
      </c>
      <c r="H75" s="6">
        <f>IFERROR(VLOOKUP(A75,'Projects Master'!$A:$I,8,0),"")</f>
        <v/>
      </c>
      <c r="I75" s="7">
        <f>IFERROR(VLOOKUP(A75,'Projects Master'!$A:$I,9,0),"")</f>
        <v/>
      </c>
      <c r="J75" s="6">
        <f>_xlfn.LET(_xlpm.t,_xlfn.MINIFS('Work Items'!P:P,'Work Items'!D:D,B75,'Work Items'!A:A,"Task"),_xlpm.b,_xlfn.MINIFS('Work Items'!P:P,'Work Items'!D:D,B75,'Work Items'!A:A,"Bug"),_xlpm.m,IF(AND(_xlpm.t=0,_xlpm.b=0),0,IF(_xlpm.t=0,_xlpm.b,IF(_xlpm.b=0,_xlpm.t,MIN(_xlpm.t,_xlpm.b)))),IF(_xlpm.m=0,G75,_xlpm.m))</f>
        <v/>
      </c>
      <c r="K75" s="6">
        <f>_xlfn.LET(_xlpm.t,_xlfn.MAXIFS('Work Items'!Q:Q,'Work Items'!D:D,B75,'Work Items'!A:A,"Task"),_xlpm.b,_xlfn.MAXIFS('Work Items'!Q:Q,'Work Items'!D:D,B75,'Work Items'!A:A,"Bug"),_xlpm.m,MAX(_xlpm.t,_xlpm.b),IF(_xlpm.m=0,H75,_xlpm.m))</f>
        <v/>
      </c>
      <c r="L75" s="8">
        <f>IFERROR(SUMIFS('Work Items'!O:O,'Work Items'!D:D,B75,'Work Items'!A:A,"Task"),0)</f>
        <v/>
      </c>
      <c r="M75" s="9">
        <f>IF(ISNUMBER(I75),I75-L75,"N/A")</f>
        <v/>
      </c>
      <c r="N75" s="10">
        <f>IF(AND(ISNUMBER(H75),K75&gt;0),INT(H75-K75),"TBD")</f>
        <v/>
      </c>
      <c r="O75" s="100">
        <f>TEXT(COUNTIFS('Work Items'!A:A,"Task",'Work Items'!D:D,B75,'Work Items'!L:L,"Completed"),"0")&amp;" / "&amp;TEXT(COUNTIFS('Work Items'!A:A,"Task",'Work Items'!D:D,B75),"0")&amp;" Tasks"</f>
        <v/>
      </c>
      <c r="P75" s="100">
        <f>TEXT(COUNTIFS('Work Items'!A:A,"Bug",'Work Items'!D:D,B75,'Work Items'!L:L,"Fixed"),"0")&amp;" / "&amp;TEXT(COUNTIFS('Work Items'!A:A,"Bug",'Work Items'!D:D,B75),"0")&amp;" Bugs"</f>
        <v/>
      </c>
      <c r="Q75" s="100">
        <f>TEXT(COUNTIFS('Work Items'!A:A,"Risk",'Work Items'!D:D,B75,'Work Items'!L:L,"Open"),"0")&amp;" Open"</f>
        <v/>
      </c>
      <c r="R75" s="100">
        <f>TEXT(COUNTIFS('Work Items'!A:A,"CR",'Work Items'!D:D,B75,'Work Items'!L:L,"Pending Approval"),"0")&amp;" Pending"</f>
        <v/>
      </c>
      <c r="S75" s="11">
        <f>IF(N75="TBD","Yellow",IF(ISNUMBER(N75),IF(N75&lt;0,"Red",IF(N75&lt;14,"Yellow","Green")),"Yellow"))</f>
        <v/>
      </c>
      <c r="T75" s="11">
        <f>IF(NOT(ISNUMBER(M75)),"Yellow",IF(M75&lt;0,"Red",IF(M75/I75&lt;0.05,"Yellow","Green")))</f>
        <v/>
      </c>
      <c r="U75" s="11">
        <f>IF(OR(S75="Red",T75="Red"),"Red",IF(OR(S75="Yellow",T75="Yellow"),"Yellow","Green"))</f>
        <v/>
      </c>
    </row>
    <row r="76">
      <c r="A76" s="2">
        <f>IFERROR(INDEX('Projects Master'!$A:$A,ROW()-1),"")</f>
        <v/>
      </c>
      <c r="B76" s="101">
        <f>IFERROR(VLOOKUP(A76,'Projects Master'!$A:$I,2,0),"")</f>
        <v/>
      </c>
      <c r="C76" s="101">
        <f>IFERROR(VLOOKUP(A76,'Projects Master'!$A:$I,3,0),"")</f>
        <v/>
      </c>
      <c r="D76" s="101">
        <f>IFERROR(VLOOKUP(A76,'Projects Master'!$A:$I,4,0),"")</f>
        <v/>
      </c>
      <c r="E76" s="4">
        <f>IFERROR(VLOOKUP(A76,'Projects Master'!$A:$I,5,0),"")</f>
        <v/>
      </c>
      <c r="F76" s="92">
        <f>IFERROR(VLOOKUP(A76,'Projects Master'!$A:$I,6,0),"")</f>
        <v/>
      </c>
      <c r="G76" s="6">
        <f>IFERROR(VLOOKUP(A76,'Projects Master'!$A:$I,7,0),"")</f>
        <v/>
      </c>
      <c r="H76" s="6">
        <f>IFERROR(VLOOKUP(A76,'Projects Master'!$A:$I,8,0),"")</f>
        <v/>
      </c>
      <c r="I76" s="7">
        <f>IFERROR(VLOOKUP(A76,'Projects Master'!$A:$I,9,0),"")</f>
        <v/>
      </c>
      <c r="J76" s="6">
        <f>_xlfn.LET(_xlpm.t,_xlfn.MINIFS('Work Items'!P:P,'Work Items'!D:D,B76,'Work Items'!A:A,"Task"),_xlpm.b,_xlfn.MINIFS('Work Items'!P:P,'Work Items'!D:D,B76,'Work Items'!A:A,"Bug"),_xlpm.m,IF(AND(_xlpm.t=0,_xlpm.b=0),0,IF(_xlpm.t=0,_xlpm.b,IF(_xlpm.b=0,_xlpm.t,MIN(_xlpm.t,_xlpm.b)))),IF(_xlpm.m=0,G76,_xlpm.m))</f>
        <v/>
      </c>
      <c r="K76" s="6">
        <f>_xlfn.LET(_xlpm.t,_xlfn.MAXIFS('Work Items'!Q:Q,'Work Items'!D:D,B76,'Work Items'!A:A,"Task"),_xlpm.b,_xlfn.MAXIFS('Work Items'!Q:Q,'Work Items'!D:D,B76,'Work Items'!A:A,"Bug"),_xlpm.m,MAX(_xlpm.t,_xlpm.b),IF(_xlpm.m=0,H76,_xlpm.m))</f>
        <v/>
      </c>
      <c r="L76" s="8">
        <f>IFERROR(SUMIFS('Work Items'!O:O,'Work Items'!D:D,B76,'Work Items'!A:A,"Task"),0)</f>
        <v/>
      </c>
      <c r="M76" s="9">
        <f>IF(ISNUMBER(I76),I76-L76,"N/A")</f>
        <v/>
      </c>
      <c r="N76" s="10">
        <f>IF(AND(ISNUMBER(H76),K76&gt;0),INT(H76-K76),"TBD")</f>
        <v/>
      </c>
      <c r="O76" s="100">
        <f>TEXT(COUNTIFS('Work Items'!A:A,"Task",'Work Items'!D:D,B76,'Work Items'!L:L,"Completed"),"0")&amp;" / "&amp;TEXT(COUNTIFS('Work Items'!A:A,"Task",'Work Items'!D:D,B76),"0")&amp;" Tasks"</f>
        <v/>
      </c>
      <c r="P76" s="100">
        <f>TEXT(COUNTIFS('Work Items'!A:A,"Bug",'Work Items'!D:D,B76,'Work Items'!L:L,"Fixed"),"0")&amp;" / "&amp;TEXT(COUNTIFS('Work Items'!A:A,"Bug",'Work Items'!D:D,B76),"0")&amp;" Bugs"</f>
        <v/>
      </c>
      <c r="Q76" s="100">
        <f>TEXT(COUNTIFS('Work Items'!A:A,"Risk",'Work Items'!D:D,B76,'Work Items'!L:L,"Open"),"0")&amp;" Open"</f>
        <v/>
      </c>
      <c r="R76" s="100">
        <f>TEXT(COUNTIFS('Work Items'!A:A,"CR",'Work Items'!D:D,B76,'Work Items'!L:L,"Pending Approval"),"0")&amp;" Pending"</f>
        <v/>
      </c>
      <c r="S76" s="11">
        <f>IF(N76="TBD","Yellow",IF(ISNUMBER(N76),IF(N76&lt;0,"Red",IF(N76&lt;14,"Yellow","Green")),"Yellow"))</f>
        <v/>
      </c>
      <c r="T76" s="11">
        <f>IF(NOT(ISNUMBER(M76)),"Yellow",IF(M76&lt;0,"Red",IF(M76/I76&lt;0.05,"Yellow","Green")))</f>
        <v/>
      </c>
      <c r="U76" s="11">
        <f>IF(OR(S76="Red",T76="Red"),"Red",IF(OR(S76="Yellow",T76="Yellow"),"Yellow","Green"))</f>
        <v/>
      </c>
    </row>
    <row r="77">
      <c r="A77" s="2">
        <f>IFERROR(INDEX('Projects Master'!$A:$A,ROW()-1),"")</f>
        <v/>
      </c>
      <c r="B77" s="101">
        <f>IFERROR(VLOOKUP(A77,'Projects Master'!$A:$I,2,0),"")</f>
        <v/>
      </c>
      <c r="C77" s="101">
        <f>IFERROR(VLOOKUP(A77,'Projects Master'!$A:$I,3,0),"")</f>
        <v/>
      </c>
      <c r="D77" s="101">
        <f>IFERROR(VLOOKUP(A77,'Projects Master'!$A:$I,4,0),"")</f>
        <v/>
      </c>
      <c r="E77" s="4">
        <f>IFERROR(VLOOKUP(A77,'Projects Master'!$A:$I,5,0),"")</f>
        <v/>
      </c>
      <c r="F77" s="92">
        <f>IFERROR(VLOOKUP(A77,'Projects Master'!$A:$I,6,0),"")</f>
        <v/>
      </c>
      <c r="G77" s="6">
        <f>IFERROR(VLOOKUP(A77,'Projects Master'!$A:$I,7,0),"")</f>
        <v/>
      </c>
      <c r="H77" s="6">
        <f>IFERROR(VLOOKUP(A77,'Projects Master'!$A:$I,8,0),"")</f>
        <v/>
      </c>
      <c r="I77" s="7">
        <f>IFERROR(VLOOKUP(A77,'Projects Master'!$A:$I,9,0),"")</f>
        <v/>
      </c>
      <c r="J77" s="6">
        <f>_xlfn.LET(_xlpm.t,_xlfn.MINIFS('Work Items'!P:P,'Work Items'!D:D,B77,'Work Items'!A:A,"Task"),_xlpm.b,_xlfn.MINIFS('Work Items'!P:P,'Work Items'!D:D,B77,'Work Items'!A:A,"Bug"),_xlpm.m,IF(AND(_xlpm.t=0,_xlpm.b=0),0,IF(_xlpm.t=0,_xlpm.b,IF(_xlpm.b=0,_xlpm.t,MIN(_xlpm.t,_xlpm.b)))),IF(_xlpm.m=0,G77,_xlpm.m))</f>
        <v/>
      </c>
      <c r="K77" s="6">
        <f>_xlfn.LET(_xlpm.t,_xlfn.MAXIFS('Work Items'!Q:Q,'Work Items'!D:D,B77,'Work Items'!A:A,"Task"),_xlpm.b,_xlfn.MAXIFS('Work Items'!Q:Q,'Work Items'!D:D,B77,'Work Items'!A:A,"Bug"),_xlpm.m,MAX(_xlpm.t,_xlpm.b),IF(_xlpm.m=0,H77,_xlpm.m))</f>
        <v/>
      </c>
      <c r="L77" s="8">
        <f>IFERROR(SUMIFS('Work Items'!O:O,'Work Items'!D:D,B77,'Work Items'!A:A,"Task"),0)</f>
        <v/>
      </c>
      <c r="M77" s="9">
        <f>IF(ISNUMBER(I77),I77-L77,"N/A")</f>
        <v/>
      </c>
      <c r="N77" s="10">
        <f>IF(AND(ISNUMBER(H77),K77&gt;0),INT(H77-K77),"TBD")</f>
        <v/>
      </c>
      <c r="O77" s="100">
        <f>TEXT(COUNTIFS('Work Items'!A:A,"Task",'Work Items'!D:D,B77,'Work Items'!L:L,"Completed"),"0")&amp;" / "&amp;TEXT(COUNTIFS('Work Items'!A:A,"Task",'Work Items'!D:D,B77),"0")&amp;" Tasks"</f>
        <v/>
      </c>
      <c r="P77" s="100">
        <f>TEXT(COUNTIFS('Work Items'!A:A,"Bug",'Work Items'!D:D,B77,'Work Items'!L:L,"Fixed"),"0")&amp;" / "&amp;TEXT(COUNTIFS('Work Items'!A:A,"Bug",'Work Items'!D:D,B77),"0")&amp;" Bugs"</f>
        <v/>
      </c>
      <c r="Q77" s="100">
        <f>TEXT(COUNTIFS('Work Items'!A:A,"Risk",'Work Items'!D:D,B77,'Work Items'!L:L,"Open"),"0")&amp;" Open"</f>
        <v/>
      </c>
      <c r="R77" s="100">
        <f>TEXT(COUNTIFS('Work Items'!A:A,"CR",'Work Items'!D:D,B77,'Work Items'!L:L,"Pending Approval"),"0")&amp;" Pending"</f>
        <v/>
      </c>
      <c r="S77" s="11">
        <f>IF(N77="TBD","Yellow",IF(ISNUMBER(N77),IF(N77&lt;0,"Red",IF(N77&lt;14,"Yellow","Green")),"Yellow"))</f>
        <v/>
      </c>
      <c r="T77" s="11">
        <f>IF(NOT(ISNUMBER(M77)),"Yellow",IF(M77&lt;0,"Red",IF(M77/I77&lt;0.05,"Yellow","Green")))</f>
        <v/>
      </c>
      <c r="U77" s="11">
        <f>IF(OR(S77="Red",T77="Red"),"Red",IF(OR(S77="Yellow",T77="Yellow"),"Yellow","Green"))</f>
        <v/>
      </c>
    </row>
    <row r="78">
      <c r="A78" s="2">
        <f>IFERROR(INDEX('Projects Master'!$A:$A,ROW()-1),"")</f>
        <v/>
      </c>
      <c r="B78" s="101">
        <f>IFERROR(VLOOKUP(A78,'Projects Master'!$A:$I,2,0),"")</f>
        <v/>
      </c>
      <c r="C78" s="101">
        <f>IFERROR(VLOOKUP(A78,'Projects Master'!$A:$I,3,0),"")</f>
        <v/>
      </c>
      <c r="D78" s="101">
        <f>IFERROR(VLOOKUP(A78,'Projects Master'!$A:$I,4,0),"")</f>
        <v/>
      </c>
      <c r="E78" s="4">
        <f>IFERROR(VLOOKUP(A78,'Projects Master'!$A:$I,5,0),"")</f>
        <v/>
      </c>
      <c r="F78" s="92">
        <f>IFERROR(VLOOKUP(A78,'Projects Master'!$A:$I,6,0),"")</f>
        <v/>
      </c>
      <c r="G78" s="6">
        <f>IFERROR(VLOOKUP(A78,'Projects Master'!$A:$I,7,0),"")</f>
        <v/>
      </c>
      <c r="H78" s="6">
        <f>IFERROR(VLOOKUP(A78,'Projects Master'!$A:$I,8,0),"")</f>
        <v/>
      </c>
      <c r="I78" s="7">
        <f>IFERROR(VLOOKUP(A78,'Projects Master'!$A:$I,9,0),"")</f>
        <v/>
      </c>
      <c r="J78" s="6">
        <f>_xlfn.LET(_xlpm.t,_xlfn.MINIFS('Work Items'!P:P,'Work Items'!D:D,B78,'Work Items'!A:A,"Task"),_xlpm.b,_xlfn.MINIFS('Work Items'!P:P,'Work Items'!D:D,B78,'Work Items'!A:A,"Bug"),_xlpm.m,IF(AND(_xlpm.t=0,_xlpm.b=0),0,IF(_xlpm.t=0,_xlpm.b,IF(_xlpm.b=0,_xlpm.t,MIN(_xlpm.t,_xlpm.b)))),IF(_xlpm.m=0,G78,_xlpm.m))</f>
        <v/>
      </c>
      <c r="K78" s="6">
        <f>_xlfn.LET(_xlpm.t,_xlfn.MAXIFS('Work Items'!Q:Q,'Work Items'!D:D,B78,'Work Items'!A:A,"Task"),_xlpm.b,_xlfn.MAXIFS('Work Items'!Q:Q,'Work Items'!D:D,B78,'Work Items'!A:A,"Bug"),_xlpm.m,MAX(_xlpm.t,_xlpm.b),IF(_xlpm.m=0,H78,_xlpm.m))</f>
        <v/>
      </c>
      <c r="L78" s="8">
        <f>IFERROR(SUMIFS('Work Items'!O:O,'Work Items'!D:D,B78,'Work Items'!A:A,"Task"),0)</f>
        <v/>
      </c>
      <c r="M78" s="9">
        <f>IF(ISNUMBER(I78),I78-L78,"N/A")</f>
        <v/>
      </c>
      <c r="N78" s="10">
        <f>IF(AND(ISNUMBER(H78),K78&gt;0),INT(H78-K78),"TBD")</f>
        <v/>
      </c>
      <c r="O78" s="100">
        <f>TEXT(COUNTIFS('Work Items'!A:A,"Task",'Work Items'!D:D,B78,'Work Items'!L:L,"Completed"),"0")&amp;" / "&amp;TEXT(COUNTIFS('Work Items'!A:A,"Task",'Work Items'!D:D,B78),"0")&amp;" Tasks"</f>
        <v/>
      </c>
      <c r="P78" s="100">
        <f>TEXT(COUNTIFS('Work Items'!A:A,"Bug",'Work Items'!D:D,B78,'Work Items'!L:L,"Fixed"),"0")&amp;" / "&amp;TEXT(COUNTIFS('Work Items'!A:A,"Bug",'Work Items'!D:D,B78),"0")&amp;" Bugs"</f>
        <v/>
      </c>
      <c r="Q78" s="100">
        <f>TEXT(COUNTIFS('Work Items'!A:A,"Risk",'Work Items'!D:D,B78,'Work Items'!L:L,"Open"),"0")&amp;" Open"</f>
        <v/>
      </c>
      <c r="R78" s="100">
        <f>TEXT(COUNTIFS('Work Items'!A:A,"CR",'Work Items'!D:D,B78,'Work Items'!L:L,"Pending Approval"),"0")&amp;" Pending"</f>
        <v/>
      </c>
      <c r="S78" s="11">
        <f>IF(N78="TBD","Yellow",IF(ISNUMBER(N78),IF(N78&lt;0,"Red",IF(N78&lt;14,"Yellow","Green")),"Yellow"))</f>
        <v/>
      </c>
      <c r="T78" s="11">
        <f>IF(NOT(ISNUMBER(M78)),"Yellow",IF(M78&lt;0,"Red",IF(M78/I78&lt;0.05,"Yellow","Green")))</f>
        <v/>
      </c>
      <c r="U78" s="11">
        <f>IF(OR(S78="Red",T78="Red"),"Red",IF(OR(S78="Yellow",T78="Yellow"),"Yellow","Green"))</f>
        <v/>
      </c>
    </row>
    <row r="79">
      <c r="A79" s="2">
        <f>IFERROR(INDEX('Projects Master'!$A:$A,ROW()-1),"")</f>
        <v/>
      </c>
      <c r="B79" s="101">
        <f>IFERROR(VLOOKUP(A79,'Projects Master'!$A:$I,2,0),"")</f>
        <v/>
      </c>
      <c r="C79" s="101">
        <f>IFERROR(VLOOKUP(A79,'Projects Master'!$A:$I,3,0),"")</f>
        <v/>
      </c>
      <c r="D79" s="101">
        <f>IFERROR(VLOOKUP(A79,'Projects Master'!$A:$I,4,0),"")</f>
        <v/>
      </c>
      <c r="E79" s="4">
        <f>IFERROR(VLOOKUP(A79,'Projects Master'!$A:$I,5,0),"")</f>
        <v/>
      </c>
      <c r="F79" s="92">
        <f>IFERROR(VLOOKUP(A79,'Projects Master'!$A:$I,6,0),"")</f>
        <v/>
      </c>
      <c r="G79" s="6">
        <f>IFERROR(VLOOKUP(A79,'Projects Master'!$A:$I,7,0),"")</f>
        <v/>
      </c>
      <c r="H79" s="6">
        <f>IFERROR(VLOOKUP(A79,'Projects Master'!$A:$I,8,0),"")</f>
        <v/>
      </c>
      <c r="I79" s="7">
        <f>IFERROR(VLOOKUP(A79,'Projects Master'!$A:$I,9,0),"")</f>
        <v/>
      </c>
      <c r="J79" s="6">
        <f>_xlfn.LET(_xlpm.t,_xlfn.MINIFS('Work Items'!P:P,'Work Items'!D:D,B79,'Work Items'!A:A,"Task"),_xlpm.b,_xlfn.MINIFS('Work Items'!P:P,'Work Items'!D:D,B79,'Work Items'!A:A,"Bug"),_xlpm.m,IF(AND(_xlpm.t=0,_xlpm.b=0),0,IF(_xlpm.t=0,_xlpm.b,IF(_xlpm.b=0,_xlpm.t,MIN(_xlpm.t,_xlpm.b)))),IF(_xlpm.m=0,G79,_xlpm.m))</f>
        <v/>
      </c>
      <c r="K79" s="6">
        <f>_xlfn.LET(_xlpm.t,_xlfn.MAXIFS('Work Items'!Q:Q,'Work Items'!D:D,B79,'Work Items'!A:A,"Task"),_xlpm.b,_xlfn.MAXIFS('Work Items'!Q:Q,'Work Items'!D:D,B79,'Work Items'!A:A,"Bug"),_xlpm.m,MAX(_xlpm.t,_xlpm.b),IF(_xlpm.m=0,H79,_xlpm.m))</f>
        <v/>
      </c>
      <c r="L79" s="8">
        <f>IFERROR(SUMIFS('Work Items'!O:O,'Work Items'!D:D,B79,'Work Items'!A:A,"Task"),0)</f>
        <v/>
      </c>
      <c r="M79" s="9">
        <f>IF(ISNUMBER(I79),I79-L79,"N/A")</f>
        <v/>
      </c>
      <c r="N79" s="10">
        <f>IF(AND(ISNUMBER(H79),K79&gt;0),INT(H79-K79),"TBD")</f>
        <v/>
      </c>
      <c r="O79" s="100">
        <f>TEXT(COUNTIFS('Work Items'!A:A,"Task",'Work Items'!D:D,B79,'Work Items'!L:L,"Completed"),"0")&amp;" / "&amp;TEXT(COUNTIFS('Work Items'!A:A,"Task",'Work Items'!D:D,B79),"0")&amp;" Tasks"</f>
        <v/>
      </c>
      <c r="P79" s="100">
        <f>TEXT(COUNTIFS('Work Items'!A:A,"Bug",'Work Items'!D:D,B79,'Work Items'!L:L,"Fixed"),"0")&amp;" / "&amp;TEXT(COUNTIFS('Work Items'!A:A,"Bug",'Work Items'!D:D,B79),"0")&amp;" Bugs"</f>
        <v/>
      </c>
      <c r="Q79" s="100">
        <f>TEXT(COUNTIFS('Work Items'!A:A,"Risk",'Work Items'!D:D,B79,'Work Items'!L:L,"Open"),"0")&amp;" Open"</f>
        <v/>
      </c>
      <c r="R79" s="100">
        <f>TEXT(COUNTIFS('Work Items'!A:A,"CR",'Work Items'!D:D,B79,'Work Items'!L:L,"Pending Approval"),"0")&amp;" Pending"</f>
        <v/>
      </c>
      <c r="S79" s="11">
        <f>IF(N79="TBD","Yellow",IF(ISNUMBER(N79),IF(N79&lt;0,"Red",IF(N79&lt;14,"Yellow","Green")),"Yellow"))</f>
        <v/>
      </c>
      <c r="T79" s="11">
        <f>IF(NOT(ISNUMBER(M79)),"Yellow",IF(M79&lt;0,"Red",IF(M79/I79&lt;0.05,"Yellow","Green")))</f>
        <v/>
      </c>
      <c r="U79" s="11">
        <f>IF(OR(S79="Red",T79="Red"),"Red",IF(OR(S79="Yellow",T79="Yellow"),"Yellow","Green"))</f>
        <v/>
      </c>
    </row>
    <row r="80">
      <c r="A80" s="2">
        <f>IFERROR(INDEX('Projects Master'!$A:$A,ROW()-1),"")</f>
        <v/>
      </c>
      <c r="B80" s="101">
        <f>IFERROR(VLOOKUP(A80,'Projects Master'!$A:$I,2,0),"")</f>
        <v/>
      </c>
      <c r="C80" s="101">
        <f>IFERROR(VLOOKUP(A80,'Projects Master'!$A:$I,3,0),"")</f>
        <v/>
      </c>
      <c r="D80" s="101">
        <f>IFERROR(VLOOKUP(A80,'Projects Master'!$A:$I,4,0),"")</f>
        <v/>
      </c>
      <c r="E80" s="4">
        <f>IFERROR(VLOOKUP(A80,'Projects Master'!$A:$I,5,0),"")</f>
        <v/>
      </c>
      <c r="F80" s="92">
        <f>IFERROR(VLOOKUP(A80,'Projects Master'!$A:$I,6,0),"")</f>
        <v/>
      </c>
      <c r="G80" s="6">
        <f>IFERROR(VLOOKUP(A80,'Projects Master'!$A:$I,7,0),"")</f>
        <v/>
      </c>
      <c r="H80" s="6">
        <f>IFERROR(VLOOKUP(A80,'Projects Master'!$A:$I,8,0),"")</f>
        <v/>
      </c>
      <c r="I80" s="7">
        <f>IFERROR(VLOOKUP(A80,'Projects Master'!$A:$I,9,0),"")</f>
        <v/>
      </c>
      <c r="J80" s="6">
        <f>_xlfn.LET(_xlpm.t,_xlfn.MINIFS('Work Items'!P:P,'Work Items'!D:D,B80,'Work Items'!A:A,"Task"),_xlpm.b,_xlfn.MINIFS('Work Items'!P:P,'Work Items'!D:D,B80,'Work Items'!A:A,"Bug"),_xlpm.m,IF(AND(_xlpm.t=0,_xlpm.b=0),0,IF(_xlpm.t=0,_xlpm.b,IF(_xlpm.b=0,_xlpm.t,MIN(_xlpm.t,_xlpm.b)))),IF(_xlpm.m=0,G80,_xlpm.m))</f>
        <v/>
      </c>
      <c r="K80" s="6">
        <f>_xlfn.LET(_xlpm.t,_xlfn.MAXIFS('Work Items'!Q:Q,'Work Items'!D:D,B80,'Work Items'!A:A,"Task"),_xlpm.b,_xlfn.MAXIFS('Work Items'!Q:Q,'Work Items'!D:D,B80,'Work Items'!A:A,"Bug"),_xlpm.m,MAX(_xlpm.t,_xlpm.b),IF(_xlpm.m=0,H80,_xlpm.m))</f>
        <v/>
      </c>
      <c r="L80" s="8">
        <f>IFERROR(SUMIFS('Work Items'!O:O,'Work Items'!D:D,B80,'Work Items'!A:A,"Task"),0)</f>
        <v/>
      </c>
      <c r="M80" s="9">
        <f>IF(ISNUMBER(I80),I80-L80,"N/A")</f>
        <v/>
      </c>
      <c r="N80" s="10">
        <f>IF(AND(ISNUMBER(H80),K80&gt;0),INT(H80-K80),"TBD")</f>
        <v/>
      </c>
      <c r="O80" s="100">
        <f>TEXT(COUNTIFS('Work Items'!A:A,"Task",'Work Items'!D:D,B80,'Work Items'!L:L,"Completed"),"0")&amp;" / "&amp;TEXT(COUNTIFS('Work Items'!A:A,"Task",'Work Items'!D:D,B80),"0")&amp;" Tasks"</f>
        <v/>
      </c>
      <c r="P80" s="100">
        <f>TEXT(COUNTIFS('Work Items'!A:A,"Bug",'Work Items'!D:D,B80,'Work Items'!L:L,"Fixed"),"0")&amp;" / "&amp;TEXT(COUNTIFS('Work Items'!A:A,"Bug",'Work Items'!D:D,B80),"0")&amp;" Bugs"</f>
        <v/>
      </c>
      <c r="Q80" s="100">
        <f>TEXT(COUNTIFS('Work Items'!A:A,"Risk",'Work Items'!D:D,B80,'Work Items'!L:L,"Open"),"0")&amp;" Open"</f>
        <v/>
      </c>
      <c r="R80" s="100">
        <f>TEXT(COUNTIFS('Work Items'!A:A,"CR",'Work Items'!D:D,B80,'Work Items'!L:L,"Pending Approval"),"0")&amp;" Pending"</f>
        <v/>
      </c>
      <c r="S80" s="11">
        <f>IF(N80="TBD","Yellow",IF(ISNUMBER(N80),IF(N80&lt;0,"Red",IF(N80&lt;14,"Yellow","Green")),"Yellow"))</f>
        <v/>
      </c>
      <c r="T80" s="11">
        <f>IF(NOT(ISNUMBER(M80)),"Yellow",IF(M80&lt;0,"Red",IF(M80/I80&lt;0.05,"Yellow","Green")))</f>
        <v/>
      </c>
      <c r="U80" s="11">
        <f>IF(OR(S80="Red",T80="Red"),"Red",IF(OR(S80="Yellow",T80="Yellow"),"Yellow","Green"))</f>
        <v/>
      </c>
    </row>
    <row r="81">
      <c r="A81" s="2">
        <f>IFERROR(INDEX('Projects Master'!$A:$A,ROW()-1),"")</f>
        <v/>
      </c>
      <c r="B81" s="101">
        <f>IFERROR(VLOOKUP(A81,'Projects Master'!$A:$I,2,0),"")</f>
        <v/>
      </c>
      <c r="C81" s="101">
        <f>IFERROR(VLOOKUP(A81,'Projects Master'!$A:$I,3,0),"")</f>
        <v/>
      </c>
      <c r="D81" s="101">
        <f>IFERROR(VLOOKUP(A81,'Projects Master'!$A:$I,4,0),"")</f>
        <v/>
      </c>
      <c r="E81" s="4">
        <f>IFERROR(VLOOKUP(A81,'Projects Master'!$A:$I,5,0),"")</f>
        <v/>
      </c>
      <c r="F81" s="92">
        <f>IFERROR(VLOOKUP(A81,'Projects Master'!$A:$I,6,0),"")</f>
        <v/>
      </c>
      <c r="G81" s="6">
        <f>IFERROR(VLOOKUP(A81,'Projects Master'!$A:$I,7,0),"")</f>
        <v/>
      </c>
      <c r="H81" s="6">
        <f>IFERROR(VLOOKUP(A81,'Projects Master'!$A:$I,8,0),"")</f>
        <v/>
      </c>
      <c r="I81" s="7">
        <f>IFERROR(VLOOKUP(A81,'Projects Master'!$A:$I,9,0),"")</f>
        <v/>
      </c>
      <c r="J81" s="6">
        <f>_xlfn.LET(_xlpm.t,_xlfn.MINIFS('Work Items'!P:P,'Work Items'!D:D,B81,'Work Items'!A:A,"Task"),_xlpm.b,_xlfn.MINIFS('Work Items'!P:P,'Work Items'!D:D,B81,'Work Items'!A:A,"Bug"),_xlpm.m,IF(AND(_xlpm.t=0,_xlpm.b=0),0,IF(_xlpm.t=0,_xlpm.b,IF(_xlpm.b=0,_xlpm.t,MIN(_xlpm.t,_xlpm.b)))),IF(_xlpm.m=0,G81,_xlpm.m))</f>
        <v/>
      </c>
      <c r="K81" s="6">
        <f>_xlfn.LET(_xlpm.t,_xlfn.MAXIFS('Work Items'!Q:Q,'Work Items'!D:D,B81,'Work Items'!A:A,"Task"),_xlpm.b,_xlfn.MAXIFS('Work Items'!Q:Q,'Work Items'!D:D,B81,'Work Items'!A:A,"Bug"),_xlpm.m,MAX(_xlpm.t,_xlpm.b),IF(_xlpm.m=0,H81,_xlpm.m))</f>
        <v/>
      </c>
      <c r="L81" s="8">
        <f>IFERROR(SUMIFS('Work Items'!O:O,'Work Items'!D:D,B81,'Work Items'!A:A,"Task"),0)</f>
        <v/>
      </c>
      <c r="M81" s="9">
        <f>IF(ISNUMBER(I81),I81-L81,"N/A")</f>
        <v/>
      </c>
      <c r="N81" s="10">
        <f>IF(AND(ISNUMBER(H81),K81&gt;0),INT(H81-K81),"TBD")</f>
        <v/>
      </c>
      <c r="O81" s="100">
        <f>TEXT(COUNTIFS('Work Items'!A:A,"Task",'Work Items'!D:D,B81,'Work Items'!L:L,"Completed"),"0")&amp;" / "&amp;TEXT(COUNTIFS('Work Items'!A:A,"Task",'Work Items'!D:D,B81),"0")&amp;" Tasks"</f>
        <v/>
      </c>
      <c r="P81" s="100">
        <f>TEXT(COUNTIFS('Work Items'!A:A,"Bug",'Work Items'!D:D,B81,'Work Items'!L:L,"Fixed"),"0")&amp;" / "&amp;TEXT(COUNTIFS('Work Items'!A:A,"Bug",'Work Items'!D:D,B81),"0")&amp;" Bugs"</f>
        <v/>
      </c>
      <c r="Q81" s="100">
        <f>TEXT(COUNTIFS('Work Items'!A:A,"Risk",'Work Items'!D:D,B81,'Work Items'!L:L,"Open"),"0")&amp;" Open"</f>
        <v/>
      </c>
      <c r="R81" s="100">
        <f>TEXT(COUNTIFS('Work Items'!A:A,"CR",'Work Items'!D:D,B81,'Work Items'!L:L,"Pending Approval"),"0")&amp;" Pending"</f>
        <v/>
      </c>
      <c r="S81" s="11">
        <f>IF(N81="TBD","Yellow",IF(ISNUMBER(N81),IF(N81&lt;0,"Red",IF(N81&lt;14,"Yellow","Green")),"Yellow"))</f>
        <v/>
      </c>
      <c r="T81" s="11">
        <f>IF(NOT(ISNUMBER(M81)),"Yellow",IF(M81&lt;0,"Red",IF(M81/I81&lt;0.05,"Yellow","Green")))</f>
        <v/>
      </c>
      <c r="U81" s="11">
        <f>IF(OR(S81="Red",T81="Red"),"Red",IF(OR(S81="Yellow",T81="Yellow"),"Yellow","Green"))</f>
        <v/>
      </c>
    </row>
    <row r="82">
      <c r="A82" s="2">
        <f>IFERROR(INDEX('Projects Master'!$A:$A,ROW()-1),"")</f>
        <v/>
      </c>
      <c r="B82" s="101">
        <f>IFERROR(VLOOKUP(A82,'Projects Master'!$A:$I,2,0),"")</f>
        <v/>
      </c>
      <c r="C82" s="101">
        <f>IFERROR(VLOOKUP(A82,'Projects Master'!$A:$I,3,0),"")</f>
        <v/>
      </c>
      <c r="D82" s="101">
        <f>IFERROR(VLOOKUP(A82,'Projects Master'!$A:$I,4,0),"")</f>
        <v/>
      </c>
      <c r="E82" s="4">
        <f>IFERROR(VLOOKUP(A82,'Projects Master'!$A:$I,5,0),"")</f>
        <v/>
      </c>
      <c r="F82" s="92">
        <f>IFERROR(VLOOKUP(A82,'Projects Master'!$A:$I,6,0),"")</f>
        <v/>
      </c>
      <c r="G82" s="6">
        <f>IFERROR(VLOOKUP(A82,'Projects Master'!$A:$I,7,0),"")</f>
        <v/>
      </c>
      <c r="H82" s="6">
        <f>IFERROR(VLOOKUP(A82,'Projects Master'!$A:$I,8,0),"")</f>
        <v/>
      </c>
      <c r="I82" s="7">
        <f>IFERROR(VLOOKUP(A82,'Projects Master'!$A:$I,9,0),"")</f>
        <v/>
      </c>
      <c r="J82" s="6">
        <f>_xlfn.LET(_xlpm.t,_xlfn.MINIFS('Work Items'!P:P,'Work Items'!D:D,B82,'Work Items'!A:A,"Task"),_xlpm.b,_xlfn.MINIFS('Work Items'!P:P,'Work Items'!D:D,B82,'Work Items'!A:A,"Bug"),_xlpm.m,IF(AND(_xlpm.t=0,_xlpm.b=0),0,IF(_xlpm.t=0,_xlpm.b,IF(_xlpm.b=0,_xlpm.t,MIN(_xlpm.t,_xlpm.b)))),IF(_xlpm.m=0,G82,_xlpm.m))</f>
        <v/>
      </c>
      <c r="K82" s="6">
        <f>_xlfn.LET(_xlpm.t,_xlfn.MAXIFS('Work Items'!Q:Q,'Work Items'!D:D,B82,'Work Items'!A:A,"Task"),_xlpm.b,_xlfn.MAXIFS('Work Items'!Q:Q,'Work Items'!D:D,B82,'Work Items'!A:A,"Bug"),_xlpm.m,MAX(_xlpm.t,_xlpm.b),IF(_xlpm.m=0,H82,_xlpm.m))</f>
        <v/>
      </c>
      <c r="L82" s="8">
        <f>IFERROR(SUMIFS('Work Items'!O:O,'Work Items'!D:D,B82,'Work Items'!A:A,"Task"),0)</f>
        <v/>
      </c>
      <c r="M82" s="9">
        <f>IF(ISNUMBER(I82),I82-L82,"N/A")</f>
        <v/>
      </c>
      <c r="N82" s="10">
        <f>IF(AND(ISNUMBER(H82),K82&gt;0),INT(H82-K82),"TBD")</f>
        <v/>
      </c>
      <c r="O82" s="100">
        <f>TEXT(COUNTIFS('Work Items'!A:A,"Task",'Work Items'!D:D,B82,'Work Items'!L:L,"Completed"),"0")&amp;" / "&amp;TEXT(COUNTIFS('Work Items'!A:A,"Task",'Work Items'!D:D,B82),"0")&amp;" Tasks"</f>
        <v/>
      </c>
      <c r="P82" s="100">
        <f>TEXT(COUNTIFS('Work Items'!A:A,"Bug",'Work Items'!D:D,B82,'Work Items'!L:L,"Fixed"),"0")&amp;" / "&amp;TEXT(COUNTIFS('Work Items'!A:A,"Bug",'Work Items'!D:D,B82),"0")&amp;" Bugs"</f>
        <v/>
      </c>
      <c r="Q82" s="100">
        <f>TEXT(COUNTIFS('Work Items'!A:A,"Risk",'Work Items'!D:D,B82,'Work Items'!L:L,"Open"),"0")&amp;" Open"</f>
        <v/>
      </c>
      <c r="R82" s="100">
        <f>TEXT(COUNTIFS('Work Items'!A:A,"CR",'Work Items'!D:D,B82,'Work Items'!L:L,"Pending Approval"),"0")&amp;" Pending"</f>
        <v/>
      </c>
      <c r="S82" s="11">
        <f>IF(N82="TBD","Yellow",IF(ISNUMBER(N82),IF(N82&lt;0,"Red",IF(N82&lt;14,"Yellow","Green")),"Yellow"))</f>
        <v/>
      </c>
      <c r="T82" s="11">
        <f>IF(NOT(ISNUMBER(M82)),"Yellow",IF(M82&lt;0,"Red",IF(M82/I82&lt;0.05,"Yellow","Green")))</f>
        <v/>
      </c>
      <c r="U82" s="11">
        <f>IF(OR(S82="Red",T82="Red"),"Red",IF(OR(S82="Yellow",T82="Yellow"),"Yellow","Green"))</f>
        <v/>
      </c>
    </row>
    <row r="83">
      <c r="A83" s="2">
        <f>IFERROR(INDEX('Projects Master'!$A:$A,ROW()-1),"")</f>
        <v/>
      </c>
      <c r="B83" s="101">
        <f>IFERROR(VLOOKUP(A83,'Projects Master'!$A:$I,2,0),"")</f>
        <v/>
      </c>
      <c r="C83" s="101">
        <f>IFERROR(VLOOKUP(A83,'Projects Master'!$A:$I,3,0),"")</f>
        <v/>
      </c>
      <c r="D83" s="101">
        <f>IFERROR(VLOOKUP(A83,'Projects Master'!$A:$I,4,0),"")</f>
        <v/>
      </c>
      <c r="E83" s="4">
        <f>IFERROR(VLOOKUP(A83,'Projects Master'!$A:$I,5,0),"")</f>
        <v/>
      </c>
      <c r="F83" s="92">
        <f>IFERROR(VLOOKUP(A83,'Projects Master'!$A:$I,6,0),"")</f>
        <v/>
      </c>
      <c r="G83" s="6">
        <f>IFERROR(VLOOKUP(A83,'Projects Master'!$A:$I,7,0),"")</f>
        <v/>
      </c>
      <c r="H83" s="6">
        <f>IFERROR(VLOOKUP(A83,'Projects Master'!$A:$I,8,0),"")</f>
        <v/>
      </c>
      <c r="I83" s="7">
        <f>IFERROR(VLOOKUP(A83,'Projects Master'!$A:$I,9,0),"")</f>
        <v/>
      </c>
      <c r="J83" s="6">
        <f>_xlfn.LET(_xlpm.t,_xlfn.MINIFS('Work Items'!P:P,'Work Items'!D:D,B83,'Work Items'!A:A,"Task"),_xlpm.b,_xlfn.MINIFS('Work Items'!P:P,'Work Items'!D:D,B83,'Work Items'!A:A,"Bug"),_xlpm.m,IF(AND(_xlpm.t=0,_xlpm.b=0),0,IF(_xlpm.t=0,_xlpm.b,IF(_xlpm.b=0,_xlpm.t,MIN(_xlpm.t,_xlpm.b)))),IF(_xlpm.m=0,G83,_xlpm.m))</f>
        <v/>
      </c>
      <c r="K83" s="6">
        <f>_xlfn.LET(_xlpm.t,_xlfn.MAXIFS('Work Items'!Q:Q,'Work Items'!D:D,B83,'Work Items'!A:A,"Task"),_xlpm.b,_xlfn.MAXIFS('Work Items'!Q:Q,'Work Items'!D:D,B83,'Work Items'!A:A,"Bug"),_xlpm.m,MAX(_xlpm.t,_xlpm.b),IF(_xlpm.m=0,H83,_xlpm.m))</f>
        <v/>
      </c>
      <c r="L83" s="8">
        <f>IFERROR(SUMIFS('Work Items'!O:O,'Work Items'!D:D,B83,'Work Items'!A:A,"Task"),0)</f>
        <v/>
      </c>
      <c r="M83" s="9">
        <f>IF(ISNUMBER(I83),I83-L83,"N/A")</f>
        <v/>
      </c>
      <c r="N83" s="10">
        <f>IF(AND(ISNUMBER(H83),K83&gt;0),INT(H83-K83),"TBD")</f>
        <v/>
      </c>
      <c r="O83" s="100">
        <f>TEXT(COUNTIFS('Work Items'!A:A,"Task",'Work Items'!D:D,B83,'Work Items'!L:L,"Completed"),"0")&amp;" / "&amp;TEXT(COUNTIFS('Work Items'!A:A,"Task",'Work Items'!D:D,B83),"0")&amp;" Tasks"</f>
        <v/>
      </c>
      <c r="P83" s="100">
        <f>TEXT(COUNTIFS('Work Items'!A:A,"Bug",'Work Items'!D:D,B83,'Work Items'!L:L,"Fixed"),"0")&amp;" / "&amp;TEXT(COUNTIFS('Work Items'!A:A,"Bug",'Work Items'!D:D,B83),"0")&amp;" Bugs"</f>
        <v/>
      </c>
      <c r="Q83" s="100">
        <f>TEXT(COUNTIFS('Work Items'!A:A,"Risk",'Work Items'!D:D,B83,'Work Items'!L:L,"Open"),"0")&amp;" Open"</f>
        <v/>
      </c>
      <c r="R83" s="100">
        <f>TEXT(COUNTIFS('Work Items'!A:A,"CR",'Work Items'!D:D,B83,'Work Items'!L:L,"Pending Approval"),"0")&amp;" Pending"</f>
        <v/>
      </c>
      <c r="S83" s="11">
        <f>IF(N83="TBD","Yellow",IF(ISNUMBER(N83),IF(N83&lt;0,"Red",IF(N83&lt;14,"Yellow","Green")),"Yellow"))</f>
        <v/>
      </c>
      <c r="T83" s="11">
        <f>IF(NOT(ISNUMBER(M83)),"Yellow",IF(M83&lt;0,"Red",IF(M83/I83&lt;0.05,"Yellow","Green")))</f>
        <v/>
      </c>
      <c r="U83" s="11">
        <f>IF(OR(S83="Red",T83="Red"),"Red",IF(OR(S83="Yellow",T83="Yellow"),"Yellow","Green"))</f>
        <v/>
      </c>
    </row>
    <row r="84">
      <c r="A84" s="2">
        <f>IFERROR(INDEX('Projects Master'!$A:$A,ROW()-1),"")</f>
        <v/>
      </c>
      <c r="B84" s="101">
        <f>IFERROR(VLOOKUP(A84,'Projects Master'!$A:$I,2,0),"")</f>
        <v/>
      </c>
      <c r="C84" s="101">
        <f>IFERROR(VLOOKUP(A84,'Projects Master'!$A:$I,3,0),"")</f>
        <v/>
      </c>
      <c r="D84" s="101">
        <f>IFERROR(VLOOKUP(A84,'Projects Master'!$A:$I,4,0),"")</f>
        <v/>
      </c>
      <c r="E84" s="4">
        <f>IFERROR(VLOOKUP(A84,'Projects Master'!$A:$I,5,0),"")</f>
        <v/>
      </c>
      <c r="F84" s="92">
        <f>IFERROR(VLOOKUP(A84,'Projects Master'!$A:$I,6,0),"")</f>
        <v/>
      </c>
      <c r="G84" s="6">
        <f>IFERROR(VLOOKUP(A84,'Projects Master'!$A:$I,7,0),"")</f>
        <v/>
      </c>
      <c r="H84" s="6">
        <f>IFERROR(VLOOKUP(A84,'Projects Master'!$A:$I,8,0),"")</f>
        <v/>
      </c>
      <c r="I84" s="7">
        <f>IFERROR(VLOOKUP(A84,'Projects Master'!$A:$I,9,0),"")</f>
        <v/>
      </c>
      <c r="J84" s="6">
        <f>_xlfn.LET(_xlpm.t,_xlfn.MINIFS('Work Items'!P:P,'Work Items'!D:D,B84,'Work Items'!A:A,"Task"),_xlpm.b,_xlfn.MINIFS('Work Items'!P:P,'Work Items'!D:D,B84,'Work Items'!A:A,"Bug"),_xlpm.m,IF(AND(_xlpm.t=0,_xlpm.b=0),0,IF(_xlpm.t=0,_xlpm.b,IF(_xlpm.b=0,_xlpm.t,MIN(_xlpm.t,_xlpm.b)))),IF(_xlpm.m=0,G84,_xlpm.m))</f>
        <v/>
      </c>
      <c r="K84" s="6">
        <f>_xlfn.LET(_xlpm.t,_xlfn.MAXIFS('Work Items'!Q:Q,'Work Items'!D:D,B84,'Work Items'!A:A,"Task"),_xlpm.b,_xlfn.MAXIFS('Work Items'!Q:Q,'Work Items'!D:D,B84,'Work Items'!A:A,"Bug"),_xlpm.m,MAX(_xlpm.t,_xlpm.b),IF(_xlpm.m=0,H84,_xlpm.m))</f>
        <v/>
      </c>
      <c r="L84" s="8">
        <f>IFERROR(SUMIFS('Work Items'!O:O,'Work Items'!D:D,B84,'Work Items'!A:A,"Task"),0)</f>
        <v/>
      </c>
      <c r="M84" s="9">
        <f>IF(ISNUMBER(I84),I84-L84,"N/A")</f>
        <v/>
      </c>
      <c r="N84" s="10">
        <f>IF(AND(ISNUMBER(H84),K84&gt;0),INT(H84-K84),"TBD")</f>
        <v/>
      </c>
      <c r="O84" s="100">
        <f>TEXT(COUNTIFS('Work Items'!A:A,"Task",'Work Items'!D:D,B84,'Work Items'!L:L,"Completed"),"0")&amp;" / "&amp;TEXT(COUNTIFS('Work Items'!A:A,"Task",'Work Items'!D:D,B84),"0")&amp;" Tasks"</f>
        <v/>
      </c>
      <c r="P84" s="100">
        <f>TEXT(COUNTIFS('Work Items'!A:A,"Bug",'Work Items'!D:D,B84,'Work Items'!L:L,"Fixed"),"0")&amp;" / "&amp;TEXT(COUNTIFS('Work Items'!A:A,"Bug",'Work Items'!D:D,B84),"0")&amp;" Bugs"</f>
        <v/>
      </c>
      <c r="Q84" s="100">
        <f>TEXT(COUNTIFS('Work Items'!A:A,"Risk",'Work Items'!D:D,B84,'Work Items'!L:L,"Open"),"0")&amp;" Open"</f>
        <v/>
      </c>
      <c r="R84" s="100">
        <f>TEXT(COUNTIFS('Work Items'!A:A,"CR",'Work Items'!D:D,B84,'Work Items'!L:L,"Pending Approval"),"0")&amp;" Pending"</f>
        <v/>
      </c>
      <c r="S84" s="11">
        <f>IF(N84="TBD","Yellow",IF(ISNUMBER(N84),IF(N84&lt;0,"Red",IF(N84&lt;14,"Yellow","Green")),"Yellow"))</f>
        <v/>
      </c>
      <c r="T84" s="11">
        <f>IF(NOT(ISNUMBER(M84)),"Yellow",IF(M84&lt;0,"Red",IF(M84/I84&lt;0.05,"Yellow","Green")))</f>
        <v/>
      </c>
      <c r="U84" s="11">
        <f>IF(OR(S84="Red",T84="Red"),"Red",IF(OR(S84="Yellow",T84="Yellow"),"Yellow","Green"))</f>
        <v/>
      </c>
    </row>
    <row r="85">
      <c r="A85" s="2">
        <f>IFERROR(INDEX('Projects Master'!$A:$A,ROW()-1),"")</f>
        <v/>
      </c>
      <c r="B85" s="101">
        <f>IFERROR(VLOOKUP(A85,'Projects Master'!$A:$I,2,0),"")</f>
        <v/>
      </c>
      <c r="C85" s="101">
        <f>IFERROR(VLOOKUP(A85,'Projects Master'!$A:$I,3,0),"")</f>
        <v/>
      </c>
      <c r="D85" s="101">
        <f>IFERROR(VLOOKUP(A85,'Projects Master'!$A:$I,4,0),"")</f>
        <v/>
      </c>
      <c r="E85" s="4">
        <f>IFERROR(VLOOKUP(A85,'Projects Master'!$A:$I,5,0),"")</f>
        <v/>
      </c>
      <c r="F85" s="92">
        <f>IFERROR(VLOOKUP(A85,'Projects Master'!$A:$I,6,0),"")</f>
        <v/>
      </c>
      <c r="G85" s="6">
        <f>IFERROR(VLOOKUP(A85,'Projects Master'!$A:$I,7,0),"")</f>
        <v/>
      </c>
      <c r="H85" s="6">
        <f>IFERROR(VLOOKUP(A85,'Projects Master'!$A:$I,8,0),"")</f>
        <v/>
      </c>
      <c r="I85" s="7">
        <f>IFERROR(VLOOKUP(A85,'Projects Master'!$A:$I,9,0),"")</f>
        <v/>
      </c>
      <c r="J85" s="6">
        <f>_xlfn.LET(_xlpm.t,_xlfn.MINIFS('Work Items'!P:P,'Work Items'!D:D,B85,'Work Items'!A:A,"Task"),_xlpm.b,_xlfn.MINIFS('Work Items'!P:P,'Work Items'!D:D,B85,'Work Items'!A:A,"Bug"),_xlpm.m,IF(AND(_xlpm.t=0,_xlpm.b=0),0,IF(_xlpm.t=0,_xlpm.b,IF(_xlpm.b=0,_xlpm.t,MIN(_xlpm.t,_xlpm.b)))),IF(_xlpm.m=0,G85,_xlpm.m))</f>
        <v/>
      </c>
      <c r="K85" s="6">
        <f>_xlfn.LET(_xlpm.t,_xlfn.MAXIFS('Work Items'!Q:Q,'Work Items'!D:D,B85,'Work Items'!A:A,"Task"),_xlpm.b,_xlfn.MAXIFS('Work Items'!Q:Q,'Work Items'!D:D,B85,'Work Items'!A:A,"Bug"),_xlpm.m,MAX(_xlpm.t,_xlpm.b),IF(_xlpm.m=0,H85,_xlpm.m))</f>
        <v/>
      </c>
      <c r="L85" s="8">
        <f>IFERROR(SUMIFS('Work Items'!O:O,'Work Items'!D:D,B85,'Work Items'!A:A,"Task"),0)</f>
        <v/>
      </c>
      <c r="M85" s="9">
        <f>IF(ISNUMBER(I85),I85-L85,"N/A")</f>
        <v/>
      </c>
      <c r="N85" s="10">
        <f>IF(AND(ISNUMBER(H85),K85&gt;0),INT(H85-K85),"TBD")</f>
        <v/>
      </c>
      <c r="O85" s="100">
        <f>TEXT(COUNTIFS('Work Items'!A:A,"Task",'Work Items'!D:D,B85,'Work Items'!L:L,"Completed"),"0")&amp;" / "&amp;TEXT(COUNTIFS('Work Items'!A:A,"Task",'Work Items'!D:D,B85),"0")&amp;" Tasks"</f>
        <v/>
      </c>
      <c r="P85" s="100">
        <f>TEXT(COUNTIFS('Work Items'!A:A,"Bug",'Work Items'!D:D,B85,'Work Items'!L:L,"Fixed"),"0")&amp;" / "&amp;TEXT(COUNTIFS('Work Items'!A:A,"Bug",'Work Items'!D:D,B85),"0")&amp;" Bugs"</f>
        <v/>
      </c>
      <c r="Q85" s="100">
        <f>TEXT(COUNTIFS('Work Items'!A:A,"Risk",'Work Items'!D:D,B85,'Work Items'!L:L,"Open"),"0")&amp;" Open"</f>
        <v/>
      </c>
      <c r="R85" s="100">
        <f>TEXT(COUNTIFS('Work Items'!A:A,"CR",'Work Items'!D:D,B85,'Work Items'!L:L,"Pending Approval"),"0")&amp;" Pending"</f>
        <v/>
      </c>
      <c r="S85" s="11">
        <f>IF(N85="TBD","Yellow",IF(ISNUMBER(N85),IF(N85&lt;0,"Red",IF(N85&lt;14,"Yellow","Green")),"Yellow"))</f>
        <v/>
      </c>
      <c r="T85" s="11">
        <f>IF(NOT(ISNUMBER(M85)),"Yellow",IF(M85&lt;0,"Red",IF(M85/I85&lt;0.05,"Yellow","Green")))</f>
        <v/>
      </c>
      <c r="U85" s="11">
        <f>IF(OR(S85="Red",T85="Red"),"Red",IF(OR(S85="Yellow",T85="Yellow"),"Yellow","Green"))</f>
        <v/>
      </c>
    </row>
    <row r="86">
      <c r="A86" s="2">
        <f>IFERROR(INDEX('Projects Master'!$A:$A,ROW()-1),"")</f>
        <v/>
      </c>
      <c r="B86" s="101">
        <f>IFERROR(VLOOKUP(A86,'Projects Master'!$A:$I,2,0),"")</f>
        <v/>
      </c>
      <c r="C86" s="101">
        <f>IFERROR(VLOOKUP(A86,'Projects Master'!$A:$I,3,0),"")</f>
        <v/>
      </c>
      <c r="D86" s="101">
        <f>IFERROR(VLOOKUP(A86,'Projects Master'!$A:$I,4,0),"")</f>
        <v/>
      </c>
      <c r="E86" s="4">
        <f>IFERROR(VLOOKUP(A86,'Projects Master'!$A:$I,5,0),"")</f>
        <v/>
      </c>
      <c r="F86" s="92">
        <f>IFERROR(VLOOKUP(A86,'Projects Master'!$A:$I,6,0),"")</f>
        <v/>
      </c>
      <c r="G86" s="6">
        <f>IFERROR(VLOOKUP(A86,'Projects Master'!$A:$I,7,0),"")</f>
        <v/>
      </c>
      <c r="H86" s="6">
        <f>IFERROR(VLOOKUP(A86,'Projects Master'!$A:$I,8,0),"")</f>
        <v/>
      </c>
      <c r="I86" s="7">
        <f>IFERROR(VLOOKUP(A86,'Projects Master'!$A:$I,9,0),"")</f>
        <v/>
      </c>
      <c r="J86" s="6">
        <f>_xlfn.LET(_xlpm.t,_xlfn.MINIFS('Work Items'!P:P,'Work Items'!D:D,B86,'Work Items'!A:A,"Task"),_xlpm.b,_xlfn.MINIFS('Work Items'!P:P,'Work Items'!D:D,B86,'Work Items'!A:A,"Bug"),_xlpm.m,IF(AND(_xlpm.t=0,_xlpm.b=0),0,IF(_xlpm.t=0,_xlpm.b,IF(_xlpm.b=0,_xlpm.t,MIN(_xlpm.t,_xlpm.b)))),IF(_xlpm.m=0,G86,_xlpm.m))</f>
        <v/>
      </c>
      <c r="K86" s="6">
        <f>_xlfn.LET(_xlpm.t,_xlfn.MAXIFS('Work Items'!Q:Q,'Work Items'!D:D,B86,'Work Items'!A:A,"Task"),_xlpm.b,_xlfn.MAXIFS('Work Items'!Q:Q,'Work Items'!D:D,B86,'Work Items'!A:A,"Bug"),_xlpm.m,MAX(_xlpm.t,_xlpm.b),IF(_xlpm.m=0,H86,_xlpm.m))</f>
        <v/>
      </c>
      <c r="L86" s="8">
        <f>IFERROR(SUMIFS('Work Items'!O:O,'Work Items'!D:D,B86,'Work Items'!A:A,"Task"),0)</f>
        <v/>
      </c>
      <c r="M86" s="9">
        <f>IF(ISNUMBER(I86),I86-L86,"N/A")</f>
        <v/>
      </c>
      <c r="N86" s="10">
        <f>IF(AND(ISNUMBER(H86),K86&gt;0),INT(H86-K86),"TBD")</f>
        <v/>
      </c>
      <c r="O86" s="100">
        <f>TEXT(COUNTIFS('Work Items'!A:A,"Task",'Work Items'!D:D,B86,'Work Items'!L:L,"Completed"),"0")&amp;" / "&amp;TEXT(COUNTIFS('Work Items'!A:A,"Task",'Work Items'!D:D,B86),"0")&amp;" Tasks"</f>
        <v/>
      </c>
      <c r="P86" s="100">
        <f>TEXT(COUNTIFS('Work Items'!A:A,"Bug",'Work Items'!D:D,B86,'Work Items'!L:L,"Fixed"),"0")&amp;" / "&amp;TEXT(COUNTIFS('Work Items'!A:A,"Bug",'Work Items'!D:D,B86),"0")&amp;" Bugs"</f>
        <v/>
      </c>
      <c r="Q86" s="100">
        <f>TEXT(COUNTIFS('Work Items'!A:A,"Risk",'Work Items'!D:D,B86,'Work Items'!L:L,"Open"),"0")&amp;" Open"</f>
        <v/>
      </c>
      <c r="R86" s="100">
        <f>TEXT(COUNTIFS('Work Items'!A:A,"CR",'Work Items'!D:D,B86,'Work Items'!L:L,"Pending Approval"),"0")&amp;" Pending"</f>
        <v/>
      </c>
      <c r="S86" s="11">
        <f>IF(N86="TBD","Yellow",IF(ISNUMBER(N86),IF(N86&lt;0,"Red",IF(N86&lt;14,"Yellow","Green")),"Yellow"))</f>
        <v/>
      </c>
      <c r="T86" s="11">
        <f>IF(NOT(ISNUMBER(M86)),"Yellow",IF(M86&lt;0,"Red",IF(M86/I86&lt;0.05,"Yellow","Green")))</f>
        <v/>
      </c>
      <c r="U86" s="11">
        <f>IF(OR(S86="Red",T86="Red"),"Red",IF(OR(S86="Yellow",T86="Yellow"),"Yellow","Green"))</f>
        <v/>
      </c>
    </row>
    <row r="87">
      <c r="A87" s="2">
        <f>IFERROR(INDEX('Projects Master'!$A:$A,ROW()-1),"")</f>
        <v/>
      </c>
      <c r="B87" s="101">
        <f>IFERROR(VLOOKUP(A87,'Projects Master'!$A:$I,2,0),"")</f>
        <v/>
      </c>
      <c r="C87" s="101">
        <f>IFERROR(VLOOKUP(A87,'Projects Master'!$A:$I,3,0),"")</f>
        <v/>
      </c>
      <c r="D87" s="101">
        <f>IFERROR(VLOOKUP(A87,'Projects Master'!$A:$I,4,0),"")</f>
        <v/>
      </c>
      <c r="E87" s="4">
        <f>IFERROR(VLOOKUP(A87,'Projects Master'!$A:$I,5,0),"")</f>
        <v/>
      </c>
      <c r="F87" s="92">
        <f>IFERROR(VLOOKUP(A87,'Projects Master'!$A:$I,6,0),"")</f>
        <v/>
      </c>
      <c r="G87" s="6">
        <f>IFERROR(VLOOKUP(A87,'Projects Master'!$A:$I,7,0),"")</f>
        <v/>
      </c>
      <c r="H87" s="6">
        <f>IFERROR(VLOOKUP(A87,'Projects Master'!$A:$I,8,0),"")</f>
        <v/>
      </c>
      <c r="I87" s="7">
        <f>IFERROR(VLOOKUP(A87,'Projects Master'!$A:$I,9,0),"")</f>
        <v/>
      </c>
      <c r="J87" s="6">
        <f>_xlfn.LET(_xlpm.t,_xlfn.MINIFS('Work Items'!P:P,'Work Items'!D:D,B87,'Work Items'!A:A,"Task"),_xlpm.b,_xlfn.MINIFS('Work Items'!P:P,'Work Items'!D:D,B87,'Work Items'!A:A,"Bug"),_xlpm.m,IF(AND(_xlpm.t=0,_xlpm.b=0),0,IF(_xlpm.t=0,_xlpm.b,IF(_xlpm.b=0,_xlpm.t,MIN(_xlpm.t,_xlpm.b)))),IF(_xlpm.m=0,G87,_xlpm.m))</f>
        <v/>
      </c>
      <c r="K87" s="6">
        <f>_xlfn.LET(_xlpm.t,_xlfn.MAXIFS('Work Items'!Q:Q,'Work Items'!D:D,B87,'Work Items'!A:A,"Task"),_xlpm.b,_xlfn.MAXIFS('Work Items'!Q:Q,'Work Items'!D:D,B87,'Work Items'!A:A,"Bug"),_xlpm.m,MAX(_xlpm.t,_xlpm.b),IF(_xlpm.m=0,H87,_xlpm.m))</f>
        <v/>
      </c>
      <c r="L87" s="8">
        <f>IFERROR(SUMIFS('Work Items'!O:O,'Work Items'!D:D,B87,'Work Items'!A:A,"Task"),0)</f>
        <v/>
      </c>
      <c r="M87" s="9">
        <f>IF(ISNUMBER(I87),I87-L87,"N/A")</f>
        <v/>
      </c>
      <c r="N87" s="10">
        <f>IF(AND(ISNUMBER(H87),K87&gt;0),INT(H87-K87),"TBD")</f>
        <v/>
      </c>
      <c r="O87" s="100">
        <f>TEXT(COUNTIFS('Work Items'!A:A,"Task",'Work Items'!D:D,B87,'Work Items'!L:L,"Completed"),"0")&amp;" / "&amp;TEXT(COUNTIFS('Work Items'!A:A,"Task",'Work Items'!D:D,B87),"0")&amp;" Tasks"</f>
        <v/>
      </c>
      <c r="P87" s="100">
        <f>TEXT(COUNTIFS('Work Items'!A:A,"Bug",'Work Items'!D:D,B87,'Work Items'!L:L,"Fixed"),"0")&amp;" / "&amp;TEXT(COUNTIFS('Work Items'!A:A,"Bug",'Work Items'!D:D,B87),"0")&amp;" Bugs"</f>
        <v/>
      </c>
      <c r="Q87" s="100">
        <f>TEXT(COUNTIFS('Work Items'!A:A,"Risk",'Work Items'!D:D,B87,'Work Items'!L:L,"Open"),"0")&amp;" Open"</f>
        <v/>
      </c>
      <c r="R87" s="100">
        <f>TEXT(COUNTIFS('Work Items'!A:A,"CR",'Work Items'!D:D,B87,'Work Items'!L:L,"Pending Approval"),"0")&amp;" Pending"</f>
        <v/>
      </c>
      <c r="S87" s="11">
        <f>IF(N87="TBD","Yellow",IF(ISNUMBER(N87),IF(N87&lt;0,"Red",IF(N87&lt;14,"Yellow","Green")),"Yellow"))</f>
        <v/>
      </c>
      <c r="T87" s="11">
        <f>IF(NOT(ISNUMBER(M87)),"Yellow",IF(M87&lt;0,"Red",IF(M87/I87&lt;0.05,"Yellow","Green")))</f>
        <v/>
      </c>
      <c r="U87" s="11">
        <f>IF(OR(S87="Red",T87="Red"),"Red",IF(OR(S87="Yellow",T87="Yellow"),"Yellow","Green"))</f>
        <v/>
      </c>
    </row>
    <row r="88">
      <c r="A88" s="2">
        <f>IFERROR(INDEX('Projects Master'!$A:$A,ROW()-1),"")</f>
        <v/>
      </c>
      <c r="B88" s="101">
        <f>IFERROR(VLOOKUP(A88,'Projects Master'!$A:$I,2,0),"")</f>
        <v/>
      </c>
      <c r="C88" s="101">
        <f>IFERROR(VLOOKUP(A88,'Projects Master'!$A:$I,3,0),"")</f>
        <v/>
      </c>
      <c r="D88" s="101">
        <f>IFERROR(VLOOKUP(A88,'Projects Master'!$A:$I,4,0),"")</f>
        <v/>
      </c>
      <c r="E88" s="4">
        <f>IFERROR(VLOOKUP(A88,'Projects Master'!$A:$I,5,0),"")</f>
        <v/>
      </c>
      <c r="F88" s="92">
        <f>IFERROR(VLOOKUP(A88,'Projects Master'!$A:$I,6,0),"")</f>
        <v/>
      </c>
      <c r="G88" s="6">
        <f>IFERROR(VLOOKUP(A88,'Projects Master'!$A:$I,7,0),"")</f>
        <v/>
      </c>
      <c r="H88" s="6">
        <f>IFERROR(VLOOKUP(A88,'Projects Master'!$A:$I,8,0),"")</f>
        <v/>
      </c>
      <c r="I88" s="7">
        <f>IFERROR(VLOOKUP(A88,'Projects Master'!$A:$I,9,0),"")</f>
        <v/>
      </c>
      <c r="J88" s="6">
        <f>_xlfn.LET(_xlpm.t,_xlfn.MINIFS('Work Items'!P:P,'Work Items'!D:D,B88,'Work Items'!A:A,"Task"),_xlpm.b,_xlfn.MINIFS('Work Items'!P:P,'Work Items'!D:D,B88,'Work Items'!A:A,"Bug"),_xlpm.m,IF(AND(_xlpm.t=0,_xlpm.b=0),0,IF(_xlpm.t=0,_xlpm.b,IF(_xlpm.b=0,_xlpm.t,MIN(_xlpm.t,_xlpm.b)))),IF(_xlpm.m=0,G88,_xlpm.m))</f>
        <v/>
      </c>
      <c r="K88" s="6">
        <f>_xlfn.LET(_xlpm.t,_xlfn.MAXIFS('Work Items'!Q:Q,'Work Items'!D:D,B88,'Work Items'!A:A,"Task"),_xlpm.b,_xlfn.MAXIFS('Work Items'!Q:Q,'Work Items'!D:D,B88,'Work Items'!A:A,"Bug"),_xlpm.m,MAX(_xlpm.t,_xlpm.b),IF(_xlpm.m=0,H88,_xlpm.m))</f>
        <v/>
      </c>
      <c r="L88" s="8">
        <f>IFERROR(SUMIFS('Work Items'!O:O,'Work Items'!D:D,B88,'Work Items'!A:A,"Task"),0)</f>
        <v/>
      </c>
      <c r="M88" s="9">
        <f>IF(ISNUMBER(I88),I88-L88,"N/A")</f>
        <v/>
      </c>
      <c r="N88" s="10">
        <f>IF(AND(ISNUMBER(H88),K88&gt;0),INT(H88-K88),"TBD")</f>
        <v/>
      </c>
      <c r="O88" s="100">
        <f>TEXT(COUNTIFS('Work Items'!A:A,"Task",'Work Items'!D:D,B88,'Work Items'!L:L,"Completed"),"0")&amp;" / "&amp;TEXT(COUNTIFS('Work Items'!A:A,"Task",'Work Items'!D:D,B88),"0")&amp;" Tasks"</f>
        <v/>
      </c>
      <c r="P88" s="100">
        <f>TEXT(COUNTIFS('Work Items'!A:A,"Bug",'Work Items'!D:D,B88,'Work Items'!L:L,"Fixed"),"0")&amp;" / "&amp;TEXT(COUNTIFS('Work Items'!A:A,"Bug",'Work Items'!D:D,B88),"0")&amp;" Bugs"</f>
        <v/>
      </c>
      <c r="Q88" s="100">
        <f>TEXT(COUNTIFS('Work Items'!A:A,"Risk",'Work Items'!D:D,B88,'Work Items'!L:L,"Open"),"0")&amp;" Open"</f>
        <v/>
      </c>
      <c r="R88" s="100">
        <f>TEXT(COUNTIFS('Work Items'!A:A,"CR",'Work Items'!D:D,B88,'Work Items'!L:L,"Pending Approval"),"0")&amp;" Pending"</f>
        <v/>
      </c>
      <c r="S88" s="11">
        <f>IF(N88="TBD","Yellow",IF(ISNUMBER(N88),IF(N88&lt;0,"Red",IF(N88&lt;14,"Yellow","Green")),"Yellow"))</f>
        <v/>
      </c>
      <c r="T88" s="11">
        <f>IF(NOT(ISNUMBER(M88)),"Yellow",IF(M88&lt;0,"Red",IF(M88/I88&lt;0.05,"Yellow","Green")))</f>
        <v/>
      </c>
      <c r="U88" s="11">
        <f>IF(OR(S88="Red",T88="Red"),"Red",IF(OR(S88="Yellow",T88="Yellow"),"Yellow","Green"))</f>
        <v/>
      </c>
    </row>
    <row r="89">
      <c r="A89" s="2">
        <f>IFERROR(INDEX('Projects Master'!$A:$A,ROW()-1),"")</f>
        <v/>
      </c>
      <c r="B89" s="101">
        <f>IFERROR(VLOOKUP(A89,'Projects Master'!$A:$I,2,0),"")</f>
        <v/>
      </c>
      <c r="C89" s="101">
        <f>IFERROR(VLOOKUP(A89,'Projects Master'!$A:$I,3,0),"")</f>
        <v/>
      </c>
      <c r="D89" s="101">
        <f>IFERROR(VLOOKUP(A89,'Projects Master'!$A:$I,4,0),"")</f>
        <v/>
      </c>
      <c r="E89" s="4">
        <f>IFERROR(VLOOKUP(A89,'Projects Master'!$A:$I,5,0),"")</f>
        <v/>
      </c>
      <c r="F89" s="92">
        <f>IFERROR(VLOOKUP(A89,'Projects Master'!$A:$I,6,0),"")</f>
        <v/>
      </c>
      <c r="G89" s="6">
        <f>IFERROR(VLOOKUP(A89,'Projects Master'!$A:$I,7,0),"")</f>
        <v/>
      </c>
      <c r="H89" s="6">
        <f>IFERROR(VLOOKUP(A89,'Projects Master'!$A:$I,8,0),"")</f>
        <v/>
      </c>
      <c r="I89" s="7">
        <f>IFERROR(VLOOKUP(A89,'Projects Master'!$A:$I,9,0),"")</f>
        <v/>
      </c>
      <c r="J89" s="6">
        <f>_xlfn.LET(_xlpm.t,_xlfn.MINIFS('Work Items'!P:P,'Work Items'!D:D,B89,'Work Items'!A:A,"Task"),_xlpm.b,_xlfn.MINIFS('Work Items'!P:P,'Work Items'!D:D,B89,'Work Items'!A:A,"Bug"),_xlpm.m,IF(AND(_xlpm.t=0,_xlpm.b=0),0,IF(_xlpm.t=0,_xlpm.b,IF(_xlpm.b=0,_xlpm.t,MIN(_xlpm.t,_xlpm.b)))),IF(_xlpm.m=0,G89,_xlpm.m))</f>
        <v/>
      </c>
      <c r="K89" s="6">
        <f>_xlfn.LET(_xlpm.t,_xlfn.MAXIFS('Work Items'!Q:Q,'Work Items'!D:D,B89,'Work Items'!A:A,"Task"),_xlpm.b,_xlfn.MAXIFS('Work Items'!Q:Q,'Work Items'!D:D,B89,'Work Items'!A:A,"Bug"),_xlpm.m,MAX(_xlpm.t,_xlpm.b),IF(_xlpm.m=0,H89,_xlpm.m))</f>
        <v/>
      </c>
      <c r="L89" s="8">
        <f>IFERROR(SUMIFS('Work Items'!O:O,'Work Items'!D:D,B89,'Work Items'!A:A,"Task"),0)</f>
        <v/>
      </c>
      <c r="M89" s="9">
        <f>IF(ISNUMBER(I89),I89-L89,"N/A")</f>
        <v/>
      </c>
      <c r="N89" s="10">
        <f>IF(AND(ISNUMBER(H89),K89&gt;0),INT(H89-K89),"TBD")</f>
        <v/>
      </c>
      <c r="O89" s="100">
        <f>TEXT(COUNTIFS('Work Items'!A:A,"Task",'Work Items'!D:D,B89,'Work Items'!L:L,"Completed"),"0")&amp;" / "&amp;TEXT(COUNTIFS('Work Items'!A:A,"Task",'Work Items'!D:D,B89),"0")&amp;" Tasks"</f>
        <v/>
      </c>
      <c r="P89" s="100">
        <f>TEXT(COUNTIFS('Work Items'!A:A,"Bug",'Work Items'!D:D,B89,'Work Items'!L:L,"Fixed"),"0")&amp;" / "&amp;TEXT(COUNTIFS('Work Items'!A:A,"Bug",'Work Items'!D:D,B89),"0")&amp;" Bugs"</f>
        <v/>
      </c>
      <c r="Q89" s="100">
        <f>TEXT(COUNTIFS('Work Items'!A:A,"Risk",'Work Items'!D:D,B89,'Work Items'!L:L,"Open"),"0")&amp;" Open"</f>
        <v/>
      </c>
      <c r="R89" s="100">
        <f>TEXT(COUNTIFS('Work Items'!A:A,"CR",'Work Items'!D:D,B89,'Work Items'!L:L,"Pending Approval"),"0")&amp;" Pending"</f>
        <v/>
      </c>
      <c r="S89" s="11">
        <f>IF(N89="TBD","Yellow",IF(ISNUMBER(N89),IF(N89&lt;0,"Red",IF(N89&lt;14,"Yellow","Green")),"Yellow"))</f>
        <v/>
      </c>
      <c r="T89" s="11">
        <f>IF(NOT(ISNUMBER(M89)),"Yellow",IF(M89&lt;0,"Red",IF(M89/I89&lt;0.05,"Yellow","Green")))</f>
        <v/>
      </c>
      <c r="U89" s="11">
        <f>IF(OR(S89="Red",T89="Red"),"Red",IF(OR(S89="Yellow",T89="Yellow"),"Yellow","Green"))</f>
        <v/>
      </c>
    </row>
    <row r="90">
      <c r="A90" s="2">
        <f>IFERROR(INDEX('Projects Master'!$A:$A,ROW()-1),"")</f>
        <v/>
      </c>
      <c r="B90" s="101">
        <f>IFERROR(VLOOKUP(A90,'Projects Master'!$A:$I,2,0),"")</f>
        <v/>
      </c>
      <c r="C90" s="101">
        <f>IFERROR(VLOOKUP(A90,'Projects Master'!$A:$I,3,0),"")</f>
        <v/>
      </c>
      <c r="D90" s="101">
        <f>IFERROR(VLOOKUP(A90,'Projects Master'!$A:$I,4,0),"")</f>
        <v/>
      </c>
      <c r="E90" s="4">
        <f>IFERROR(VLOOKUP(A90,'Projects Master'!$A:$I,5,0),"")</f>
        <v/>
      </c>
      <c r="F90" s="92">
        <f>IFERROR(VLOOKUP(A90,'Projects Master'!$A:$I,6,0),"")</f>
        <v/>
      </c>
      <c r="G90" s="6">
        <f>IFERROR(VLOOKUP(A90,'Projects Master'!$A:$I,7,0),"")</f>
        <v/>
      </c>
      <c r="H90" s="6">
        <f>IFERROR(VLOOKUP(A90,'Projects Master'!$A:$I,8,0),"")</f>
        <v/>
      </c>
      <c r="I90" s="7">
        <f>IFERROR(VLOOKUP(A90,'Projects Master'!$A:$I,9,0),"")</f>
        <v/>
      </c>
      <c r="J90" s="6">
        <f>_xlfn.LET(_xlpm.t,_xlfn.MINIFS('Work Items'!P:P,'Work Items'!D:D,B90,'Work Items'!A:A,"Task"),_xlpm.b,_xlfn.MINIFS('Work Items'!P:P,'Work Items'!D:D,B90,'Work Items'!A:A,"Bug"),_xlpm.m,IF(AND(_xlpm.t=0,_xlpm.b=0),0,IF(_xlpm.t=0,_xlpm.b,IF(_xlpm.b=0,_xlpm.t,MIN(_xlpm.t,_xlpm.b)))),IF(_xlpm.m=0,G90,_xlpm.m))</f>
        <v/>
      </c>
      <c r="K90" s="6">
        <f>_xlfn.LET(_xlpm.t,_xlfn.MAXIFS('Work Items'!Q:Q,'Work Items'!D:D,B90,'Work Items'!A:A,"Task"),_xlpm.b,_xlfn.MAXIFS('Work Items'!Q:Q,'Work Items'!D:D,B90,'Work Items'!A:A,"Bug"),_xlpm.m,MAX(_xlpm.t,_xlpm.b),IF(_xlpm.m=0,H90,_xlpm.m))</f>
        <v/>
      </c>
      <c r="L90" s="8">
        <f>IFERROR(SUMIFS('Work Items'!O:O,'Work Items'!D:D,B90,'Work Items'!A:A,"Task"),0)</f>
        <v/>
      </c>
      <c r="M90" s="9">
        <f>IF(ISNUMBER(I90),I90-L90,"N/A")</f>
        <v/>
      </c>
      <c r="N90" s="10">
        <f>IF(AND(ISNUMBER(H90),K90&gt;0),INT(H90-K90),"TBD")</f>
        <v/>
      </c>
      <c r="O90" s="100">
        <f>TEXT(COUNTIFS('Work Items'!A:A,"Task",'Work Items'!D:D,B90,'Work Items'!L:L,"Completed"),"0")&amp;" / "&amp;TEXT(COUNTIFS('Work Items'!A:A,"Task",'Work Items'!D:D,B90),"0")&amp;" Tasks"</f>
        <v/>
      </c>
      <c r="P90" s="100">
        <f>TEXT(COUNTIFS('Work Items'!A:A,"Bug",'Work Items'!D:D,B90,'Work Items'!L:L,"Fixed"),"0")&amp;" / "&amp;TEXT(COUNTIFS('Work Items'!A:A,"Bug",'Work Items'!D:D,B90),"0")&amp;" Bugs"</f>
        <v/>
      </c>
      <c r="Q90" s="100">
        <f>TEXT(COUNTIFS('Work Items'!A:A,"Risk",'Work Items'!D:D,B90,'Work Items'!L:L,"Open"),"0")&amp;" Open"</f>
        <v/>
      </c>
      <c r="R90" s="100">
        <f>TEXT(COUNTIFS('Work Items'!A:A,"CR",'Work Items'!D:D,B90,'Work Items'!L:L,"Pending Approval"),"0")&amp;" Pending"</f>
        <v/>
      </c>
      <c r="S90" s="11">
        <f>IF(N90="TBD","Yellow",IF(ISNUMBER(N90),IF(N90&lt;0,"Red",IF(N90&lt;14,"Yellow","Green")),"Yellow"))</f>
        <v/>
      </c>
      <c r="T90" s="11">
        <f>IF(NOT(ISNUMBER(M90)),"Yellow",IF(M90&lt;0,"Red",IF(M90/I90&lt;0.05,"Yellow","Green")))</f>
        <v/>
      </c>
      <c r="U90" s="11">
        <f>IF(OR(S90="Red",T90="Red"),"Red",IF(OR(S90="Yellow",T90="Yellow"),"Yellow","Green"))</f>
        <v/>
      </c>
    </row>
    <row r="91">
      <c r="A91" s="2">
        <f>IFERROR(INDEX('Projects Master'!$A:$A,ROW()-1),"")</f>
        <v/>
      </c>
      <c r="B91" s="101">
        <f>IFERROR(VLOOKUP(A91,'Projects Master'!$A:$I,2,0),"")</f>
        <v/>
      </c>
      <c r="C91" s="101">
        <f>IFERROR(VLOOKUP(A91,'Projects Master'!$A:$I,3,0),"")</f>
        <v/>
      </c>
      <c r="D91" s="101">
        <f>IFERROR(VLOOKUP(A91,'Projects Master'!$A:$I,4,0),"")</f>
        <v/>
      </c>
      <c r="E91" s="4">
        <f>IFERROR(VLOOKUP(A91,'Projects Master'!$A:$I,5,0),"")</f>
        <v/>
      </c>
      <c r="F91" s="92">
        <f>IFERROR(VLOOKUP(A91,'Projects Master'!$A:$I,6,0),"")</f>
        <v/>
      </c>
      <c r="G91" s="6">
        <f>IFERROR(VLOOKUP(A91,'Projects Master'!$A:$I,7,0),"")</f>
        <v/>
      </c>
      <c r="H91" s="6">
        <f>IFERROR(VLOOKUP(A91,'Projects Master'!$A:$I,8,0),"")</f>
        <v/>
      </c>
      <c r="I91" s="7">
        <f>IFERROR(VLOOKUP(A91,'Projects Master'!$A:$I,9,0),"")</f>
        <v/>
      </c>
      <c r="J91" s="6">
        <f>_xlfn.LET(_xlpm.t,_xlfn.MINIFS('Work Items'!P:P,'Work Items'!D:D,B91,'Work Items'!A:A,"Task"),_xlpm.b,_xlfn.MINIFS('Work Items'!P:P,'Work Items'!D:D,B91,'Work Items'!A:A,"Bug"),_xlpm.m,IF(AND(_xlpm.t=0,_xlpm.b=0),0,IF(_xlpm.t=0,_xlpm.b,IF(_xlpm.b=0,_xlpm.t,MIN(_xlpm.t,_xlpm.b)))),IF(_xlpm.m=0,G91,_xlpm.m))</f>
        <v/>
      </c>
      <c r="K91" s="6">
        <f>_xlfn.LET(_xlpm.t,_xlfn.MAXIFS('Work Items'!Q:Q,'Work Items'!D:D,B91,'Work Items'!A:A,"Task"),_xlpm.b,_xlfn.MAXIFS('Work Items'!Q:Q,'Work Items'!D:D,B91,'Work Items'!A:A,"Bug"),_xlpm.m,MAX(_xlpm.t,_xlpm.b),IF(_xlpm.m=0,H91,_xlpm.m))</f>
        <v/>
      </c>
      <c r="L91" s="8">
        <f>IFERROR(SUMIFS('Work Items'!O:O,'Work Items'!D:D,B91,'Work Items'!A:A,"Task"),0)</f>
        <v/>
      </c>
      <c r="M91" s="9">
        <f>IF(ISNUMBER(I91),I91-L91,"N/A")</f>
        <v/>
      </c>
      <c r="N91" s="10">
        <f>IF(AND(ISNUMBER(H91),K91&gt;0),INT(H91-K91),"TBD")</f>
        <v/>
      </c>
      <c r="O91" s="100">
        <f>TEXT(COUNTIFS('Work Items'!A:A,"Task",'Work Items'!D:D,B91,'Work Items'!L:L,"Completed"),"0")&amp;" / "&amp;TEXT(COUNTIFS('Work Items'!A:A,"Task",'Work Items'!D:D,B91),"0")&amp;" Tasks"</f>
        <v/>
      </c>
      <c r="P91" s="100">
        <f>TEXT(COUNTIFS('Work Items'!A:A,"Bug",'Work Items'!D:D,B91,'Work Items'!L:L,"Fixed"),"0")&amp;" / "&amp;TEXT(COUNTIFS('Work Items'!A:A,"Bug",'Work Items'!D:D,B91),"0")&amp;" Bugs"</f>
        <v/>
      </c>
      <c r="Q91" s="100">
        <f>TEXT(COUNTIFS('Work Items'!A:A,"Risk",'Work Items'!D:D,B91,'Work Items'!L:L,"Open"),"0")&amp;" Open"</f>
        <v/>
      </c>
      <c r="R91" s="100">
        <f>TEXT(COUNTIFS('Work Items'!A:A,"CR",'Work Items'!D:D,B91,'Work Items'!L:L,"Pending Approval"),"0")&amp;" Pending"</f>
        <v/>
      </c>
      <c r="S91" s="11">
        <f>IF(N91="TBD","Yellow",IF(ISNUMBER(N91),IF(N91&lt;0,"Red",IF(N91&lt;14,"Yellow","Green")),"Yellow"))</f>
        <v/>
      </c>
      <c r="T91" s="11">
        <f>IF(NOT(ISNUMBER(M91)),"Yellow",IF(M91&lt;0,"Red",IF(M91/I91&lt;0.05,"Yellow","Green")))</f>
        <v/>
      </c>
      <c r="U91" s="11">
        <f>IF(OR(S91="Red",T91="Red"),"Red",IF(OR(S91="Yellow",T91="Yellow"),"Yellow","Green"))</f>
        <v/>
      </c>
    </row>
    <row r="92">
      <c r="A92" s="2">
        <f>IFERROR(INDEX('Projects Master'!$A:$A,ROW()-1),"")</f>
        <v/>
      </c>
      <c r="B92" s="101">
        <f>IFERROR(VLOOKUP(A92,'Projects Master'!$A:$I,2,0),"")</f>
        <v/>
      </c>
      <c r="C92" s="101">
        <f>IFERROR(VLOOKUP(A92,'Projects Master'!$A:$I,3,0),"")</f>
        <v/>
      </c>
      <c r="D92" s="101">
        <f>IFERROR(VLOOKUP(A92,'Projects Master'!$A:$I,4,0),"")</f>
        <v/>
      </c>
      <c r="E92" s="4">
        <f>IFERROR(VLOOKUP(A92,'Projects Master'!$A:$I,5,0),"")</f>
        <v/>
      </c>
      <c r="F92" s="92">
        <f>IFERROR(VLOOKUP(A92,'Projects Master'!$A:$I,6,0),"")</f>
        <v/>
      </c>
      <c r="G92" s="6">
        <f>IFERROR(VLOOKUP(A92,'Projects Master'!$A:$I,7,0),"")</f>
        <v/>
      </c>
      <c r="H92" s="6">
        <f>IFERROR(VLOOKUP(A92,'Projects Master'!$A:$I,8,0),"")</f>
        <v/>
      </c>
      <c r="I92" s="7">
        <f>IFERROR(VLOOKUP(A92,'Projects Master'!$A:$I,9,0),"")</f>
        <v/>
      </c>
      <c r="J92" s="6">
        <f>_xlfn.LET(_xlpm.t,_xlfn.MINIFS('Work Items'!P:P,'Work Items'!D:D,B92,'Work Items'!A:A,"Task"),_xlpm.b,_xlfn.MINIFS('Work Items'!P:P,'Work Items'!D:D,B92,'Work Items'!A:A,"Bug"),_xlpm.m,IF(AND(_xlpm.t=0,_xlpm.b=0),0,IF(_xlpm.t=0,_xlpm.b,IF(_xlpm.b=0,_xlpm.t,MIN(_xlpm.t,_xlpm.b)))),IF(_xlpm.m=0,G92,_xlpm.m))</f>
        <v/>
      </c>
      <c r="K92" s="6">
        <f>_xlfn.LET(_xlpm.t,_xlfn.MAXIFS('Work Items'!Q:Q,'Work Items'!D:D,B92,'Work Items'!A:A,"Task"),_xlpm.b,_xlfn.MAXIFS('Work Items'!Q:Q,'Work Items'!D:D,B92,'Work Items'!A:A,"Bug"),_xlpm.m,MAX(_xlpm.t,_xlpm.b),IF(_xlpm.m=0,H92,_xlpm.m))</f>
        <v/>
      </c>
      <c r="L92" s="8">
        <f>IFERROR(SUMIFS('Work Items'!O:O,'Work Items'!D:D,B92,'Work Items'!A:A,"Task"),0)</f>
        <v/>
      </c>
      <c r="M92" s="9">
        <f>IF(ISNUMBER(I92),I92-L92,"N/A")</f>
        <v/>
      </c>
      <c r="N92" s="10">
        <f>IF(AND(ISNUMBER(H92),K92&gt;0),INT(H92-K92),"TBD")</f>
        <v/>
      </c>
      <c r="O92" s="100">
        <f>TEXT(COUNTIFS('Work Items'!A:A,"Task",'Work Items'!D:D,B92,'Work Items'!L:L,"Completed"),"0")&amp;" / "&amp;TEXT(COUNTIFS('Work Items'!A:A,"Task",'Work Items'!D:D,B92),"0")&amp;" Tasks"</f>
        <v/>
      </c>
      <c r="P92" s="100">
        <f>TEXT(COUNTIFS('Work Items'!A:A,"Bug",'Work Items'!D:D,B92,'Work Items'!L:L,"Fixed"),"0")&amp;" / "&amp;TEXT(COUNTIFS('Work Items'!A:A,"Bug",'Work Items'!D:D,B92),"0")&amp;" Bugs"</f>
        <v/>
      </c>
      <c r="Q92" s="100">
        <f>TEXT(COUNTIFS('Work Items'!A:A,"Risk",'Work Items'!D:D,B92,'Work Items'!L:L,"Open"),"0")&amp;" Open"</f>
        <v/>
      </c>
      <c r="R92" s="100">
        <f>TEXT(COUNTIFS('Work Items'!A:A,"CR",'Work Items'!D:D,B92,'Work Items'!L:L,"Pending Approval"),"0")&amp;" Pending"</f>
        <v/>
      </c>
      <c r="S92" s="11">
        <f>IF(N92="TBD","Yellow",IF(ISNUMBER(N92),IF(N92&lt;0,"Red",IF(N92&lt;14,"Yellow","Green")),"Yellow"))</f>
        <v/>
      </c>
      <c r="T92" s="11">
        <f>IF(NOT(ISNUMBER(M92)),"Yellow",IF(M92&lt;0,"Red",IF(M92/I92&lt;0.05,"Yellow","Green")))</f>
        <v/>
      </c>
      <c r="U92" s="11">
        <f>IF(OR(S92="Red",T92="Red"),"Red",IF(OR(S92="Yellow",T92="Yellow"),"Yellow","Green"))</f>
        <v/>
      </c>
    </row>
    <row r="93">
      <c r="A93" s="2">
        <f>IFERROR(INDEX('Projects Master'!$A:$A,ROW()-1),"")</f>
        <v/>
      </c>
      <c r="B93" s="101">
        <f>IFERROR(VLOOKUP(A93,'Projects Master'!$A:$I,2,0),"")</f>
        <v/>
      </c>
      <c r="C93" s="101">
        <f>IFERROR(VLOOKUP(A93,'Projects Master'!$A:$I,3,0),"")</f>
        <v/>
      </c>
      <c r="D93" s="101">
        <f>IFERROR(VLOOKUP(A93,'Projects Master'!$A:$I,4,0),"")</f>
        <v/>
      </c>
      <c r="E93" s="4">
        <f>IFERROR(VLOOKUP(A93,'Projects Master'!$A:$I,5,0),"")</f>
        <v/>
      </c>
      <c r="F93" s="92">
        <f>IFERROR(VLOOKUP(A93,'Projects Master'!$A:$I,6,0),"")</f>
        <v/>
      </c>
      <c r="G93" s="6">
        <f>IFERROR(VLOOKUP(A93,'Projects Master'!$A:$I,7,0),"")</f>
        <v/>
      </c>
      <c r="H93" s="6">
        <f>IFERROR(VLOOKUP(A93,'Projects Master'!$A:$I,8,0),"")</f>
        <v/>
      </c>
      <c r="I93" s="7">
        <f>IFERROR(VLOOKUP(A93,'Projects Master'!$A:$I,9,0),"")</f>
        <v/>
      </c>
      <c r="J93" s="6">
        <f>_xlfn.LET(_xlpm.t,_xlfn.MINIFS('Work Items'!P:P,'Work Items'!D:D,B93,'Work Items'!A:A,"Task"),_xlpm.b,_xlfn.MINIFS('Work Items'!P:P,'Work Items'!D:D,B93,'Work Items'!A:A,"Bug"),_xlpm.m,IF(AND(_xlpm.t=0,_xlpm.b=0),0,IF(_xlpm.t=0,_xlpm.b,IF(_xlpm.b=0,_xlpm.t,MIN(_xlpm.t,_xlpm.b)))),IF(_xlpm.m=0,G93,_xlpm.m))</f>
        <v/>
      </c>
      <c r="K93" s="6">
        <f>_xlfn.LET(_xlpm.t,_xlfn.MAXIFS('Work Items'!Q:Q,'Work Items'!D:D,B93,'Work Items'!A:A,"Task"),_xlpm.b,_xlfn.MAXIFS('Work Items'!Q:Q,'Work Items'!D:D,B93,'Work Items'!A:A,"Bug"),_xlpm.m,MAX(_xlpm.t,_xlpm.b),IF(_xlpm.m=0,H93,_xlpm.m))</f>
        <v/>
      </c>
      <c r="L93" s="8">
        <f>IFERROR(SUMIFS('Work Items'!O:O,'Work Items'!D:D,B93,'Work Items'!A:A,"Task"),0)</f>
        <v/>
      </c>
      <c r="M93" s="9">
        <f>IF(ISNUMBER(I93),I93-L93,"N/A")</f>
        <v/>
      </c>
      <c r="N93" s="10">
        <f>IF(AND(ISNUMBER(H93),K93&gt;0),INT(H93-K93),"TBD")</f>
        <v/>
      </c>
      <c r="O93" s="100">
        <f>TEXT(COUNTIFS('Work Items'!A:A,"Task",'Work Items'!D:D,B93,'Work Items'!L:L,"Completed"),"0")&amp;" / "&amp;TEXT(COUNTIFS('Work Items'!A:A,"Task",'Work Items'!D:D,B93),"0")&amp;" Tasks"</f>
        <v/>
      </c>
      <c r="P93" s="100">
        <f>TEXT(COUNTIFS('Work Items'!A:A,"Bug",'Work Items'!D:D,B93,'Work Items'!L:L,"Fixed"),"0")&amp;" / "&amp;TEXT(COUNTIFS('Work Items'!A:A,"Bug",'Work Items'!D:D,B93),"0")&amp;" Bugs"</f>
        <v/>
      </c>
      <c r="Q93" s="100">
        <f>TEXT(COUNTIFS('Work Items'!A:A,"Risk",'Work Items'!D:D,B93,'Work Items'!L:L,"Open"),"0")&amp;" Open"</f>
        <v/>
      </c>
      <c r="R93" s="100">
        <f>TEXT(COUNTIFS('Work Items'!A:A,"CR",'Work Items'!D:D,B93,'Work Items'!L:L,"Pending Approval"),"0")&amp;" Pending"</f>
        <v/>
      </c>
      <c r="S93" s="11">
        <f>IF(N93="TBD","Yellow",IF(ISNUMBER(N93),IF(N93&lt;0,"Red",IF(N93&lt;14,"Yellow","Green")),"Yellow"))</f>
        <v/>
      </c>
      <c r="T93" s="11">
        <f>IF(NOT(ISNUMBER(M93)),"Yellow",IF(M93&lt;0,"Red",IF(M93/I93&lt;0.05,"Yellow","Green")))</f>
        <v/>
      </c>
      <c r="U93" s="11">
        <f>IF(OR(S93="Red",T93="Red"),"Red",IF(OR(S93="Yellow",T93="Yellow"),"Yellow","Green"))</f>
        <v/>
      </c>
    </row>
    <row r="94">
      <c r="A94" s="2">
        <f>IFERROR(INDEX('Projects Master'!$A:$A,ROW()-1),"")</f>
        <v/>
      </c>
      <c r="B94" s="101">
        <f>IFERROR(VLOOKUP(A94,'Projects Master'!$A:$I,2,0),"")</f>
        <v/>
      </c>
      <c r="C94" s="101">
        <f>IFERROR(VLOOKUP(A94,'Projects Master'!$A:$I,3,0),"")</f>
        <v/>
      </c>
      <c r="D94" s="101">
        <f>IFERROR(VLOOKUP(A94,'Projects Master'!$A:$I,4,0),"")</f>
        <v/>
      </c>
      <c r="E94" s="4">
        <f>IFERROR(VLOOKUP(A94,'Projects Master'!$A:$I,5,0),"")</f>
        <v/>
      </c>
      <c r="F94" s="92">
        <f>IFERROR(VLOOKUP(A94,'Projects Master'!$A:$I,6,0),"")</f>
        <v/>
      </c>
      <c r="G94" s="6">
        <f>IFERROR(VLOOKUP(A94,'Projects Master'!$A:$I,7,0),"")</f>
        <v/>
      </c>
      <c r="H94" s="6">
        <f>IFERROR(VLOOKUP(A94,'Projects Master'!$A:$I,8,0),"")</f>
        <v/>
      </c>
      <c r="I94" s="7">
        <f>IFERROR(VLOOKUP(A94,'Projects Master'!$A:$I,9,0),"")</f>
        <v/>
      </c>
      <c r="J94" s="6">
        <f>_xlfn.LET(_xlpm.t,_xlfn.MINIFS('Work Items'!P:P,'Work Items'!D:D,B94,'Work Items'!A:A,"Task"),_xlpm.b,_xlfn.MINIFS('Work Items'!P:P,'Work Items'!D:D,B94,'Work Items'!A:A,"Bug"),_xlpm.m,IF(AND(_xlpm.t=0,_xlpm.b=0),0,IF(_xlpm.t=0,_xlpm.b,IF(_xlpm.b=0,_xlpm.t,MIN(_xlpm.t,_xlpm.b)))),IF(_xlpm.m=0,G94,_xlpm.m))</f>
        <v/>
      </c>
      <c r="K94" s="6">
        <f>_xlfn.LET(_xlpm.t,_xlfn.MAXIFS('Work Items'!Q:Q,'Work Items'!D:D,B94,'Work Items'!A:A,"Task"),_xlpm.b,_xlfn.MAXIFS('Work Items'!Q:Q,'Work Items'!D:D,B94,'Work Items'!A:A,"Bug"),_xlpm.m,MAX(_xlpm.t,_xlpm.b),IF(_xlpm.m=0,H94,_xlpm.m))</f>
        <v/>
      </c>
      <c r="L94" s="8">
        <f>IFERROR(SUMIFS('Work Items'!O:O,'Work Items'!D:D,B94,'Work Items'!A:A,"Task"),0)</f>
        <v/>
      </c>
      <c r="M94" s="9">
        <f>IF(ISNUMBER(I94),I94-L94,"N/A")</f>
        <v/>
      </c>
      <c r="N94" s="10">
        <f>IF(AND(ISNUMBER(H94),K94&gt;0),INT(H94-K94),"TBD")</f>
        <v/>
      </c>
      <c r="O94" s="100">
        <f>TEXT(COUNTIFS('Work Items'!A:A,"Task",'Work Items'!D:D,B94,'Work Items'!L:L,"Completed"),"0")&amp;" / "&amp;TEXT(COUNTIFS('Work Items'!A:A,"Task",'Work Items'!D:D,B94),"0")&amp;" Tasks"</f>
        <v/>
      </c>
      <c r="P94" s="100">
        <f>TEXT(COUNTIFS('Work Items'!A:A,"Bug",'Work Items'!D:D,B94,'Work Items'!L:L,"Fixed"),"0")&amp;" / "&amp;TEXT(COUNTIFS('Work Items'!A:A,"Bug",'Work Items'!D:D,B94),"0")&amp;" Bugs"</f>
        <v/>
      </c>
      <c r="Q94" s="100">
        <f>TEXT(COUNTIFS('Work Items'!A:A,"Risk",'Work Items'!D:D,B94,'Work Items'!L:L,"Open"),"0")&amp;" Open"</f>
        <v/>
      </c>
      <c r="R94" s="100">
        <f>TEXT(COUNTIFS('Work Items'!A:A,"CR",'Work Items'!D:D,B94,'Work Items'!L:L,"Pending Approval"),"0")&amp;" Pending"</f>
        <v/>
      </c>
      <c r="S94" s="11">
        <f>IF(N94="TBD","Yellow",IF(ISNUMBER(N94),IF(N94&lt;0,"Red",IF(N94&lt;14,"Yellow","Green")),"Yellow"))</f>
        <v/>
      </c>
      <c r="T94" s="11">
        <f>IF(NOT(ISNUMBER(M94)),"Yellow",IF(M94&lt;0,"Red",IF(M94/I94&lt;0.05,"Yellow","Green")))</f>
        <v/>
      </c>
      <c r="U94" s="11">
        <f>IF(OR(S94="Red",T94="Red"),"Red",IF(OR(S94="Yellow",T94="Yellow"),"Yellow","Green"))</f>
        <v/>
      </c>
    </row>
    <row r="95">
      <c r="A95" s="2">
        <f>IFERROR(INDEX('Projects Master'!$A:$A,ROW()-1),"")</f>
        <v/>
      </c>
      <c r="B95" s="101">
        <f>IFERROR(VLOOKUP(A95,'Projects Master'!$A:$I,2,0),"")</f>
        <v/>
      </c>
      <c r="C95" s="101">
        <f>IFERROR(VLOOKUP(A95,'Projects Master'!$A:$I,3,0),"")</f>
        <v/>
      </c>
      <c r="D95" s="101">
        <f>IFERROR(VLOOKUP(A95,'Projects Master'!$A:$I,4,0),"")</f>
        <v/>
      </c>
      <c r="E95" s="4">
        <f>IFERROR(VLOOKUP(A95,'Projects Master'!$A:$I,5,0),"")</f>
        <v/>
      </c>
      <c r="F95" s="92">
        <f>IFERROR(VLOOKUP(A95,'Projects Master'!$A:$I,6,0),"")</f>
        <v/>
      </c>
      <c r="G95" s="6">
        <f>IFERROR(VLOOKUP(A95,'Projects Master'!$A:$I,7,0),"")</f>
        <v/>
      </c>
      <c r="H95" s="6">
        <f>IFERROR(VLOOKUP(A95,'Projects Master'!$A:$I,8,0),"")</f>
        <v/>
      </c>
      <c r="I95" s="7">
        <f>IFERROR(VLOOKUP(A95,'Projects Master'!$A:$I,9,0),"")</f>
        <v/>
      </c>
      <c r="J95" s="6">
        <f>_xlfn.LET(_xlpm.t,_xlfn.MINIFS('Work Items'!P:P,'Work Items'!D:D,B95,'Work Items'!A:A,"Task"),_xlpm.b,_xlfn.MINIFS('Work Items'!P:P,'Work Items'!D:D,B95,'Work Items'!A:A,"Bug"),_xlpm.m,IF(AND(_xlpm.t=0,_xlpm.b=0),0,IF(_xlpm.t=0,_xlpm.b,IF(_xlpm.b=0,_xlpm.t,MIN(_xlpm.t,_xlpm.b)))),IF(_xlpm.m=0,G95,_xlpm.m))</f>
        <v/>
      </c>
      <c r="K95" s="6">
        <f>_xlfn.LET(_xlpm.t,_xlfn.MAXIFS('Work Items'!Q:Q,'Work Items'!D:D,B95,'Work Items'!A:A,"Task"),_xlpm.b,_xlfn.MAXIFS('Work Items'!Q:Q,'Work Items'!D:D,B95,'Work Items'!A:A,"Bug"),_xlpm.m,MAX(_xlpm.t,_xlpm.b),IF(_xlpm.m=0,H95,_xlpm.m))</f>
        <v/>
      </c>
      <c r="L95" s="8">
        <f>IFERROR(SUMIFS('Work Items'!O:O,'Work Items'!D:D,B95,'Work Items'!A:A,"Task"),0)</f>
        <v/>
      </c>
      <c r="M95" s="9">
        <f>IF(ISNUMBER(I95),I95-L95,"N/A")</f>
        <v/>
      </c>
      <c r="N95" s="10">
        <f>IF(AND(ISNUMBER(H95),K95&gt;0),INT(H95-K95),"TBD")</f>
        <v/>
      </c>
      <c r="O95" s="100">
        <f>TEXT(COUNTIFS('Work Items'!A:A,"Task",'Work Items'!D:D,B95,'Work Items'!L:L,"Completed"),"0")&amp;" / "&amp;TEXT(COUNTIFS('Work Items'!A:A,"Task",'Work Items'!D:D,B95),"0")&amp;" Tasks"</f>
        <v/>
      </c>
      <c r="P95" s="100">
        <f>TEXT(COUNTIFS('Work Items'!A:A,"Bug",'Work Items'!D:D,B95,'Work Items'!L:L,"Fixed"),"0")&amp;" / "&amp;TEXT(COUNTIFS('Work Items'!A:A,"Bug",'Work Items'!D:D,B95),"0")&amp;" Bugs"</f>
        <v/>
      </c>
      <c r="Q95" s="100">
        <f>TEXT(COUNTIFS('Work Items'!A:A,"Risk",'Work Items'!D:D,B95,'Work Items'!L:L,"Open"),"0")&amp;" Open"</f>
        <v/>
      </c>
      <c r="R95" s="100">
        <f>TEXT(COUNTIFS('Work Items'!A:A,"CR",'Work Items'!D:D,B95,'Work Items'!L:L,"Pending Approval"),"0")&amp;" Pending"</f>
        <v/>
      </c>
      <c r="S95" s="11">
        <f>IF(N95="TBD","Yellow",IF(ISNUMBER(N95),IF(N95&lt;0,"Red",IF(N95&lt;14,"Yellow","Green")),"Yellow"))</f>
        <v/>
      </c>
      <c r="T95" s="11">
        <f>IF(NOT(ISNUMBER(M95)),"Yellow",IF(M95&lt;0,"Red",IF(M95/I95&lt;0.05,"Yellow","Green")))</f>
        <v/>
      </c>
      <c r="U95" s="11">
        <f>IF(OR(S95="Red",T95="Red"),"Red",IF(OR(S95="Yellow",T95="Yellow"),"Yellow","Green"))</f>
        <v/>
      </c>
    </row>
    <row r="96">
      <c r="A96" s="2">
        <f>IFERROR(INDEX('Projects Master'!$A:$A,ROW()-1),"")</f>
        <v/>
      </c>
      <c r="B96" s="101">
        <f>IFERROR(VLOOKUP(A96,'Projects Master'!$A:$I,2,0),"")</f>
        <v/>
      </c>
      <c r="C96" s="101">
        <f>IFERROR(VLOOKUP(A96,'Projects Master'!$A:$I,3,0),"")</f>
        <v/>
      </c>
      <c r="D96" s="101">
        <f>IFERROR(VLOOKUP(A96,'Projects Master'!$A:$I,4,0),"")</f>
        <v/>
      </c>
      <c r="E96" s="4">
        <f>IFERROR(VLOOKUP(A96,'Projects Master'!$A:$I,5,0),"")</f>
        <v/>
      </c>
      <c r="F96" s="92">
        <f>IFERROR(VLOOKUP(A96,'Projects Master'!$A:$I,6,0),"")</f>
        <v/>
      </c>
      <c r="G96" s="6">
        <f>IFERROR(VLOOKUP(A96,'Projects Master'!$A:$I,7,0),"")</f>
        <v/>
      </c>
      <c r="H96" s="6">
        <f>IFERROR(VLOOKUP(A96,'Projects Master'!$A:$I,8,0),"")</f>
        <v/>
      </c>
      <c r="I96" s="7">
        <f>IFERROR(VLOOKUP(A96,'Projects Master'!$A:$I,9,0),"")</f>
        <v/>
      </c>
      <c r="J96" s="6">
        <f>_xlfn.LET(_xlpm.t,_xlfn.MINIFS('Work Items'!P:P,'Work Items'!D:D,B96,'Work Items'!A:A,"Task"),_xlpm.b,_xlfn.MINIFS('Work Items'!P:P,'Work Items'!D:D,B96,'Work Items'!A:A,"Bug"),_xlpm.m,IF(AND(_xlpm.t=0,_xlpm.b=0),0,IF(_xlpm.t=0,_xlpm.b,IF(_xlpm.b=0,_xlpm.t,MIN(_xlpm.t,_xlpm.b)))),IF(_xlpm.m=0,G96,_xlpm.m))</f>
        <v/>
      </c>
      <c r="K96" s="6">
        <f>_xlfn.LET(_xlpm.t,_xlfn.MAXIFS('Work Items'!Q:Q,'Work Items'!D:D,B96,'Work Items'!A:A,"Task"),_xlpm.b,_xlfn.MAXIFS('Work Items'!Q:Q,'Work Items'!D:D,B96,'Work Items'!A:A,"Bug"),_xlpm.m,MAX(_xlpm.t,_xlpm.b),IF(_xlpm.m=0,H96,_xlpm.m))</f>
        <v/>
      </c>
      <c r="L96" s="8">
        <f>IFERROR(SUMIFS('Work Items'!O:O,'Work Items'!D:D,B96,'Work Items'!A:A,"Task"),0)</f>
        <v/>
      </c>
      <c r="M96" s="9">
        <f>IF(ISNUMBER(I96),I96-L96,"N/A")</f>
        <v/>
      </c>
      <c r="N96" s="10">
        <f>IF(AND(ISNUMBER(H96),K96&gt;0),INT(H96-K96),"TBD")</f>
        <v/>
      </c>
      <c r="O96" s="100">
        <f>TEXT(COUNTIFS('Work Items'!A:A,"Task",'Work Items'!D:D,B96,'Work Items'!L:L,"Completed"),"0")&amp;" / "&amp;TEXT(COUNTIFS('Work Items'!A:A,"Task",'Work Items'!D:D,B96),"0")&amp;" Tasks"</f>
        <v/>
      </c>
      <c r="P96" s="100">
        <f>TEXT(COUNTIFS('Work Items'!A:A,"Bug",'Work Items'!D:D,B96,'Work Items'!L:L,"Fixed"),"0")&amp;" / "&amp;TEXT(COUNTIFS('Work Items'!A:A,"Bug",'Work Items'!D:D,B96),"0")&amp;" Bugs"</f>
        <v/>
      </c>
      <c r="Q96" s="100">
        <f>TEXT(COUNTIFS('Work Items'!A:A,"Risk",'Work Items'!D:D,B96,'Work Items'!L:L,"Open"),"0")&amp;" Open"</f>
        <v/>
      </c>
      <c r="R96" s="100">
        <f>TEXT(COUNTIFS('Work Items'!A:A,"CR",'Work Items'!D:D,B96,'Work Items'!L:L,"Pending Approval"),"0")&amp;" Pending"</f>
        <v/>
      </c>
      <c r="S96" s="11">
        <f>IF(N96="TBD","Yellow",IF(ISNUMBER(N96),IF(N96&lt;0,"Red",IF(N96&lt;14,"Yellow","Green")),"Yellow"))</f>
        <v/>
      </c>
      <c r="T96" s="11">
        <f>IF(NOT(ISNUMBER(M96)),"Yellow",IF(M96&lt;0,"Red",IF(M96/I96&lt;0.05,"Yellow","Green")))</f>
        <v/>
      </c>
      <c r="U96" s="11">
        <f>IF(OR(S96="Red",T96="Red"),"Red",IF(OR(S96="Yellow",T96="Yellow"),"Yellow","Green"))</f>
        <v/>
      </c>
    </row>
    <row r="97">
      <c r="A97" s="2">
        <f>IFERROR(INDEX('Projects Master'!$A:$A,ROW()-1),"")</f>
        <v/>
      </c>
      <c r="B97" s="101">
        <f>IFERROR(VLOOKUP(A97,'Projects Master'!$A:$I,2,0),"")</f>
        <v/>
      </c>
      <c r="C97" s="101">
        <f>IFERROR(VLOOKUP(A97,'Projects Master'!$A:$I,3,0),"")</f>
        <v/>
      </c>
      <c r="D97" s="101">
        <f>IFERROR(VLOOKUP(A97,'Projects Master'!$A:$I,4,0),"")</f>
        <v/>
      </c>
      <c r="E97" s="4">
        <f>IFERROR(VLOOKUP(A97,'Projects Master'!$A:$I,5,0),"")</f>
        <v/>
      </c>
      <c r="F97" s="92">
        <f>IFERROR(VLOOKUP(A97,'Projects Master'!$A:$I,6,0),"")</f>
        <v/>
      </c>
      <c r="G97" s="6">
        <f>IFERROR(VLOOKUP(A97,'Projects Master'!$A:$I,7,0),"")</f>
        <v/>
      </c>
      <c r="H97" s="6">
        <f>IFERROR(VLOOKUP(A97,'Projects Master'!$A:$I,8,0),"")</f>
        <v/>
      </c>
      <c r="I97" s="7">
        <f>IFERROR(VLOOKUP(A97,'Projects Master'!$A:$I,9,0),"")</f>
        <v/>
      </c>
      <c r="J97" s="6">
        <f>_xlfn.LET(_xlpm.t,_xlfn.MINIFS('Work Items'!P:P,'Work Items'!D:D,B97,'Work Items'!A:A,"Task"),_xlpm.b,_xlfn.MINIFS('Work Items'!P:P,'Work Items'!D:D,B97,'Work Items'!A:A,"Bug"),_xlpm.m,IF(AND(_xlpm.t=0,_xlpm.b=0),0,IF(_xlpm.t=0,_xlpm.b,IF(_xlpm.b=0,_xlpm.t,MIN(_xlpm.t,_xlpm.b)))),IF(_xlpm.m=0,G97,_xlpm.m))</f>
        <v/>
      </c>
      <c r="K97" s="6">
        <f>_xlfn.LET(_xlpm.t,_xlfn.MAXIFS('Work Items'!Q:Q,'Work Items'!D:D,B97,'Work Items'!A:A,"Task"),_xlpm.b,_xlfn.MAXIFS('Work Items'!Q:Q,'Work Items'!D:D,B97,'Work Items'!A:A,"Bug"),_xlpm.m,MAX(_xlpm.t,_xlpm.b),IF(_xlpm.m=0,H97,_xlpm.m))</f>
        <v/>
      </c>
      <c r="L97" s="8">
        <f>IFERROR(SUMIFS('Work Items'!O:O,'Work Items'!D:D,B97,'Work Items'!A:A,"Task"),0)</f>
        <v/>
      </c>
      <c r="M97" s="9">
        <f>IF(ISNUMBER(I97),I97-L97,"N/A")</f>
        <v/>
      </c>
      <c r="N97" s="10">
        <f>IF(AND(ISNUMBER(H97),K97&gt;0),INT(H97-K97),"TBD")</f>
        <v/>
      </c>
      <c r="O97" s="100">
        <f>TEXT(COUNTIFS('Work Items'!A:A,"Task",'Work Items'!D:D,B97,'Work Items'!L:L,"Completed"),"0")&amp;" / "&amp;TEXT(COUNTIFS('Work Items'!A:A,"Task",'Work Items'!D:D,B97),"0")&amp;" Tasks"</f>
        <v/>
      </c>
      <c r="P97" s="100">
        <f>TEXT(COUNTIFS('Work Items'!A:A,"Bug",'Work Items'!D:D,B97,'Work Items'!L:L,"Fixed"),"0")&amp;" / "&amp;TEXT(COUNTIFS('Work Items'!A:A,"Bug",'Work Items'!D:D,B97),"0")&amp;" Bugs"</f>
        <v/>
      </c>
      <c r="Q97" s="100">
        <f>TEXT(COUNTIFS('Work Items'!A:A,"Risk",'Work Items'!D:D,B97,'Work Items'!L:L,"Open"),"0")&amp;" Open"</f>
        <v/>
      </c>
      <c r="R97" s="100">
        <f>TEXT(COUNTIFS('Work Items'!A:A,"CR",'Work Items'!D:D,B97,'Work Items'!L:L,"Pending Approval"),"0")&amp;" Pending"</f>
        <v/>
      </c>
      <c r="S97" s="11">
        <f>IF(N97="TBD","Yellow",IF(ISNUMBER(N97),IF(N97&lt;0,"Red",IF(N97&lt;14,"Yellow","Green")),"Yellow"))</f>
        <v/>
      </c>
      <c r="T97" s="11">
        <f>IF(NOT(ISNUMBER(M97)),"Yellow",IF(M97&lt;0,"Red",IF(M97/I97&lt;0.05,"Yellow","Green")))</f>
        <v/>
      </c>
      <c r="U97" s="11">
        <f>IF(OR(S97="Red",T97="Red"),"Red",IF(OR(S97="Yellow",T97="Yellow"),"Yellow","Green"))</f>
        <v/>
      </c>
    </row>
    <row r="98">
      <c r="A98" s="2">
        <f>IFERROR(INDEX('Projects Master'!$A:$A,ROW()-1),"")</f>
        <v/>
      </c>
      <c r="B98" s="101">
        <f>IFERROR(VLOOKUP(A98,'Projects Master'!$A:$I,2,0),"")</f>
        <v/>
      </c>
      <c r="C98" s="101">
        <f>IFERROR(VLOOKUP(A98,'Projects Master'!$A:$I,3,0),"")</f>
        <v/>
      </c>
      <c r="D98" s="101">
        <f>IFERROR(VLOOKUP(A98,'Projects Master'!$A:$I,4,0),"")</f>
        <v/>
      </c>
      <c r="E98" s="4">
        <f>IFERROR(VLOOKUP(A98,'Projects Master'!$A:$I,5,0),"")</f>
        <v/>
      </c>
      <c r="F98" s="92">
        <f>IFERROR(VLOOKUP(A98,'Projects Master'!$A:$I,6,0),"")</f>
        <v/>
      </c>
      <c r="G98" s="6">
        <f>IFERROR(VLOOKUP(A98,'Projects Master'!$A:$I,7,0),"")</f>
        <v/>
      </c>
      <c r="H98" s="6">
        <f>IFERROR(VLOOKUP(A98,'Projects Master'!$A:$I,8,0),"")</f>
        <v/>
      </c>
      <c r="I98" s="7">
        <f>IFERROR(VLOOKUP(A98,'Projects Master'!$A:$I,9,0),"")</f>
        <v/>
      </c>
      <c r="J98" s="6">
        <f>_xlfn.LET(_xlpm.t,_xlfn.MINIFS('Work Items'!P:P,'Work Items'!D:D,B98,'Work Items'!A:A,"Task"),_xlpm.b,_xlfn.MINIFS('Work Items'!P:P,'Work Items'!D:D,B98,'Work Items'!A:A,"Bug"),_xlpm.m,IF(AND(_xlpm.t=0,_xlpm.b=0),0,IF(_xlpm.t=0,_xlpm.b,IF(_xlpm.b=0,_xlpm.t,MIN(_xlpm.t,_xlpm.b)))),IF(_xlpm.m=0,G98,_xlpm.m))</f>
        <v/>
      </c>
      <c r="K98" s="6">
        <f>_xlfn.LET(_xlpm.t,_xlfn.MAXIFS('Work Items'!Q:Q,'Work Items'!D:D,B98,'Work Items'!A:A,"Task"),_xlpm.b,_xlfn.MAXIFS('Work Items'!Q:Q,'Work Items'!D:D,B98,'Work Items'!A:A,"Bug"),_xlpm.m,MAX(_xlpm.t,_xlpm.b),IF(_xlpm.m=0,H98,_xlpm.m))</f>
        <v/>
      </c>
      <c r="L98" s="8">
        <f>IFERROR(SUMIFS('Work Items'!O:O,'Work Items'!D:D,B98,'Work Items'!A:A,"Task"),0)</f>
        <v/>
      </c>
      <c r="M98" s="9">
        <f>IF(ISNUMBER(I98),I98-L98,"N/A")</f>
        <v/>
      </c>
      <c r="N98" s="10">
        <f>IF(AND(ISNUMBER(H98),K98&gt;0),INT(H98-K98),"TBD")</f>
        <v/>
      </c>
      <c r="O98" s="100">
        <f>TEXT(COUNTIFS('Work Items'!A:A,"Task",'Work Items'!D:D,B98,'Work Items'!L:L,"Completed"),"0")&amp;" / "&amp;TEXT(COUNTIFS('Work Items'!A:A,"Task",'Work Items'!D:D,B98),"0")&amp;" Tasks"</f>
        <v/>
      </c>
      <c r="P98" s="100">
        <f>TEXT(COUNTIFS('Work Items'!A:A,"Bug",'Work Items'!D:D,B98,'Work Items'!L:L,"Fixed"),"0")&amp;" / "&amp;TEXT(COUNTIFS('Work Items'!A:A,"Bug",'Work Items'!D:D,B98),"0")&amp;" Bugs"</f>
        <v/>
      </c>
      <c r="Q98" s="100">
        <f>TEXT(COUNTIFS('Work Items'!A:A,"Risk",'Work Items'!D:D,B98,'Work Items'!L:L,"Open"),"0")&amp;" Open"</f>
        <v/>
      </c>
      <c r="R98" s="100">
        <f>TEXT(COUNTIFS('Work Items'!A:A,"CR",'Work Items'!D:D,B98,'Work Items'!L:L,"Pending Approval"),"0")&amp;" Pending"</f>
        <v/>
      </c>
      <c r="S98" s="11">
        <f>IF(N98="TBD","Yellow",IF(ISNUMBER(N98),IF(N98&lt;0,"Red",IF(N98&lt;14,"Yellow","Green")),"Yellow"))</f>
        <v/>
      </c>
      <c r="T98" s="11">
        <f>IF(NOT(ISNUMBER(M98)),"Yellow",IF(M98&lt;0,"Red",IF(M98/I98&lt;0.05,"Yellow","Green")))</f>
        <v/>
      </c>
      <c r="U98" s="11">
        <f>IF(OR(S98="Red",T98="Red"),"Red",IF(OR(S98="Yellow",T98="Yellow"),"Yellow","Green"))</f>
        <v/>
      </c>
    </row>
    <row r="99">
      <c r="A99" s="2">
        <f>IFERROR(INDEX('Projects Master'!$A:$A,ROW()-1),"")</f>
        <v/>
      </c>
      <c r="B99" s="101">
        <f>IFERROR(VLOOKUP(A99,'Projects Master'!$A:$I,2,0),"")</f>
        <v/>
      </c>
      <c r="C99" s="101">
        <f>IFERROR(VLOOKUP(A99,'Projects Master'!$A:$I,3,0),"")</f>
        <v/>
      </c>
      <c r="D99" s="101">
        <f>IFERROR(VLOOKUP(A99,'Projects Master'!$A:$I,4,0),"")</f>
        <v/>
      </c>
      <c r="E99" s="4">
        <f>IFERROR(VLOOKUP(A99,'Projects Master'!$A:$I,5,0),"")</f>
        <v/>
      </c>
      <c r="F99" s="92">
        <f>IFERROR(VLOOKUP(A99,'Projects Master'!$A:$I,6,0),"")</f>
        <v/>
      </c>
      <c r="G99" s="6">
        <f>IFERROR(VLOOKUP(A99,'Projects Master'!$A:$I,7,0),"")</f>
        <v/>
      </c>
      <c r="H99" s="6">
        <f>IFERROR(VLOOKUP(A99,'Projects Master'!$A:$I,8,0),"")</f>
        <v/>
      </c>
      <c r="I99" s="7">
        <f>IFERROR(VLOOKUP(A99,'Projects Master'!$A:$I,9,0),"")</f>
        <v/>
      </c>
      <c r="J99" s="6">
        <f>_xlfn.LET(_xlpm.t,_xlfn.MINIFS('Work Items'!P:P,'Work Items'!D:D,B99,'Work Items'!A:A,"Task"),_xlpm.b,_xlfn.MINIFS('Work Items'!P:P,'Work Items'!D:D,B99,'Work Items'!A:A,"Bug"),_xlpm.m,IF(AND(_xlpm.t=0,_xlpm.b=0),0,IF(_xlpm.t=0,_xlpm.b,IF(_xlpm.b=0,_xlpm.t,MIN(_xlpm.t,_xlpm.b)))),IF(_xlpm.m=0,G99,_xlpm.m))</f>
        <v/>
      </c>
      <c r="K99" s="6">
        <f>_xlfn.LET(_xlpm.t,_xlfn.MAXIFS('Work Items'!Q:Q,'Work Items'!D:D,B99,'Work Items'!A:A,"Task"),_xlpm.b,_xlfn.MAXIFS('Work Items'!Q:Q,'Work Items'!D:D,B99,'Work Items'!A:A,"Bug"),_xlpm.m,MAX(_xlpm.t,_xlpm.b),IF(_xlpm.m=0,H99,_xlpm.m))</f>
        <v/>
      </c>
      <c r="L99" s="8">
        <f>IFERROR(SUMIFS('Work Items'!O:O,'Work Items'!D:D,B99,'Work Items'!A:A,"Task"),0)</f>
        <v/>
      </c>
      <c r="M99" s="9">
        <f>IF(ISNUMBER(I99),I99-L99,"N/A")</f>
        <v/>
      </c>
      <c r="N99" s="10">
        <f>IF(AND(ISNUMBER(H99),K99&gt;0),INT(H99-K99),"TBD")</f>
        <v/>
      </c>
      <c r="O99" s="100">
        <f>TEXT(COUNTIFS('Work Items'!A:A,"Task",'Work Items'!D:D,B99,'Work Items'!L:L,"Completed"),"0")&amp;" / "&amp;TEXT(COUNTIFS('Work Items'!A:A,"Task",'Work Items'!D:D,B99),"0")&amp;" Tasks"</f>
        <v/>
      </c>
      <c r="P99" s="100">
        <f>TEXT(COUNTIFS('Work Items'!A:A,"Bug",'Work Items'!D:D,B99,'Work Items'!L:L,"Fixed"),"0")&amp;" / "&amp;TEXT(COUNTIFS('Work Items'!A:A,"Bug",'Work Items'!D:D,B99),"0")&amp;" Bugs"</f>
        <v/>
      </c>
      <c r="Q99" s="100">
        <f>TEXT(COUNTIFS('Work Items'!A:A,"Risk",'Work Items'!D:D,B99,'Work Items'!L:L,"Open"),"0")&amp;" Open"</f>
        <v/>
      </c>
      <c r="R99" s="100">
        <f>TEXT(COUNTIFS('Work Items'!A:A,"CR",'Work Items'!D:D,B99,'Work Items'!L:L,"Pending Approval"),"0")&amp;" Pending"</f>
        <v/>
      </c>
      <c r="S99" s="11">
        <f>IF(N99="TBD","Yellow",IF(ISNUMBER(N99),IF(N99&lt;0,"Red",IF(N99&lt;14,"Yellow","Green")),"Yellow"))</f>
        <v/>
      </c>
      <c r="T99" s="11">
        <f>IF(NOT(ISNUMBER(M99)),"Yellow",IF(M99&lt;0,"Red",IF(M99/I99&lt;0.05,"Yellow","Green")))</f>
        <v/>
      </c>
      <c r="U99" s="11">
        <f>IF(OR(S99="Red",T99="Red"),"Red",IF(OR(S99="Yellow",T99="Yellow"),"Yellow","Green"))</f>
        <v/>
      </c>
    </row>
    <row r="100">
      <c r="A100" s="2">
        <f>IFERROR(INDEX('Projects Master'!$A:$A,ROW()-1),"")</f>
        <v/>
      </c>
      <c r="B100" s="101">
        <f>IFERROR(VLOOKUP(A100,'Projects Master'!$A:$I,2,0),"")</f>
        <v/>
      </c>
      <c r="C100" s="101">
        <f>IFERROR(VLOOKUP(A100,'Projects Master'!$A:$I,3,0),"")</f>
        <v/>
      </c>
      <c r="D100" s="101">
        <f>IFERROR(VLOOKUP(A100,'Projects Master'!$A:$I,4,0),"")</f>
        <v/>
      </c>
      <c r="E100" s="4">
        <f>IFERROR(VLOOKUP(A100,'Projects Master'!$A:$I,5,0),"")</f>
        <v/>
      </c>
      <c r="F100" s="92">
        <f>IFERROR(VLOOKUP(A100,'Projects Master'!$A:$I,6,0),"")</f>
        <v/>
      </c>
      <c r="G100" s="6">
        <f>IFERROR(VLOOKUP(A100,'Projects Master'!$A:$I,7,0),"")</f>
        <v/>
      </c>
      <c r="H100" s="6">
        <f>IFERROR(VLOOKUP(A100,'Projects Master'!$A:$I,8,0),"")</f>
        <v/>
      </c>
      <c r="I100" s="7">
        <f>IFERROR(VLOOKUP(A100,'Projects Master'!$A:$I,9,0),"")</f>
        <v/>
      </c>
      <c r="J100" s="6">
        <f>_xlfn.LET(_xlpm.t,_xlfn.MINIFS('Work Items'!P:P,'Work Items'!D:D,B100,'Work Items'!A:A,"Task"),_xlpm.b,_xlfn.MINIFS('Work Items'!P:P,'Work Items'!D:D,B100,'Work Items'!A:A,"Bug"),_xlpm.m,IF(AND(_xlpm.t=0,_xlpm.b=0),0,IF(_xlpm.t=0,_xlpm.b,IF(_xlpm.b=0,_xlpm.t,MIN(_xlpm.t,_xlpm.b)))),IF(_xlpm.m=0,G100,_xlpm.m))</f>
        <v/>
      </c>
      <c r="K100" s="6">
        <f>_xlfn.LET(_xlpm.t,_xlfn.MAXIFS('Work Items'!Q:Q,'Work Items'!D:D,B100,'Work Items'!A:A,"Task"),_xlpm.b,_xlfn.MAXIFS('Work Items'!Q:Q,'Work Items'!D:D,B100,'Work Items'!A:A,"Bug"),_xlpm.m,MAX(_xlpm.t,_xlpm.b),IF(_xlpm.m=0,H100,_xlpm.m))</f>
        <v/>
      </c>
      <c r="L100" s="8">
        <f>IFERROR(SUMIFS('Work Items'!O:O,'Work Items'!D:D,B100,'Work Items'!A:A,"Task"),0)</f>
        <v/>
      </c>
      <c r="M100" s="9">
        <f>IF(ISNUMBER(I100),I100-L100,"N/A")</f>
        <v/>
      </c>
      <c r="N100" s="10">
        <f>IF(AND(ISNUMBER(H100),K100&gt;0),INT(H100-K100),"TBD")</f>
        <v/>
      </c>
      <c r="O100" s="100">
        <f>TEXT(COUNTIFS('Work Items'!A:A,"Task",'Work Items'!D:D,B100,'Work Items'!L:L,"Completed"),"0")&amp;" / "&amp;TEXT(COUNTIFS('Work Items'!A:A,"Task",'Work Items'!D:D,B100),"0")&amp;" Tasks"</f>
        <v/>
      </c>
      <c r="P100" s="100">
        <f>TEXT(COUNTIFS('Work Items'!A:A,"Bug",'Work Items'!D:D,B100,'Work Items'!L:L,"Fixed"),"0")&amp;" / "&amp;TEXT(COUNTIFS('Work Items'!A:A,"Bug",'Work Items'!D:D,B100),"0")&amp;" Bugs"</f>
        <v/>
      </c>
      <c r="Q100" s="100">
        <f>TEXT(COUNTIFS('Work Items'!A:A,"Risk",'Work Items'!D:D,B100,'Work Items'!L:L,"Open"),"0")&amp;" Open"</f>
        <v/>
      </c>
      <c r="R100" s="100">
        <f>TEXT(COUNTIFS('Work Items'!A:A,"CR",'Work Items'!D:D,B100,'Work Items'!L:L,"Pending Approval"),"0")&amp;" Pending"</f>
        <v/>
      </c>
      <c r="S100" s="11">
        <f>IF(N100="TBD","Yellow",IF(ISNUMBER(N100),IF(N100&lt;0,"Red",IF(N100&lt;14,"Yellow","Green")),"Yellow"))</f>
        <v/>
      </c>
      <c r="T100" s="11">
        <f>IF(NOT(ISNUMBER(M100)),"Yellow",IF(M100&lt;0,"Red",IF(M100/I100&lt;0.05,"Yellow","Green")))</f>
        <v/>
      </c>
      <c r="U100" s="11">
        <f>IF(OR(S100="Red",T100="Red"),"Red",IF(OR(S100="Yellow",T100="Yellow"),"Yellow","Green"))</f>
        <v/>
      </c>
    </row>
    <row r="101">
      <c r="A101" s="2">
        <f>IFERROR(INDEX('Projects Master'!$A:$A,ROW()-1),"")</f>
        <v/>
      </c>
      <c r="B101" s="101">
        <f>IFERROR(VLOOKUP(A101,'Projects Master'!$A:$I,2,0),"")</f>
        <v/>
      </c>
      <c r="C101" s="101">
        <f>IFERROR(VLOOKUP(A101,'Projects Master'!$A:$I,3,0),"")</f>
        <v/>
      </c>
      <c r="D101" s="101">
        <f>IFERROR(VLOOKUP(A101,'Projects Master'!$A:$I,4,0),"")</f>
        <v/>
      </c>
      <c r="E101" s="4">
        <f>IFERROR(VLOOKUP(A101,'Projects Master'!$A:$I,5,0),"")</f>
        <v/>
      </c>
      <c r="F101" s="92">
        <f>IFERROR(VLOOKUP(A101,'Projects Master'!$A:$I,6,0),"")</f>
        <v/>
      </c>
      <c r="G101" s="6">
        <f>IFERROR(VLOOKUP(A101,'Projects Master'!$A:$I,7,0),"")</f>
        <v/>
      </c>
      <c r="H101" s="6">
        <f>IFERROR(VLOOKUP(A101,'Projects Master'!$A:$I,8,0),"")</f>
        <v/>
      </c>
      <c r="I101" s="7">
        <f>IFERROR(VLOOKUP(A101,'Projects Master'!$A:$I,9,0),"")</f>
        <v/>
      </c>
      <c r="J101" s="6">
        <f>_xlfn.LET(_xlpm.t,_xlfn.MINIFS('Work Items'!P:P,'Work Items'!D:D,B101,'Work Items'!A:A,"Task"),_xlpm.b,_xlfn.MINIFS('Work Items'!P:P,'Work Items'!D:D,B101,'Work Items'!A:A,"Bug"),_xlpm.m,IF(AND(_xlpm.t=0,_xlpm.b=0),0,IF(_xlpm.t=0,_xlpm.b,IF(_xlpm.b=0,_xlpm.t,MIN(_xlpm.t,_xlpm.b)))),IF(_xlpm.m=0,G101,_xlpm.m))</f>
        <v/>
      </c>
      <c r="K101" s="6">
        <f>_xlfn.LET(_xlpm.t,_xlfn.MAXIFS('Work Items'!Q:Q,'Work Items'!D:D,B101,'Work Items'!A:A,"Task"),_xlpm.b,_xlfn.MAXIFS('Work Items'!Q:Q,'Work Items'!D:D,B101,'Work Items'!A:A,"Bug"),_xlpm.m,MAX(_xlpm.t,_xlpm.b),IF(_xlpm.m=0,H101,_xlpm.m))</f>
        <v/>
      </c>
      <c r="L101" s="8">
        <f>IFERROR(SUMIFS('Work Items'!O:O,'Work Items'!D:D,B101,'Work Items'!A:A,"Task"),0)</f>
        <v/>
      </c>
      <c r="M101" s="9">
        <f>IF(ISNUMBER(I101),I101-L101,"N/A")</f>
        <v/>
      </c>
      <c r="N101" s="10">
        <f>IF(AND(ISNUMBER(H101),K101&gt;0),INT(H101-K101),"TBD")</f>
        <v/>
      </c>
      <c r="O101" s="100">
        <f>TEXT(COUNTIFS('Work Items'!A:A,"Task",'Work Items'!D:D,B101,'Work Items'!L:L,"Completed"),"0")&amp;" / "&amp;TEXT(COUNTIFS('Work Items'!A:A,"Task",'Work Items'!D:D,B101),"0")&amp;" Tasks"</f>
        <v/>
      </c>
      <c r="P101" s="100">
        <f>TEXT(COUNTIFS('Work Items'!A:A,"Bug",'Work Items'!D:D,B101,'Work Items'!L:L,"Fixed"),"0")&amp;" / "&amp;TEXT(COUNTIFS('Work Items'!A:A,"Bug",'Work Items'!D:D,B101),"0")&amp;" Bugs"</f>
        <v/>
      </c>
      <c r="Q101" s="100">
        <f>TEXT(COUNTIFS('Work Items'!A:A,"Risk",'Work Items'!D:D,B101,'Work Items'!L:L,"Open"),"0")&amp;" Open"</f>
        <v/>
      </c>
      <c r="R101" s="100">
        <f>TEXT(COUNTIFS('Work Items'!A:A,"CR",'Work Items'!D:D,B101,'Work Items'!L:L,"Pending Approval"),"0")&amp;" Pending"</f>
        <v/>
      </c>
      <c r="S101" s="11">
        <f>IF(N101="TBD","Yellow",IF(ISNUMBER(N101),IF(N101&lt;0,"Red",IF(N101&lt;14,"Yellow","Green")),"Yellow"))</f>
        <v/>
      </c>
      <c r="T101" s="11">
        <f>IF(NOT(ISNUMBER(M101)),"Yellow",IF(M101&lt;0,"Red",IF(M101/I101&lt;0.05,"Yellow","Green")))</f>
        <v/>
      </c>
      <c r="U101" s="11">
        <f>IF(OR(S101="Red",T101="Red"),"Red",IF(OR(S101="Yellow",T101="Yellow"),"Yellow","Green"))</f>
        <v/>
      </c>
    </row>
    <row r="102">
      <c r="A102" s="2">
        <f>IFERROR(INDEX('Projects Master'!$A:$A,ROW()-1),"")</f>
        <v/>
      </c>
      <c r="B102" s="101">
        <f>IFERROR(VLOOKUP(A102,'Projects Master'!$A:$I,2,0),"")</f>
        <v/>
      </c>
      <c r="C102" s="101">
        <f>IFERROR(VLOOKUP(A102,'Projects Master'!$A:$I,3,0),"")</f>
        <v/>
      </c>
      <c r="D102" s="101">
        <f>IFERROR(VLOOKUP(A102,'Projects Master'!$A:$I,4,0),"")</f>
        <v/>
      </c>
      <c r="E102" s="4">
        <f>IFERROR(VLOOKUP(A102,'Projects Master'!$A:$I,5,0),"")</f>
        <v/>
      </c>
      <c r="F102" s="92">
        <f>IFERROR(VLOOKUP(A102,'Projects Master'!$A:$I,6,0),"")</f>
        <v/>
      </c>
      <c r="G102" s="6">
        <f>IFERROR(VLOOKUP(A102,'Projects Master'!$A:$I,7,0),"")</f>
        <v/>
      </c>
      <c r="H102" s="6">
        <f>IFERROR(VLOOKUP(A102,'Projects Master'!$A:$I,8,0),"")</f>
        <v/>
      </c>
      <c r="I102" s="7">
        <f>IFERROR(VLOOKUP(A102,'Projects Master'!$A:$I,9,0),"")</f>
        <v/>
      </c>
      <c r="J102" s="6">
        <f>_xlfn.LET(_xlpm.t,_xlfn.MINIFS('Work Items'!P:P,'Work Items'!D:D,B102,'Work Items'!A:A,"Task"),_xlpm.b,_xlfn.MINIFS('Work Items'!P:P,'Work Items'!D:D,B102,'Work Items'!A:A,"Bug"),_xlpm.m,IF(AND(_xlpm.t=0,_xlpm.b=0),0,IF(_xlpm.t=0,_xlpm.b,IF(_xlpm.b=0,_xlpm.t,MIN(_xlpm.t,_xlpm.b)))),IF(_xlpm.m=0,G102,_xlpm.m))</f>
        <v/>
      </c>
      <c r="K102" s="6">
        <f>_xlfn.LET(_xlpm.t,_xlfn.MAXIFS('Work Items'!Q:Q,'Work Items'!D:D,B102,'Work Items'!A:A,"Task"),_xlpm.b,_xlfn.MAXIFS('Work Items'!Q:Q,'Work Items'!D:D,B102,'Work Items'!A:A,"Bug"),_xlpm.m,MAX(_xlpm.t,_xlpm.b),IF(_xlpm.m=0,H102,_xlpm.m))</f>
        <v/>
      </c>
      <c r="L102" s="8">
        <f>IFERROR(SUMIFS('Work Items'!O:O,'Work Items'!D:D,B102,'Work Items'!A:A,"Task"),0)</f>
        <v/>
      </c>
      <c r="M102" s="9">
        <f>IF(ISNUMBER(I102),I102-L102,"N/A")</f>
        <v/>
      </c>
      <c r="N102" s="10">
        <f>IF(AND(ISNUMBER(H102),K102&gt;0),INT(H102-K102),"TBD")</f>
        <v/>
      </c>
      <c r="O102" s="100">
        <f>TEXT(COUNTIFS('Work Items'!A:A,"Task",'Work Items'!D:D,B102,'Work Items'!L:L,"Completed"),"0")&amp;" / "&amp;TEXT(COUNTIFS('Work Items'!A:A,"Task",'Work Items'!D:D,B102),"0")&amp;" Tasks"</f>
        <v/>
      </c>
      <c r="P102" s="100">
        <f>TEXT(COUNTIFS('Work Items'!A:A,"Bug",'Work Items'!D:D,B102,'Work Items'!L:L,"Fixed"),"0")&amp;" / "&amp;TEXT(COUNTIFS('Work Items'!A:A,"Bug",'Work Items'!D:D,B102),"0")&amp;" Bugs"</f>
        <v/>
      </c>
      <c r="Q102" s="100">
        <f>TEXT(COUNTIFS('Work Items'!A:A,"Risk",'Work Items'!D:D,B102,'Work Items'!L:L,"Open"),"0")&amp;" Open"</f>
        <v/>
      </c>
      <c r="R102" s="100">
        <f>TEXT(COUNTIFS('Work Items'!A:A,"CR",'Work Items'!D:D,B102,'Work Items'!L:L,"Pending Approval"),"0")&amp;" Pending"</f>
        <v/>
      </c>
      <c r="S102" s="11">
        <f>IF(N102="TBD","Yellow",IF(ISNUMBER(N102),IF(N102&lt;0,"Red",IF(N102&lt;14,"Yellow","Green")),"Yellow"))</f>
        <v/>
      </c>
      <c r="T102" s="11">
        <f>IF(NOT(ISNUMBER(M102)),"Yellow",IF(M102&lt;0,"Red",IF(M102/I102&lt;0.05,"Yellow","Green")))</f>
        <v/>
      </c>
      <c r="U102" s="11">
        <f>IF(OR(S102="Red",T102="Red"),"Red",IF(OR(S102="Yellow",T102="Yellow"),"Yellow","Green"))</f>
        <v/>
      </c>
    </row>
    <row r="103">
      <c r="A103" s="2">
        <f>IFERROR(INDEX('Projects Master'!$A:$A,ROW()-1),"")</f>
        <v/>
      </c>
      <c r="B103" s="101">
        <f>IFERROR(VLOOKUP(A103,'Projects Master'!$A:$I,2,0),"")</f>
        <v/>
      </c>
      <c r="C103" s="101">
        <f>IFERROR(VLOOKUP(A103,'Projects Master'!$A:$I,3,0),"")</f>
        <v/>
      </c>
      <c r="D103" s="101">
        <f>IFERROR(VLOOKUP(A103,'Projects Master'!$A:$I,4,0),"")</f>
        <v/>
      </c>
      <c r="E103" s="4">
        <f>IFERROR(VLOOKUP(A103,'Projects Master'!$A:$I,5,0),"")</f>
        <v/>
      </c>
      <c r="F103" s="92">
        <f>IFERROR(VLOOKUP(A103,'Projects Master'!$A:$I,6,0),"")</f>
        <v/>
      </c>
      <c r="G103" s="6">
        <f>IFERROR(VLOOKUP(A103,'Projects Master'!$A:$I,7,0),"")</f>
        <v/>
      </c>
      <c r="H103" s="6">
        <f>IFERROR(VLOOKUP(A103,'Projects Master'!$A:$I,8,0),"")</f>
        <v/>
      </c>
      <c r="I103" s="7">
        <f>IFERROR(VLOOKUP(A103,'Projects Master'!$A:$I,9,0),"")</f>
        <v/>
      </c>
      <c r="J103" s="6">
        <f>_xlfn.LET(_xlpm.t,_xlfn.MINIFS('Work Items'!P:P,'Work Items'!D:D,B103,'Work Items'!A:A,"Task"),_xlpm.b,_xlfn.MINIFS('Work Items'!P:P,'Work Items'!D:D,B103,'Work Items'!A:A,"Bug"),_xlpm.m,IF(AND(_xlpm.t=0,_xlpm.b=0),0,IF(_xlpm.t=0,_xlpm.b,IF(_xlpm.b=0,_xlpm.t,MIN(_xlpm.t,_xlpm.b)))),IF(_xlpm.m=0,G103,_xlpm.m))</f>
        <v/>
      </c>
      <c r="K103" s="6">
        <f>_xlfn.LET(_xlpm.t,_xlfn.MAXIFS('Work Items'!Q:Q,'Work Items'!D:D,B103,'Work Items'!A:A,"Task"),_xlpm.b,_xlfn.MAXIFS('Work Items'!Q:Q,'Work Items'!D:D,B103,'Work Items'!A:A,"Bug"),_xlpm.m,MAX(_xlpm.t,_xlpm.b),IF(_xlpm.m=0,H103,_xlpm.m))</f>
        <v/>
      </c>
      <c r="L103" s="8">
        <f>IFERROR(SUMIFS('Work Items'!O:O,'Work Items'!D:D,B103,'Work Items'!A:A,"Task"),0)</f>
        <v/>
      </c>
      <c r="M103" s="9">
        <f>IF(ISNUMBER(I103),I103-L103,"N/A")</f>
        <v/>
      </c>
      <c r="N103" s="10">
        <f>IF(AND(ISNUMBER(H103),K103&gt;0),INT(H103-K103),"TBD")</f>
        <v/>
      </c>
      <c r="O103" s="100">
        <f>TEXT(COUNTIFS('Work Items'!A:A,"Task",'Work Items'!D:D,B103,'Work Items'!L:L,"Completed"),"0")&amp;" / "&amp;TEXT(COUNTIFS('Work Items'!A:A,"Task",'Work Items'!D:D,B103),"0")&amp;" Tasks"</f>
        <v/>
      </c>
      <c r="P103" s="100">
        <f>TEXT(COUNTIFS('Work Items'!A:A,"Bug",'Work Items'!D:D,B103,'Work Items'!L:L,"Fixed"),"0")&amp;" / "&amp;TEXT(COUNTIFS('Work Items'!A:A,"Bug",'Work Items'!D:D,B103),"0")&amp;" Bugs"</f>
        <v/>
      </c>
      <c r="Q103" s="100">
        <f>TEXT(COUNTIFS('Work Items'!A:A,"Risk",'Work Items'!D:D,B103,'Work Items'!L:L,"Open"),"0")&amp;" Open"</f>
        <v/>
      </c>
      <c r="R103" s="100">
        <f>TEXT(COUNTIFS('Work Items'!A:A,"CR",'Work Items'!D:D,B103,'Work Items'!L:L,"Pending Approval"),"0")&amp;" Pending"</f>
        <v/>
      </c>
      <c r="S103" s="11">
        <f>IF(N103="TBD","Yellow",IF(ISNUMBER(N103),IF(N103&lt;0,"Red",IF(N103&lt;14,"Yellow","Green")),"Yellow"))</f>
        <v/>
      </c>
      <c r="T103" s="11">
        <f>IF(NOT(ISNUMBER(M103)),"Yellow",IF(M103&lt;0,"Red",IF(M103/I103&lt;0.05,"Yellow","Green")))</f>
        <v/>
      </c>
      <c r="U103" s="11">
        <f>IF(OR(S103="Red",T103="Red"),"Red",IF(OR(S103="Yellow",T103="Yellow"),"Yellow","Green"))</f>
        <v/>
      </c>
    </row>
    <row r="104">
      <c r="A104" s="2">
        <f>IFERROR(INDEX('Projects Master'!$A:$A,ROW()-1),"")</f>
        <v/>
      </c>
      <c r="B104" s="101">
        <f>IFERROR(VLOOKUP(A104,'Projects Master'!$A:$I,2,0),"")</f>
        <v/>
      </c>
      <c r="C104" s="101">
        <f>IFERROR(VLOOKUP(A104,'Projects Master'!$A:$I,3,0),"")</f>
        <v/>
      </c>
      <c r="D104" s="101">
        <f>IFERROR(VLOOKUP(A104,'Projects Master'!$A:$I,4,0),"")</f>
        <v/>
      </c>
      <c r="E104" s="4">
        <f>IFERROR(VLOOKUP(A104,'Projects Master'!$A:$I,5,0),"")</f>
        <v/>
      </c>
      <c r="F104" s="92">
        <f>IFERROR(VLOOKUP(A104,'Projects Master'!$A:$I,6,0),"")</f>
        <v/>
      </c>
      <c r="G104" s="6">
        <f>IFERROR(VLOOKUP(A104,'Projects Master'!$A:$I,7,0),"")</f>
        <v/>
      </c>
      <c r="H104" s="6">
        <f>IFERROR(VLOOKUP(A104,'Projects Master'!$A:$I,8,0),"")</f>
        <v/>
      </c>
      <c r="I104" s="7">
        <f>IFERROR(VLOOKUP(A104,'Projects Master'!$A:$I,9,0),"")</f>
        <v/>
      </c>
      <c r="J104" s="6">
        <f>_xlfn.LET(_xlpm.t,_xlfn.MINIFS('Work Items'!P:P,'Work Items'!D:D,B104,'Work Items'!A:A,"Task"),_xlpm.b,_xlfn.MINIFS('Work Items'!P:P,'Work Items'!D:D,B104,'Work Items'!A:A,"Bug"),_xlpm.m,IF(AND(_xlpm.t=0,_xlpm.b=0),0,IF(_xlpm.t=0,_xlpm.b,IF(_xlpm.b=0,_xlpm.t,MIN(_xlpm.t,_xlpm.b)))),IF(_xlpm.m=0,G104,_xlpm.m))</f>
        <v/>
      </c>
      <c r="K104" s="6">
        <f>_xlfn.LET(_xlpm.t,_xlfn.MAXIFS('Work Items'!Q:Q,'Work Items'!D:D,B104,'Work Items'!A:A,"Task"),_xlpm.b,_xlfn.MAXIFS('Work Items'!Q:Q,'Work Items'!D:D,B104,'Work Items'!A:A,"Bug"),_xlpm.m,MAX(_xlpm.t,_xlpm.b),IF(_xlpm.m=0,H104,_xlpm.m))</f>
        <v/>
      </c>
      <c r="L104" s="8">
        <f>IFERROR(SUMIFS('Work Items'!O:O,'Work Items'!D:D,B104,'Work Items'!A:A,"Task"),0)</f>
        <v/>
      </c>
      <c r="M104" s="9">
        <f>IF(ISNUMBER(I104),I104-L104,"N/A")</f>
        <v/>
      </c>
      <c r="N104" s="10">
        <f>IF(AND(ISNUMBER(H104),K104&gt;0),INT(H104-K104),"TBD")</f>
        <v/>
      </c>
      <c r="O104" s="100">
        <f>TEXT(COUNTIFS('Work Items'!A:A,"Task",'Work Items'!D:D,B104,'Work Items'!L:L,"Completed"),"0")&amp;" / "&amp;TEXT(COUNTIFS('Work Items'!A:A,"Task",'Work Items'!D:D,B104),"0")&amp;" Tasks"</f>
        <v/>
      </c>
      <c r="P104" s="100">
        <f>TEXT(COUNTIFS('Work Items'!A:A,"Bug",'Work Items'!D:D,B104,'Work Items'!L:L,"Fixed"),"0")&amp;" / "&amp;TEXT(COUNTIFS('Work Items'!A:A,"Bug",'Work Items'!D:D,B104),"0")&amp;" Bugs"</f>
        <v/>
      </c>
      <c r="Q104" s="100">
        <f>TEXT(COUNTIFS('Work Items'!A:A,"Risk",'Work Items'!D:D,B104,'Work Items'!L:L,"Open"),"0")&amp;" Open"</f>
        <v/>
      </c>
      <c r="R104" s="100">
        <f>TEXT(COUNTIFS('Work Items'!A:A,"CR",'Work Items'!D:D,B104,'Work Items'!L:L,"Pending Approval"),"0")&amp;" Pending"</f>
        <v/>
      </c>
      <c r="S104" s="11">
        <f>IF(N104="TBD","Yellow",IF(ISNUMBER(N104),IF(N104&lt;0,"Red",IF(N104&lt;14,"Yellow","Green")),"Yellow"))</f>
        <v/>
      </c>
      <c r="T104" s="11">
        <f>IF(NOT(ISNUMBER(M104)),"Yellow",IF(M104&lt;0,"Red",IF(M104/I104&lt;0.05,"Yellow","Green")))</f>
        <v/>
      </c>
      <c r="U104" s="11">
        <f>IF(OR(S104="Red",T104="Red"),"Red",IF(OR(S104="Yellow",T104="Yellow"),"Yellow","Green"))</f>
        <v/>
      </c>
    </row>
    <row r="105">
      <c r="A105" s="2">
        <f>IFERROR(INDEX('Projects Master'!$A:$A,ROW()-1),"")</f>
        <v/>
      </c>
      <c r="B105" s="101">
        <f>IFERROR(VLOOKUP(A105,'Projects Master'!$A:$I,2,0),"")</f>
        <v/>
      </c>
      <c r="C105" s="101">
        <f>IFERROR(VLOOKUP(A105,'Projects Master'!$A:$I,3,0),"")</f>
        <v/>
      </c>
      <c r="D105" s="101">
        <f>IFERROR(VLOOKUP(A105,'Projects Master'!$A:$I,4,0),"")</f>
        <v/>
      </c>
      <c r="E105" s="4">
        <f>IFERROR(VLOOKUP(A105,'Projects Master'!$A:$I,5,0),"")</f>
        <v/>
      </c>
      <c r="F105" s="92">
        <f>IFERROR(VLOOKUP(A105,'Projects Master'!$A:$I,6,0),"")</f>
        <v/>
      </c>
      <c r="G105" s="6">
        <f>IFERROR(VLOOKUP(A105,'Projects Master'!$A:$I,7,0),"")</f>
        <v/>
      </c>
      <c r="H105" s="6">
        <f>IFERROR(VLOOKUP(A105,'Projects Master'!$A:$I,8,0),"")</f>
        <v/>
      </c>
      <c r="I105" s="7">
        <f>IFERROR(VLOOKUP(A105,'Projects Master'!$A:$I,9,0),"")</f>
        <v/>
      </c>
      <c r="J105" s="6">
        <f>_xlfn.LET(_xlpm.t,_xlfn.MINIFS('Work Items'!P:P,'Work Items'!D:D,B105,'Work Items'!A:A,"Task"),_xlpm.b,_xlfn.MINIFS('Work Items'!P:P,'Work Items'!D:D,B105,'Work Items'!A:A,"Bug"),_xlpm.m,IF(AND(_xlpm.t=0,_xlpm.b=0),0,IF(_xlpm.t=0,_xlpm.b,IF(_xlpm.b=0,_xlpm.t,MIN(_xlpm.t,_xlpm.b)))),IF(_xlpm.m=0,G105,_xlpm.m))</f>
        <v/>
      </c>
      <c r="K105" s="6">
        <f>_xlfn.LET(_xlpm.t,_xlfn.MAXIFS('Work Items'!Q:Q,'Work Items'!D:D,B105,'Work Items'!A:A,"Task"),_xlpm.b,_xlfn.MAXIFS('Work Items'!Q:Q,'Work Items'!D:D,B105,'Work Items'!A:A,"Bug"),_xlpm.m,MAX(_xlpm.t,_xlpm.b),IF(_xlpm.m=0,H105,_xlpm.m))</f>
        <v/>
      </c>
      <c r="L105" s="8">
        <f>IFERROR(SUMIFS('Work Items'!O:O,'Work Items'!D:D,B105,'Work Items'!A:A,"Task"),0)</f>
        <v/>
      </c>
      <c r="M105" s="9">
        <f>IF(ISNUMBER(I105),I105-L105,"N/A")</f>
        <v/>
      </c>
      <c r="N105" s="10">
        <f>IF(AND(ISNUMBER(H105),K105&gt;0),INT(H105-K105),"TBD")</f>
        <v/>
      </c>
      <c r="O105" s="100">
        <f>TEXT(COUNTIFS('Work Items'!A:A,"Task",'Work Items'!D:D,B105,'Work Items'!L:L,"Completed"),"0")&amp;" / "&amp;TEXT(COUNTIFS('Work Items'!A:A,"Task",'Work Items'!D:D,B105),"0")&amp;" Tasks"</f>
        <v/>
      </c>
      <c r="P105" s="100">
        <f>TEXT(COUNTIFS('Work Items'!A:A,"Bug",'Work Items'!D:D,B105,'Work Items'!L:L,"Fixed"),"0")&amp;" / "&amp;TEXT(COUNTIFS('Work Items'!A:A,"Bug",'Work Items'!D:D,B105),"0")&amp;" Bugs"</f>
        <v/>
      </c>
      <c r="Q105" s="100">
        <f>TEXT(COUNTIFS('Work Items'!A:A,"Risk",'Work Items'!D:D,B105,'Work Items'!L:L,"Open"),"0")&amp;" Open"</f>
        <v/>
      </c>
      <c r="R105" s="100">
        <f>TEXT(COUNTIFS('Work Items'!A:A,"CR",'Work Items'!D:D,B105,'Work Items'!L:L,"Pending Approval"),"0")&amp;" Pending"</f>
        <v/>
      </c>
      <c r="S105" s="11">
        <f>IF(N105="TBD","Yellow",IF(ISNUMBER(N105),IF(N105&lt;0,"Red",IF(N105&lt;14,"Yellow","Green")),"Yellow"))</f>
        <v/>
      </c>
      <c r="T105" s="11">
        <f>IF(NOT(ISNUMBER(M105)),"Yellow",IF(M105&lt;0,"Red",IF(M105/I105&lt;0.05,"Yellow","Green")))</f>
        <v/>
      </c>
      <c r="U105" s="11">
        <f>IF(OR(S105="Red",T105="Red"),"Red",IF(OR(S105="Yellow",T105="Yellow"),"Yellow","Green"))</f>
        <v/>
      </c>
    </row>
    <row r="106">
      <c r="A106" s="2">
        <f>IFERROR(INDEX('Projects Master'!$A:$A,ROW()-1),"")</f>
        <v/>
      </c>
      <c r="B106" s="101">
        <f>IFERROR(VLOOKUP(A106,'Projects Master'!$A:$I,2,0),"")</f>
        <v/>
      </c>
      <c r="C106" s="101">
        <f>IFERROR(VLOOKUP(A106,'Projects Master'!$A:$I,3,0),"")</f>
        <v/>
      </c>
      <c r="D106" s="101">
        <f>IFERROR(VLOOKUP(A106,'Projects Master'!$A:$I,4,0),"")</f>
        <v/>
      </c>
      <c r="E106" s="4">
        <f>IFERROR(VLOOKUP(A106,'Projects Master'!$A:$I,5,0),"")</f>
        <v/>
      </c>
      <c r="F106" s="92">
        <f>IFERROR(VLOOKUP(A106,'Projects Master'!$A:$I,6,0),"")</f>
        <v/>
      </c>
      <c r="G106" s="6">
        <f>IFERROR(VLOOKUP(A106,'Projects Master'!$A:$I,7,0),"")</f>
        <v/>
      </c>
      <c r="H106" s="6">
        <f>IFERROR(VLOOKUP(A106,'Projects Master'!$A:$I,8,0),"")</f>
        <v/>
      </c>
      <c r="I106" s="7">
        <f>IFERROR(VLOOKUP(A106,'Projects Master'!$A:$I,9,0),"")</f>
        <v/>
      </c>
      <c r="J106" s="6">
        <f>_xlfn.LET(_xlpm.t,_xlfn.MINIFS('Work Items'!P:P,'Work Items'!D:D,B106,'Work Items'!A:A,"Task"),_xlpm.b,_xlfn.MINIFS('Work Items'!P:P,'Work Items'!D:D,B106,'Work Items'!A:A,"Bug"),_xlpm.m,IF(AND(_xlpm.t=0,_xlpm.b=0),0,IF(_xlpm.t=0,_xlpm.b,IF(_xlpm.b=0,_xlpm.t,MIN(_xlpm.t,_xlpm.b)))),IF(_xlpm.m=0,G106,_xlpm.m))</f>
        <v/>
      </c>
      <c r="K106" s="6">
        <f>_xlfn.LET(_xlpm.t,_xlfn.MAXIFS('Work Items'!Q:Q,'Work Items'!D:D,B106,'Work Items'!A:A,"Task"),_xlpm.b,_xlfn.MAXIFS('Work Items'!Q:Q,'Work Items'!D:D,B106,'Work Items'!A:A,"Bug"),_xlpm.m,MAX(_xlpm.t,_xlpm.b),IF(_xlpm.m=0,H106,_xlpm.m))</f>
        <v/>
      </c>
      <c r="L106" s="8">
        <f>IFERROR(SUMIFS('Work Items'!O:O,'Work Items'!D:D,B106,'Work Items'!A:A,"Task"),0)</f>
        <v/>
      </c>
      <c r="M106" s="9">
        <f>IF(ISNUMBER(I106),I106-L106,"N/A")</f>
        <v/>
      </c>
      <c r="N106" s="10">
        <f>IF(AND(ISNUMBER(H106),K106&gt;0),INT(H106-K106),"TBD")</f>
        <v/>
      </c>
      <c r="O106" s="100">
        <f>TEXT(COUNTIFS('Work Items'!A:A,"Task",'Work Items'!D:D,B106,'Work Items'!L:L,"Completed"),"0")&amp;" / "&amp;TEXT(COUNTIFS('Work Items'!A:A,"Task",'Work Items'!D:D,B106),"0")&amp;" Tasks"</f>
        <v/>
      </c>
      <c r="P106" s="100">
        <f>TEXT(COUNTIFS('Work Items'!A:A,"Bug",'Work Items'!D:D,B106,'Work Items'!L:L,"Fixed"),"0")&amp;" / "&amp;TEXT(COUNTIFS('Work Items'!A:A,"Bug",'Work Items'!D:D,B106),"0")&amp;" Bugs"</f>
        <v/>
      </c>
      <c r="Q106" s="100">
        <f>TEXT(COUNTIFS('Work Items'!A:A,"Risk",'Work Items'!D:D,B106,'Work Items'!L:L,"Open"),"0")&amp;" Open"</f>
        <v/>
      </c>
      <c r="R106" s="100">
        <f>TEXT(COUNTIFS('Work Items'!A:A,"CR",'Work Items'!D:D,B106,'Work Items'!L:L,"Pending Approval"),"0")&amp;" Pending"</f>
        <v/>
      </c>
      <c r="S106" s="11">
        <f>IF(N106="TBD","Yellow",IF(ISNUMBER(N106),IF(N106&lt;0,"Red",IF(N106&lt;14,"Yellow","Green")),"Yellow"))</f>
        <v/>
      </c>
      <c r="T106" s="11">
        <f>IF(NOT(ISNUMBER(M106)),"Yellow",IF(M106&lt;0,"Red",IF(M106/I106&lt;0.05,"Yellow","Green")))</f>
        <v/>
      </c>
      <c r="U106" s="11">
        <f>IF(OR(S106="Red",T106="Red"),"Red",IF(OR(S106="Yellow",T106="Yellow"),"Yellow","Green"))</f>
        <v/>
      </c>
    </row>
    <row r="107">
      <c r="A107" s="2">
        <f>IFERROR(INDEX('Projects Master'!$A:$A,ROW()-1),"")</f>
        <v/>
      </c>
      <c r="B107" s="101">
        <f>IFERROR(VLOOKUP(A107,'Projects Master'!$A:$I,2,0),"")</f>
        <v/>
      </c>
      <c r="C107" s="101">
        <f>IFERROR(VLOOKUP(A107,'Projects Master'!$A:$I,3,0),"")</f>
        <v/>
      </c>
      <c r="D107" s="101">
        <f>IFERROR(VLOOKUP(A107,'Projects Master'!$A:$I,4,0),"")</f>
        <v/>
      </c>
      <c r="E107" s="4">
        <f>IFERROR(VLOOKUP(A107,'Projects Master'!$A:$I,5,0),"")</f>
        <v/>
      </c>
      <c r="F107" s="92">
        <f>IFERROR(VLOOKUP(A107,'Projects Master'!$A:$I,6,0),"")</f>
        <v/>
      </c>
      <c r="G107" s="6">
        <f>IFERROR(VLOOKUP(A107,'Projects Master'!$A:$I,7,0),"")</f>
        <v/>
      </c>
      <c r="H107" s="6">
        <f>IFERROR(VLOOKUP(A107,'Projects Master'!$A:$I,8,0),"")</f>
        <v/>
      </c>
      <c r="I107" s="7">
        <f>IFERROR(VLOOKUP(A107,'Projects Master'!$A:$I,9,0),"")</f>
        <v/>
      </c>
      <c r="J107" s="6">
        <f>_xlfn.LET(_xlpm.t,_xlfn.MINIFS('Work Items'!P:P,'Work Items'!D:D,B107,'Work Items'!A:A,"Task"),_xlpm.b,_xlfn.MINIFS('Work Items'!P:P,'Work Items'!D:D,B107,'Work Items'!A:A,"Bug"),_xlpm.m,IF(AND(_xlpm.t=0,_xlpm.b=0),0,IF(_xlpm.t=0,_xlpm.b,IF(_xlpm.b=0,_xlpm.t,MIN(_xlpm.t,_xlpm.b)))),IF(_xlpm.m=0,G107,_xlpm.m))</f>
        <v/>
      </c>
      <c r="K107" s="6">
        <f>_xlfn.LET(_xlpm.t,_xlfn.MAXIFS('Work Items'!Q:Q,'Work Items'!D:D,B107,'Work Items'!A:A,"Task"),_xlpm.b,_xlfn.MAXIFS('Work Items'!Q:Q,'Work Items'!D:D,B107,'Work Items'!A:A,"Bug"),_xlpm.m,MAX(_xlpm.t,_xlpm.b),IF(_xlpm.m=0,H107,_xlpm.m))</f>
        <v/>
      </c>
      <c r="L107" s="8">
        <f>IFERROR(SUMIFS('Work Items'!O:O,'Work Items'!D:D,B107,'Work Items'!A:A,"Task"),0)</f>
        <v/>
      </c>
      <c r="M107" s="9">
        <f>IF(ISNUMBER(I107),I107-L107,"N/A")</f>
        <v/>
      </c>
      <c r="N107" s="10">
        <f>IF(AND(ISNUMBER(H107),K107&gt;0),INT(H107-K107),"TBD")</f>
        <v/>
      </c>
      <c r="O107" s="100">
        <f>TEXT(COUNTIFS('Work Items'!A:A,"Task",'Work Items'!D:D,B107,'Work Items'!L:L,"Completed"),"0")&amp;" / "&amp;TEXT(COUNTIFS('Work Items'!A:A,"Task",'Work Items'!D:D,B107),"0")&amp;" Tasks"</f>
        <v/>
      </c>
      <c r="P107" s="100">
        <f>TEXT(COUNTIFS('Work Items'!A:A,"Bug",'Work Items'!D:D,B107,'Work Items'!L:L,"Fixed"),"0")&amp;" / "&amp;TEXT(COUNTIFS('Work Items'!A:A,"Bug",'Work Items'!D:D,B107),"0")&amp;" Bugs"</f>
        <v/>
      </c>
      <c r="Q107" s="100">
        <f>TEXT(COUNTIFS('Work Items'!A:A,"Risk",'Work Items'!D:D,B107,'Work Items'!L:L,"Open"),"0")&amp;" Open"</f>
        <v/>
      </c>
      <c r="R107" s="100">
        <f>TEXT(COUNTIFS('Work Items'!A:A,"CR",'Work Items'!D:D,B107,'Work Items'!L:L,"Pending Approval"),"0")&amp;" Pending"</f>
        <v/>
      </c>
      <c r="S107" s="11">
        <f>IF(N107="TBD","Yellow",IF(ISNUMBER(N107),IF(N107&lt;0,"Red",IF(N107&lt;14,"Yellow","Green")),"Yellow"))</f>
        <v/>
      </c>
      <c r="T107" s="11">
        <f>IF(NOT(ISNUMBER(M107)),"Yellow",IF(M107&lt;0,"Red",IF(M107/I107&lt;0.05,"Yellow","Green")))</f>
        <v/>
      </c>
      <c r="U107" s="11">
        <f>IF(OR(S107="Red",T107="Red"),"Red",IF(OR(S107="Yellow",T107="Yellow"),"Yellow","Green"))</f>
        <v/>
      </c>
    </row>
    <row r="108">
      <c r="A108" s="2">
        <f>IFERROR(INDEX('Projects Master'!$A:$A,ROW()-1),"")</f>
        <v/>
      </c>
      <c r="B108" s="101">
        <f>IFERROR(VLOOKUP(A108,'Projects Master'!$A:$I,2,0),"")</f>
        <v/>
      </c>
      <c r="C108" s="101">
        <f>IFERROR(VLOOKUP(A108,'Projects Master'!$A:$I,3,0),"")</f>
        <v/>
      </c>
      <c r="D108" s="101">
        <f>IFERROR(VLOOKUP(A108,'Projects Master'!$A:$I,4,0),"")</f>
        <v/>
      </c>
      <c r="E108" s="4">
        <f>IFERROR(VLOOKUP(A108,'Projects Master'!$A:$I,5,0),"")</f>
        <v/>
      </c>
      <c r="F108" s="92">
        <f>IFERROR(VLOOKUP(A108,'Projects Master'!$A:$I,6,0),"")</f>
        <v/>
      </c>
      <c r="G108" s="6">
        <f>IFERROR(VLOOKUP(A108,'Projects Master'!$A:$I,7,0),"")</f>
        <v/>
      </c>
      <c r="H108" s="6">
        <f>IFERROR(VLOOKUP(A108,'Projects Master'!$A:$I,8,0),"")</f>
        <v/>
      </c>
      <c r="I108" s="7">
        <f>IFERROR(VLOOKUP(A108,'Projects Master'!$A:$I,9,0),"")</f>
        <v/>
      </c>
      <c r="J108" s="6">
        <f>_xlfn.LET(_xlpm.t,_xlfn.MINIFS('Work Items'!P:P,'Work Items'!D:D,B108,'Work Items'!A:A,"Task"),_xlpm.b,_xlfn.MINIFS('Work Items'!P:P,'Work Items'!D:D,B108,'Work Items'!A:A,"Bug"),_xlpm.m,IF(AND(_xlpm.t=0,_xlpm.b=0),0,IF(_xlpm.t=0,_xlpm.b,IF(_xlpm.b=0,_xlpm.t,MIN(_xlpm.t,_xlpm.b)))),IF(_xlpm.m=0,G108,_xlpm.m))</f>
        <v/>
      </c>
      <c r="K108" s="6">
        <f>_xlfn.LET(_xlpm.t,_xlfn.MAXIFS('Work Items'!Q:Q,'Work Items'!D:D,B108,'Work Items'!A:A,"Task"),_xlpm.b,_xlfn.MAXIFS('Work Items'!Q:Q,'Work Items'!D:D,B108,'Work Items'!A:A,"Bug"),_xlpm.m,MAX(_xlpm.t,_xlpm.b),IF(_xlpm.m=0,H108,_xlpm.m))</f>
        <v/>
      </c>
      <c r="L108" s="8">
        <f>IFERROR(SUMIFS('Work Items'!O:O,'Work Items'!D:D,B108,'Work Items'!A:A,"Task"),0)</f>
        <v/>
      </c>
      <c r="M108" s="9">
        <f>IF(ISNUMBER(I108),I108-L108,"N/A")</f>
        <v/>
      </c>
      <c r="N108" s="10">
        <f>IF(AND(ISNUMBER(H108),K108&gt;0),INT(H108-K108),"TBD")</f>
        <v/>
      </c>
      <c r="O108" s="100">
        <f>TEXT(COUNTIFS('Work Items'!A:A,"Task",'Work Items'!D:D,B108,'Work Items'!L:L,"Completed"),"0")&amp;" / "&amp;TEXT(COUNTIFS('Work Items'!A:A,"Task",'Work Items'!D:D,B108),"0")&amp;" Tasks"</f>
        <v/>
      </c>
      <c r="P108" s="100">
        <f>TEXT(COUNTIFS('Work Items'!A:A,"Bug",'Work Items'!D:D,B108,'Work Items'!L:L,"Fixed"),"0")&amp;" / "&amp;TEXT(COUNTIFS('Work Items'!A:A,"Bug",'Work Items'!D:D,B108),"0")&amp;" Bugs"</f>
        <v/>
      </c>
      <c r="Q108" s="100">
        <f>TEXT(COUNTIFS('Work Items'!A:A,"Risk",'Work Items'!D:D,B108,'Work Items'!L:L,"Open"),"0")&amp;" Open"</f>
        <v/>
      </c>
      <c r="R108" s="100">
        <f>TEXT(COUNTIFS('Work Items'!A:A,"CR",'Work Items'!D:D,B108,'Work Items'!L:L,"Pending Approval"),"0")&amp;" Pending"</f>
        <v/>
      </c>
      <c r="S108" s="11">
        <f>IF(N108="TBD","Yellow",IF(ISNUMBER(N108),IF(N108&lt;0,"Red",IF(N108&lt;14,"Yellow","Green")),"Yellow"))</f>
        <v/>
      </c>
      <c r="T108" s="11">
        <f>IF(NOT(ISNUMBER(M108)),"Yellow",IF(M108&lt;0,"Red",IF(M108/I108&lt;0.05,"Yellow","Green")))</f>
        <v/>
      </c>
      <c r="U108" s="11">
        <f>IF(OR(S108="Red",T108="Red"),"Red",IF(OR(S108="Yellow",T108="Yellow"),"Yellow","Green"))</f>
        <v/>
      </c>
    </row>
    <row r="109">
      <c r="A109" s="2">
        <f>IFERROR(INDEX('Projects Master'!$A:$A,ROW()-1),"")</f>
        <v/>
      </c>
      <c r="B109" s="101">
        <f>IFERROR(VLOOKUP(A109,'Projects Master'!$A:$I,2,0),"")</f>
        <v/>
      </c>
      <c r="C109" s="101">
        <f>IFERROR(VLOOKUP(A109,'Projects Master'!$A:$I,3,0),"")</f>
        <v/>
      </c>
      <c r="D109" s="101">
        <f>IFERROR(VLOOKUP(A109,'Projects Master'!$A:$I,4,0),"")</f>
        <v/>
      </c>
      <c r="E109" s="4">
        <f>IFERROR(VLOOKUP(A109,'Projects Master'!$A:$I,5,0),"")</f>
        <v/>
      </c>
      <c r="F109" s="92">
        <f>IFERROR(VLOOKUP(A109,'Projects Master'!$A:$I,6,0),"")</f>
        <v/>
      </c>
      <c r="G109" s="6">
        <f>IFERROR(VLOOKUP(A109,'Projects Master'!$A:$I,7,0),"")</f>
        <v/>
      </c>
      <c r="H109" s="6">
        <f>IFERROR(VLOOKUP(A109,'Projects Master'!$A:$I,8,0),"")</f>
        <v/>
      </c>
      <c r="I109" s="7">
        <f>IFERROR(VLOOKUP(A109,'Projects Master'!$A:$I,9,0),"")</f>
        <v/>
      </c>
      <c r="J109" s="6">
        <f>_xlfn.LET(_xlpm.t,_xlfn.MINIFS('Work Items'!P:P,'Work Items'!D:D,B109,'Work Items'!A:A,"Task"),_xlpm.b,_xlfn.MINIFS('Work Items'!P:P,'Work Items'!D:D,B109,'Work Items'!A:A,"Bug"),_xlpm.m,IF(AND(_xlpm.t=0,_xlpm.b=0),0,IF(_xlpm.t=0,_xlpm.b,IF(_xlpm.b=0,_xlpm.t,MIN(_xlpm.t,_xlpm.b)))),IF(_xlpm.m=0,G109,_xlpm.m))</f>
        <v/>
      </c>
      <c r="K109" s="6">
        <f>_xlfn.LET(_xlpm.t,_xlfn.MAXIFS('Work Items'!Q:Q,'Work Items'!D:D,B109,'Work Items'!A:A,"Task"),_xlpm.b,_xlfn.MAXIFS('Work Items'!Q:Q,'Work Items'!D:D,B109,'Work Items'!A:A,"Bug"),_xlpm.m,MAX(_xlpm.t,_xlpm.b),IF(_xlpm.m=0,H109,_xlpm.m))</f>
        <v/>
      </c>
      <c r="L109" s="8">
        <f>IFERROR(SUMIFS('Work Items'!O:O,'Work Items'!D:D,B109,'Work Items'!A:A,"Task"),0)</f>
        <v/>
      </c>
      <c r="M109" s="9">
        <f>IF(ISNUMBER(I109),I109-L109,"N/A")</f>
        <v/>
      </c>
      <c r="N109" s="10">
        <f>IF(AND(ISNUMBER(H109),K109&gt;0),INT(H109-K109),"TBD")</f>
        <v/>
      </c>
      <c r="O109" s="100">
        <f>TEXT(COUNTIFS('Work Items'!A:A,"Task",'Work Items'!D:D,B109,'Work Items'!L:L,"Completed"),"0")&amp;" / "&amp;TEXT(COUNTIFS('Work Items'!A:A,"Task",'Work Items'!D:D,B109),"0")&amp;" Tasks"</f>
        <v/>
      </c>
      <c r="P109" s="100">
        <f>TEXT(COUNTIFS('Work Items'!A:A,"Bug",'Work Items'!D:D,B109,'Work Items'!L:L,"Fixed"),"0")&amp;" / "&amp;TEXT(COUNTIFS('Work Items'!A:A,"Bug",'Work Items'!D:D,B109),"0")&amp;" Bugs"</f>
        <v/>
      </c>
      <c r="Q109" s="100">
        <f>TEXT(COUNTIFS('Work Items'!A:A,"Risk",'Work Items'!D:D,B109,'Work Items'!L:L,"Open"),"0")&amp;" Open"</f>
        <v/>
      </c>
      <c r="R109" s="100">
        <f>TEXT(COUNTIFS('Work Items'!A:A,"CR",'Work Items'!D:D,B109,'Work Items'!L:L,"Pending Approval"),"0")&amp;" Pending"</f>
        <v/>
      </c>
      <c r="S109" s="11">
        <f>IF(N109="TBD","Yellow",IF(ISNUMBER(N109),IF(N109&lt;0,"Red",IF(N109&lt;14,"Yellow","Green")),"Yellow"))</f>
        <v/>
      </c>
      <c r="T109" s="11">
        <f>IF(NOT(ISNUMBER(M109)),"Yellow",IF(M109&lt;0,"Red",IF(M109/I109&lt;0.05,"Yellow","Green")))</f>
        <v/>
      </c>
      <c r="U109" s="11">
        <f>IF(OR(S109="Red",T109="Red"),"Red",IF(OR(S109="Yellow",T109="Yellow"),"Yellow","Green"))</f>
        <v/>
      </c>
    </row>
    <row r="110">
      <c r="A110" s="2">
        <f>IFERROR(INDEX('Projects Master'!$A:$A,ROW()-1),"")</f>
        <v/>
      </c>
      <c r="B110" s="101">
        <f>IFERROR(VLOOKUP(A110,'Projects Master'!$A:$I,2,0),"")</f>
        <v/>
      </c>
      <c r="C110" s="101">
        <f>IFERROR(VLOOKUP(A110,'Projects Master'!$A:$I,3,0),"")</f>
        <v/>
      </c>
      <c r="D110" s="101">
        <f>IFERROR(VLOOKUP(A110,'Projects Master'!$A:$I,4,0),"")</f>
        <v/>
      </c>
      <c r="E110" s="4">
        <f>IFERROR(VLOOKUP(A110,'Projects Master'!$A:$I,5,0),"")</f>
        <v/>
      </c>
      <c r="F110" s="92">
        <f>IFERROR(VLOOKUP(A110,'Projects Master'!$A:$I,6,0),"")</f>
        <v/>
      </c>
      <c r="G110" s="6">
        <f>IFERROR(VLOOKUP(A110,'Projects Master'!$A:$I,7,0),"")</f>
        <v/>
      </c>
      <c r="H110" s="6">
        <f>IFERROR(VLOOKUP(A110,'Projects Master'!$A:$I,8,0),"")</f>
        <v/>
      </c>
      <c r="I110" s="7">
        <f>IFERROR(VLOOKUP(A110,'Projects Master'!$A:$I,9,0),"")</f>
        <v/>
      </c>
      <c r="J110" s="6">
        <f>_xlfn.LET(_xlpm.t,_xlfn.MINIFS('Work Items'!P:P,'Work Items'!D:D,B110,'Work Items'!A:A,"Task"),_xlpm.b,_xlfn.MINIFS('Work Items'!P:P,'Work Items'!D:D,B110,'Work Items'!A:A,"Bug"),_xlpm.m,IF(AND(_xlpm.t=0,_xlpm.b=0),0,IF(_xlpm.t=0,_xlpm.b,IF(_xlpm.b=0,_xlpm.t,MIN(_xlpm.t,_xlpm.b)))),IF(_xlpm.m=0,G110,_xlpm.m))</f>
        <v/>
      </c>
      <c r="K110" s="6">
        <f>_xlfn.LET(_xlpm.t,_xlfn.MAXIFS('Work Items'!Q:Q,'Work Items'!D:D,B110,'Work Items'!A:A,"Task"),_xlpm.b,_xlfn.MAXIFS('Work Items'!Q:Q,'Work Items'!D:D,B110,'Work Items'!A:A,"Bug"),_xlpm.m,MAX(_xlpm.t,_xlpm.b),IF(_xlpm.m=0,H110,_xlpm.m))</f>
        <v/>
      </c>
      <c r="L110" s="8">
        <f>IFERROR(SUMIFS('Work Items'!O:O,'Work Items'!D:D,B110,'Work Items'!A:A,"Task"),0)</f>
        <v/>
      </c>
      <c r="M110" s="9">
        <f>IF(ISNUMBER(I110),I110-L110,"N/A")</f>
        <v/>
      </c>
      <c r="N110" s="10">
        <f>IF(AND(ISNUMBER(H110),K110&gt;0),INT(H110-K110),"TBD")</f>
        <v/>
      </c>
      <c r="O110" s="100">
        <f>TEXT(COUNTIFS('Work Items'!A:A,"Task",'Work Items'!D:D,B110,'Work Items'!L:L,"Completed"),"0")&amp;" / "&amp;TEXT(COUNTIFS('Work Items'!A:A,"Task",'Work Items'!D:D,B110),"0")&amp;" Tasks"</f>
        <v/>
      </c>
      <c r="P110" s="100">
        <f>TEXT(COUNTIFS('Work Items'!A:A,"Bug",'Work Items'!D:D,B110,'Work Items'!L:L,"Fixed"),"0")&amp;" / "&amp;TEXT(COUNTIFS('Work Items'!A:A,"Bug",'Work Items'!D:D,B110),"0")&amp;" Bugs"</f>
        <v/>
      </c>
      <c r="Q110" s="100">
        <f>TEXT(COUNTIFS('Work Items'!A:A,"Risk",'Work Items'!D:D,B110,'Work Items'!L:L,"Open"),"0")&amp;" Open"</f>
        <v/>
      </c>
      <c r="R110" s="100">
        <f>TEXT(COUNTIFS('Work Items'!A:A,"CR",'Work Items'!D:D,B110,'Work Items'!L:L,"Pending Approval"),"0")&amp;" Pending"</f>
        <v/>
      </c>
      <c r="S110" s="11">
        <f>IF(N110="TBD","Yellow",IF(ISNUMBER(N110),IF(N110&lt;0,"Red",IF(N110&lt;14,"Yellow","Green")),"Yellow"))</f>
        <v/>
      </c>
      <c r="T110" s="11">
        <f>IF(NOT(ISNUMBER(M110)),"Yellow",IF(M110&lt;0,"Red",IF(M110/I110&lt;0.05,"Yellow","Green")))</f>
        <v/>
      </c>
      <c r="U110" s="11">
        <f>IF(OR(S110="Red",T110="Red"),"Red",IF(OR(S110="Yellow",T110="Yellow"),"Yellow","Green"))</f>
        <v/>
      </c>
    </row>
    <row r="111">
      <c r="A111" s="2">
        <f>IFERROR(INDEX('Projects Master'!$A:$A,ROW()-1),"")</f>
        <v/>
      </c>
      <c r="B111" s="101">
        <f>IFERROR(VLOOKUP(A111,'Projects Master'!$A:$I,2,0),"")</f>
        <v/>
      </c>
      <c r="C111" s="101">
        <f>IFERROR(VLOOKUP(A111,'Projects Master'!$A:$I,3,0),"")</f>
        <v/>
      </c>
      <c r="D111" s="101">
        <f>IFERROR(VLOOKUP(A111,'Projects Master'!$A:$I,4,0),"")</f>
        <v/>
      </c>
      <c r="E111" s="4">
        <f>IFERROR(VLOOKUP(A111,'Projects Master'!$A:$I,5,0),"")</f>
        <v/>
      </c>
      <c r="F111" s="92">
        <f>IFERROR(VLOOKUP(A111,'Projects Master'!$A:$I,6,0),"")</f>
        <v/>
      </c>
      <c r="G111" s="6">
        <f>IFERROR(VLOOKUP(A111,'Projects Master'!$A:$I,7,0),"")</f>
        <v/>
      </c>
      <c r="H111" s="6">
        <f>IFERROR(VLOOKUP(A111,'Projects Master'!$A:$I,8,0),"")</f>
        <v/>
      </c>
      <c r="I111" s="7">
        <f>IFERROR(VLOOKUP(A111,'Projects Master'!$A:$I,9,0),"")</f>
        <v/>
      </c>
      <c r="J111" s="6">
        <f>_xlfn.LET(_xlpm.t,_xlfn.MINIFS('Work Items'!P:P,'Work Items'!D:D,B111,'Work Items'!A:A,"Task"),_xlpm.b,_xlfn.MINIFS('Work Items'!P:P,'Work Items'!D:D,B111,'Work Items'!A:A,"Bug"),_xlpm.m,IF(AND(_xlpm.t=0,_xlpm.b=0),0,IF(_xlpm.t=0,_xlpm.b,IF(_xlpm.b=0,_xlpm.t,MIN(_xlpm.t,_xlpm.b)))),IF(_xlpm.m=0,G111,_xlpm.m))</f>
        <v/>
      </c>
      <c r="K111" s="6">
        <f>_xlfn.LET(_xlpm.t,_xlfn.MAXIFS('Work Items'!Q:Q,'Work Items'!D:D,B111,'Work Items'!A:A,"Task"),_xlpm.b,_xlfn.MAXIFS('Work Items'!Q:Q,'Work Items'!D:D,B111,'Work Items'!A:A,"Bug"),_xlpm.m,MAX(_xlpm.t,_xlpm.b),IF(_xlpm.m=0,H111,_xlpm.m))</f>
        <v/>
      </c>
      <c r="L111" s="8">
        <f>IFERROR(SUMIFS('Work Items'!O:O,'Work Items'!D:D,B111,'Work Items'!A:A,"Task"),0)</f>
        <v/>
      </c>
      <c r="M111" s="9">
        <f>IF(ISNUMBER(I111),I111-L111,"N/A")</f>
        <v/>
      </c>
      <c r="N111" s="10">
        <f>IF(AND(ISNUMBER(H111),K111&gt;0),INT(H111-K111),"TBD")</f>
        <v/>
      </c>
      <c r="O111" s="100">
        <f>TEXT(COUNTIFS('Work Items'!A:A,"Task",'Work Items'!D:D,B111,'Work Items'!L:L,"Completed"),"0")&amp;" / "&amp;TEXT(COUNTIFS('Work Items'!A:A,"Task",'Work Items'!D:D,B111),"0")&amp;" Tasks"</f>
        <v/>
      </c>
      <c r="P111" s="100">
        <f>TEXT(COUNTIFS('Work Items'!A:A,"Bug",'Work Items'!D:D,B111,'Work Items'!L:L,"Fixed"),"0")&amp;" / "&amp;TEXT(COUNTIFS('Work Items'!A:A,"Bug",'Work Items'!D:D,B111),"0")&amp;" Bugs"</f>
        <v/>
      </c>
      <c r="Q111" s="100">
        <f>TEXT(COUNTIFS('Work Items'!A:A,"Risk",'Work Items'!D:D,B111,'Work Items'!L:L,"Open"),"0")&amp;" Open"</f>
        <v/>
      </c>
      <c r="R111" s="100">
        <f>TEXT(COUNTIFS('Work Items'!A:A,"CR",'Work Items'!D:D,B111,'Work Items'!L:L,"Pending Approval"),"0")&amp;" Pending"</f>
        <v/>
      </c>
      <c r="S111" s="11">
        <f>IF(N111="TBD","Yellow",IF(ISNUMBER(N111),IF(N111&lt;0,"Red",IF(N111&lt;14,"Yellow","Green")),"Yellow"))</f>
        <v/>
      </c>
      <c r="T111" s="11">
        <f>IF(NOT(ISNUMBER(M111)),"Yellow",IF(M111&lt;0,"Red",IF(M111/I111&lt;0.05,"Yellow","Green")))</f>
        <v/>
      </c>
      <c r="U111" s="11">
        <f>IF(OR(S111="Red",T111="Red"),"Red",IF(OR(S111="Yellow",T111="Yellow"),"Yellow","Green"))</f>
        <v/>
      </c>
    </row>
    <row r="112">
      <c r="A112" s="2">
        <f>IFERROR(INDEX('Projects Master'!$A:$A,ROW()-1),"")</f>
        <v/>
      </c>
      <c r="B112" s="101">
        <f>IFERROR(VLOOKUP(A112,'Projects Master'!$A:$I,2,0),"")</f>
        <v/>
      </c>
      <c r="C112" s="101">
        <f>IFERROR(VLOOKUP(A112,'Projects Master'!$A:$I,3,0),"")</f>
        <v/>
      </c>
      <c r="D112" s="101">
        <f>IFERROR(VLOOKUP(A112,'Projects Master'!$A:$I,4,0),"")</f>
        <v/>
      </c>
      <c r="E112" s="4">
        <f>IFERROR(VLOOKUP(A112,'Projects Master'!$A:$I,5,0),"")</f>
        <v/>
      </c>
      <c r="F112" s="92">
        <f>IFERROR(VLOOKUP(A112,'Projects Master'!$A:$I,6,0),"")</f>
        <v/>
      </c>
      <c r="G112" s="6">
        <f>IFERROR(VLOOKUP(A112,'Projects Master'!$A:$I,7,0),"")</f>
        <v/>
      </c>
      <c r="H112" s="6">
        <f>IFERROR(VLOOKUP(A112,'Projects Master'!$A:$I,8,0),"")</f>
        <v/>
      </c>
      <c r="I112" s="7">
        <f>IFERROR(VLOOKUP(A112,'Projects Master'!$A:$I,9,0),"")</f>
        <v/>
      </c>
      <c r="J112" s="6">
        <f>_xlfn.LET(_xlpm.t,_xlfn.MINIFS('Work Items'!P:P,'Work Items'!D:D,B112,'Work Items'!A:A,"Task"),_xlpm.b,_xlfn.MINIFS('Work Items'!P:P,'Work Items'!D:D,B112,'Work Items'!A:A,"Bug"),_xlpm.m,IF(AND(_xlpm.t=0,_xlpm.b=0),0,IF(_xlpm.t=0,_xlpm.b,IF(_xlpm.b=0,_xlpm.t,MIN(_xlpm.t,_xlpm.b)))),IF(_xlpm.m=0,G112,_xlpm.m))</f>
        <v/>
      </c>
      <c r="K112" s="6">
        <f>_xlfn.LET(_xlpm.t,_xlfn.MAXIFS('Work Items'!Q:Q,'Work Items'!D:D,B112,'Work Items'!A:A,"Task"),_xlpm.b,_xlfn.MAXIFS('Work Items'!Q:Q,'Work Items'!D:D,B112,'Work Items'!A:A,"Bug"),_xlpm.m,MAX(_xlpm.t,_xlpm.b),IF(_xlpm.m=0,H112,_xlpm.m))</f>
        <v/>
      </c>
      <c r="L112" s="8">
        <f>IFERROR(SUMIFS('Work Items'!O:O,'Work Items'!D:D,B112,'Work Items'!A:A,"Task"),0)</f>
        <v/>
      </c>
      <c r="M112" s="9">
        <f>IF(ISNUMBER(I112),I112-L112,"N/A")</f>
        <v/>
      </c>
      <c r="N112" s="10">
        <f>IF(AND(ISNUMBER(H112),K112&gt;0),INT(H112-K112),"TBD")</f>
        <v/>
      </c>
      <c r="O112" s="100">
        <f>TEXT(COUNTIFS('Work Items'!A:A,"Task",'Work Items'!D:D,B112,'Work Items'!L:L,"Completed"),"0")&amp;" / "&amp;TEXT(COUNTIFS('Work Items'!A:A,"Task",'Work Items'!D:D,B112),"0")&amp;" Tasks"</f>
        <v/>
      </c>
      <c r="P112" s="100">
        <f>TEXT(COUNTIFS('Work Items'!A:A,"Bug",'Work Items'!D:D,B112,'Work Items'!L:L,"Fixed"),"0")&amp;" / "&amp;TEXT(COUNTIFS('Work Items'!A:A,"Bug",'Work Items'!D:D,B112),"0")&amp;" Bugs"</f>
        <v/>
      </c>
      <c r="Q112" s="100">
        <f>TEXT(COUNTIFS('Work Items'!A:A,"Risk",'Work Items'!D:D,B112,'Work Items'!L:L,"Open"),"0")&amp;" Open"</f>
        <v/>
      </c>
      <c r="R112" s="100">
        <f>TEXT(COUNTIFS('Work Items'!A:A,"CR",'Work Items'!D:D,B112,'Work Items'!L:L,"Pending Approval"),"0")&amp;" Pending"</f>
        <v/>
      </c>
      <c r="S112" s="11">
        <f>IF(N112="TBD","Yellow",IF(ISNUMBER(N112),IF(N112&lt;0,"Red",IF(N112&lt;14,"Yellow","Green")),"Yellow"))</f>
        <v/>
      </c>
      <c r="T112" s="11">
        <f>IF(NOT(ISNUMBER(M112)),"Yellow",IF(M112&lt;0,"Red",IF(M112/I112&lt;0.05,"Yellow","Green")))</f>
        <v/>
      </c>
      <c r="U112" s="11">
        <f>IF(OR(S112="Red",T112="Red"),"Red",IF(OR(S112="Yellow",T112="Yellow"),"Yellow","Green"))</f>
        <v/>
      </c>
    </row>
    <row r="113">
      <c r="A113" s="2">
        <f>IFERROR(INDEX('Projects Master'!$A:$A,ROW()-1),"")</f>
        <v/>
      </c>
      <c r="B113" s="101">
        <f>IFERROR(VLOOKUP(A113,'Projects Master'!$A:$I,2,0),"")</f>
        <v/>
      </c>
      <c r="C113" s="101">
        <f>IFERROR(VLOOKUP(A113,'Projects Master'!$A:$I,3,0),"")</f>
        <v/>
      </c>
      <c r="D113" s="101">
        <f>IFERROR(VLOOKUP(A113,'Projects Master'!$A:$I,4,0),"")</f>
        <v/>
      </c>
      <c r="E113" s="4">
        <f>IFERROR(VLOOKUP(A113,'Projects Master'!$A:$I,5,0),"")</f>
        <v/>
      </c>
      <c r="F113" s="92">
        <f>IFERROR(VLOOKUP(A113,'Projects Master'!$A:$I,6,0),"")</f>
        <v/>
      </c>
      <c r="G113" s="6">
        <f>IFERROR(VLOOKUP(A113,'Projects Master'!$A:$I,7,0),"")</f>
        <v/>
      </c>
      <c r="H113" s="6">
        <f>IFERROR(VLOOKUP(A113,'Projects Master'!$A:$I,8,0),"")</f>
        <v/>
      </c>
      <c r="I113" s="7">
        <f>IFERROR(VLOOKUP(A113,'Projects Master'!$A:$I,9,0),"")</f>
        <v/>
      </c>
      <c r="J113" s="6">
        <f>_xlfn.LET(_xlpm.t,_xlfn.MINIFS('Work Items'!P:P,'Work Items'!D:D,B113,'Work Items'!A:A,"Task"),_xlpm.b,_xlfn.MINIFS('Work Items'!P:P,'Work Items'!D:D,B113,'Work Items'!A:A,"Bug"),_xlpm.m,IF(AND(_xlpm.t=0,_xlpm.b=0),0,IF(_xlpm.t=0,_xlpm.b,IF(_xlpm.b=0,_xlpm.t,MIN(_xlpm.t,_xlpm.b)))),IF(_xlpm.m=0,G113,_xlpm.m))</f>
        <v/>
      </c>
      <c r="K113" s="6">
        <f>_xlfn.LET(_xlpm.t,_xlfn.MAXIFS('Work Items'!Q:Q,'Work Items'!D:D,B113,'Work Items'!A:A,"Task"),_xlpm.b,_xlfn.MAXIFS('Work Items'!Q:Q,'Work Items'!D:D,B113,'Work Items'!A:A,"Bug"),_xlpm.m,MAX(_xlpm.t,_xlpm.b),IF(_xlpm.m=0,H113,_xlpm.m))</f>
        <v/>
      </c>
      <c r="L113" s="8">
        <f>IFERROR(SUMIFS('Work Items'!O:O,'Work Items'!D:D,B113,'Work Items'!A:A,"Task"),0)</f>
        <v/>
      </c>
      <c r="M113" s="9">
        <f>IF(ISNUMBER(I113),I113-L113,"N/A")</f>
        <v/>
      </c>
      <c r="N113" s="10">
        <f>IF(AND(ISNUMBER(H113),K113&gt;0),INT(H113-K113),"TBD")</f>
        <v/>
      </c>
      <c r="O113" s="100">
        <f>TEXT(COUNTIFS('Work Items'!A:A,"Task",'Work Items'!D:D,B113,'Work Items'!L:L,"Completed"),"0")&amp;" / "&amp;TEXT(COUNTIFS('Work Items'!A:A,"Task",'Work Items'!D:D,B113),"0")&amp;" Tasks"</f>
        <v/>
      </c>
      <c r="P113" s="100">
        <f>TEXT(COUNTIFS('Work Items'!A:A,"Bug",'Work Items'!D:D,B113,'Work Items'!L:L,"Fixed"),"0")&amp;" / "&amp;TEXT(COUNTIFS('Work Items'!A:A,"Bug",'Work Items'!D:D,B113),"0")&amp;" Bugs"</f>
        <v/>
      </c>
      <c r="Q113" s="100">
        <f>TEXT(COUNTIFS('Work Items'!A:A,"Risk",'Work Items'!D:D,B113,'Work Items'!L:L,"Open"),"0")&amp;" Open"</f>
        <v/>
      </c>
      <c r="R113" s="100">
        <f>TEXT(COUNTIFS('Work Items'!A:A,"CR",'Work Items'!D:D,B113,'Work Items'!L:L,"Pending Approval"),"0")&amp;" Pending"</f>
        <v/>
      </c>
      <c r="S113" s="11">
        <f>IF(N113="TBD","Yellow",IF(ISNUMBER(N113),IF(N113&lt;0,"Red",IF(N113&lt;14,"Yellow","Green")),"Yellow"))</f>
        <v/>
      </c>
      <c r="T113" s="11">
        <f>IF(NOT(ISNUMBER(M113)),"Yellow",IF(M113&lt;0,"Red",IF(M113/I113&lt;0.05,"Yellow","Green")))</f>
        <v/>
      </c>
      <c r="U113" s="11">
        <f>IF(OR(S113="Red",T113="Red"),"Red",IF(OR(S113="Yellow",T113="Yellow"),"Yellow","Green"))</f>
        <v/>
      </c>
    </row>
    <row r="114">
      <c r="A114" s="2">
        <f>IFERROR(INDEX('Projects Master'!$A:$A,ROW()-1),"")</f>
        <v/>
      </c>
      <c r="B114" s="101">
        <f>IFERROR(VLOOKUP(A114,'Projects Master'!$A:$I,2,0),"")</f>
        <v/>
      </c>
      <c r="C114" s="101">
        <f>IFERROR(VLOOKUP(A114,'Projects Master'!$A:$I,3,0),"")</f>
        <v/>
      </c>
      <c r="D114" s="101">
        <f>IFERROR(VLOOKUP(A114,'Projects Master'!$A:$I,4,0),"")</f>
        <v/>
      </c>
      <c r="E114" s="4">
        <f>IFERROR(VLOOKUP(A114,'Projects Master'!$A:$I,5,0),"")</f>
        <v/>
      </c>
      <c r="F114" s="92">
        <f>IFERROR(VLOOKUP(A114,'Projects Master'!$A:$I,6,0),"")</f>
        <v/>
      </c>
      <c r="G114" s="6">
        <f>IFERROR(VLOOKUP(A114,'Projects Master'!$A:$I,7,0),"")</f>
        <v/>
      </c>
      <c r="H114" s="6">
        <f>IFERROR(VLOOKUP(A114,'Projects Master'!$A:$I,8,0),"")</f>
        <v/>
      </c>
      <c r="I114" s="7">
        <f>IFERROR(VLOOKUP(A114,'Projects Master'!$A:$I,9,0),"")</f>
        <v/>
      </c>
      <c r="J114" s="6">
        <f>_xlfn.LET(_xlpm.t,_xlfn.MINIFS('Work Items'!P:P,'Work Items'!D:D,B114,'Work Items'!A:A,"Task"),_xlpm.b,_xlfn.MINIFS('Work Items'!P:P,'Work Items'!D:D,B114,'Work Items'!A:A,"Bug"),_xlpm.m,IF(AND(_xlpm.t=0,_xlpm.b=0),0,IF(_xlpm.t=0,_xlpm.b,IF(_xlpm.b=0,_xlpm.t,MIN(_xlpm.t,_xlpm.b)))),IF(_xlpm.m=0,G114,_xlpm.m))</f>
        <v/>
      </c>
      <c r="K114" s="6">
        <f>_xlfn.LET(_xlpm.t,_xlfn.MAXIFS('Work Items'!Q:Q,'Work Items'!D:D,B114,'Work Items'!A:A,"Task"),_xlpm.b,_xlfn.MAXIFS('Work Items'!Q:Q,'Work Items'!D:D,B114,'Work Items'!A:A,"Bug"),_xlpm.m,MAX(_xlpm.t,_xlpm.b),IF(_xlpm.m=0,H114,_xlpm.m))</f>
        <v/>
      </c>
      <c r="L114" s="8">
        <f>IFERROR(SUMIFS('Work Items'!O:O,'Work Items'!D:D,B114,'Work Items'!A:A,"Task"),0)</f>
        <v/>
      </c>
      <c r="M114" s="9">
        <f>IF(ISNUMBER(I114),I114-L114,"N/A")</f>
        <v/>
      </c>
      <c r="N114" s="10">
        <f>IF(AND(ISNUMBER(H114),K114&gt;0),INT(H114-K114),"TBD")</f>
        <v/>
      </c>
      <c r="O114" s="100">
        <f>TEXT(COUNTIFS('Work Items'!A:A,"Task",'Work Items'!D:D,B114,'Work Items'!L:L,"Completed"),"0")&amp;" / "&amp;TEXT(COUNTIFS('Work Items'!A:A,"Task",'Work Items'!D:D,B114),"0")&amp;" Tasks"</f>
        <v/>
      </c>
      <c r="P114" s="100">
        <f>TEXT(COUNTIFS('Work Items'!A:A,"Bug",'Work Items'!D:D,B114,'Work Items'!L:L,"Fixed"),"0")&amp;" / "&amp;TEXT(COUNTIFS('Work Items'!A:A,"Bug",'Work Items'!D:D,B114),"0")&amp;" Bugs"</f>
        <v/>
      </c>
      <c r="Q114" s="100">
        <f>TEXT(COUNTIFS('Work Items'!A:A,"Risk",'Work Items'!D:D,B114,'Work Items'!L:L,"Open"),"0")&amp;" Open"</f>
        <v/>
      </c>
      <c r="R114" s="100">
        <f>TEXT(COUNTIFS('Work Items'!A:A,"CR",'Work Items'!D:D,B114,'Work Items'!L:L,"Pending Approval"),"0")&amp;" Pending"</f>
        <v/>
      </c>
      <c r="S114" s="11">
        <f>IF(N114="TBD","Yellow",IF(ISNUMBER(N114),IF(N114&lt;0,"Red",IF(N114&lt;14,"Yellow","Green")),"Yellow"))</f>
        <v/>
      </c>
      <c r="T114" s="11">
        <f>IF(NOT(ISNUMBER(M114)),"Yellow",IF(M114&lt;0,"Red",IF(M114/I114&lt;0.05,"Yellow","Green")))</f>
        <v/>
      </c>
      <c r="U114" s="11">
        <f>IF(OR(S114="Red",T114="Red"),"Red",IF(OR(S114="Yellow",T114="Yellow"),"Yellow","Green"))</f>
        <v/>
      </c>
    </row>
    <row r="115">
      <c r="A115" s="2">
        <f>IFERROR(INDEX('Projects Master'!$A:$A,ROW()-1),"")</f>
        <v/>
      </c>
      <c r="B115" s="101">
        <f>IFERROR(VLOOKUP(A115,'Projects Master'!$A:$I,2,0),"")</f>
        <v/>
      </c>
      <c r="C115" s="101">
        <f>IFERROR(VLOOKUP(A115,'Projects Master'!$A:$I,3,0),"")</f>
        <v/>
      </c>
      <c r="D115" s="101">
        <f>IFERROR(VLOOKUP(A115,'Projects Master'!$A:$I,4,0),"")</f>
        <v/>
      </c>
      <c r="E115" s="4">
        <f>IFERROR(VLOOKUP(A115,'Projects Master'!$A:$I,5,0),"")</f>
        <v/>
      </c>
      <c r="F115" s="92">
        <f>IFERROR(VLOOKUP(A115,'Projects Master'!$A:$I,6,0),"")</f>
        <v/>
      </c>
      <c r="G115" s="6">
        <f>IFERROR(VLOOKUP(A115,'Projects Master'!$A:$I,7,0),"")</f>
        <v/>
      </c>
      <c r="H115" s="6">
        <f>IFERROR(VLOOKUP(A115,'Projects Master'!$A:$I,8,0),"")</f>
        <v/>
      </c>
      <c r="I115" s="7">
        <f>IFERROR(VLOOKUP(A115,'Projects Master'!$A:$I,9,0),"")</f>
        <v/>
      </c>
      <c r="J115" s="6">
        <f>_xlfn.LET(_xlpm.t,_xlfn.MINIFS('Work Items'!P:P,'Work Items'!D:D,B115,'Work Items'!A:A,"Task"),_xlpm.b,_xlfn.MINIFS('Work Items'!P:P,'Work Items'!D:D,B115,'Work Items'!A:A,"Bug"),_xlpm.m,IF(AND(_xlpm.t=0,_xlpm.b=0),0,IF(_xlpm.t=0,_xlpm.b,IF(_xlpm.b=0,_xlpm.t,MIN(_xlpm.t,_xlpm.b)))),IF(_xlpm.m=0,G115,_xlpm.m))</f>
        <v/>
      </c>
      <c r="K115" s="6">
        <f>_xlfn.LET(_xlpm.t,_xlfn.MAXIFS('Work Items'!Q:Q,'Work Items'!D:D,B115,'Work Items'!A:A,"Task"),_xlpm.b,_xlfn.MAXIFS('Work Items'!Q:Q,'Work Items'!D:D,B115,'Work Items'!A:A,"Bug"),_xlpm.m,MAX(_xlpm.t,_xlpm.b),IF(_xlpm.m=0,H115,_xlpm.m))</f>
        <v/>
      </c>
      <c r="L115" s="8">
        <f>IFERROR(SUMIFS('Work Items'!O:O,'Work Items'!D:D,B115,'Work Items'!A:A,"Task"),0)</f>
        <v/>
      </c>
      <c r="M115" s="9">
        <f>IF(ISNUMBER(I115),I115-L115,"N/A")</f>
        <v/>
      </c>
      <c r="N115" s="10">
        <f>IF(AND(ISNUMBER(H115),K115&gt;0),INT(H115-K115),"TBD")</f>
        <v/>
      </c>
      <c r="O115" s="100">
        <f>TEXT(COUNTIFS('Work Items'!A:A,"Task",'Work Items'!D:D,B115,'Work Items'!L:L,"Completed"),"0")&amp;" / "&amp;TEXT(COUNTIFS('Work Items'!A:A,"Task",'Work Items'!D:D,B115),"0")&amp;" Tasks"</f>
        <v/>
      </c>
      <c r="P115" s="100">
        <f>TEXT(COUNTIFS('Work Items'!A:A,"Bug",'Work Items'!D:D,B115,'Work Items'!L:L,"Fixed"),"0")&amp;" / "&amp;TEXT(COUNTIFS('Work Items'!A:A,"Bug",'Work Items'!D:D,B115),"0")&amp;" Bugs"</f>
        <v/>
      </c>
      <c r="Q115" s="100">
        <f>TEXT(COUNTIFS('Work Items'!A:A,"Risk",'Work Items'!D:D,B115,'Work Items'!L:L,"Open"),"0")&amp;" Open"</f>
        <v/>
      </c>
      <c r="R115" s="100">
        <f>TEXT(COUNTIFS('Work Items'!A:A,"CR",'Work Items'!D:D,B115,'Work Items'!L:L,"Pending Approval"),"0")&amp;" Pending"</f>
        <v/>
      </c>
      <c r="S115" s="11">
        <f>IF(N115="TBD","Yellow",IF(ISNUMBER(N115),IF(N115&lt;0,"Red",IF(N115&lt;14,"Yellow","Green")),"Yellow"))</f>
        <v/>
      </c>
      <c r="T115" s="11">
        <f>IF(NOT(ISNUMBER(M115)),"Yellow",IF(M115&lt;0,"Red",IF(M115/I115&lt;0.05,"Yellow","Green")))</f>
        <v/>
      </c>
      <c r="U115" s="11">
        <f>IF(OR(S115="Red",T115="Red"),"Red",IF(OR(S115="Yellow",T115="Yellow"),"Yellow","Green"))</f>
        <v/>
      </c>
    </row>
    <row r="116">
      <c r="A116" s="2">
        <f>IFERROR(INDEX('Projects Master'!$A:$A,ROW()-1),"")</f>
        <v/>
      </c>
      <c r="B116" s="101">
        <f>IFERROR(VLOOKUP(A116,'Projects Master'!$A:$I,2,0),"")</f>
        <v/>
      </c>
      <c r="C116" s="101">
        <f>IFERROR(VLOOKUP(A116,'Projects Master'!$A:$I,3,0),"")</f>
        <v/>
      </c>
      <c r="D116" s="101">
        <f>IFERROR(VLOOKUP(A116,'Projects Master'!$A:$I,4,0),"")</f>
        <v/>
      </c>
      <c r="E116" s="4">
        <f>IFERROR(VLOOKUP(A116,'Projects Master'!$A:$I,5,0),"")</f>
        <v/>
      </c>
      <c r="F116" s="92">
        <f>IFERROR(VLOOKUP(A116,'Projects Master'!$A:$I,6,0),"")</f>
        <v/>
      </c>
      <c r="G116" s="6">
        <f>IFERROR(VLOOKUP(A116,'Projects Master'!$A:$I,7,0),"")</f>
        <v/>
      </c>
      <c r="H116" s="6">
        <f>IFERROR(VLOOKUP(A116,'Projects Master'!$A:$I,8,0),"")</f>
        <v/>
      </c>
      <c r="I116" s="7">
        <f>IFERROR(VLOOKUP(A116,'Projects Master'!$A:$I,9,0),"")</f>
        <v/>
      </c>
      <c r="J116" s="6">
        <f>_xlfn.LET(_xlpm.t,_xlfn.MINIFS('Work Items'!P:P,'Work Items'!D:D,B116,'Work Items'!A:A,"Task"),_xlpm.b,_xlfn.MINIFS('Work Items'!P:P,'Work Items'!D:D,B116,'Work Items'!A:A,"Bug"),_xlpm.m,IF(AND(_xlpm.t=0,_xlpm.b=0),0,IF(_xlpm.t=0,_xlpm.b,IF(_xlpm.b=0,_xlpm.t,MIN(_xlpm.t,_xlpm.b)))),IF(_xlpm.m=0,G116,_xlpm.m))</f>
        <v/>
      </c>
      <c r="K116" s="6">
        <f>_xlfn.LET(_xlpm.t,_xlfn.MAXIFS('Work Items'!Q:Q,'Work Items'!D:D,B116,'Work Items'!A:A,"Task"),_xlpm.b,_xlfn.MAXIFS('Work Items'!Q:Q,'Work Items'!D:D,B116,'Work Items'!A:A,"Bug"),_xlpm.m,MAX(_xlpm.t,_xlpm.b),IF(_xlpm.m=0,H116,_xlpm.m))</f>
        <v/>
      </c>
      <c r="L116" s="8">
        <f>IFERROR(SUMIFS('Work Items'!O:O,'Work Items'!D:D,B116,'Work Items'!A:A,"Task"),0)</f>
        <v/>
      </c>
      <c r="M116" s="9">
        <f>IF(ISNUMBER(I116),I116-L116,"N/A")</f>
        <v/>
      </c>
      <c r="N116" s="10">
        <f>IF(AND(ISNUMBER(H116),K116&gt;0),INT(H116-K116),"TBD")</f>
        <v/>
      </c>
      <c r="O116" s="100">
        <f>TEXT(COUNTIFS('Work Items'!A:A,"Task",'Work Items'!D:D,B116,'Work Items'!L:L,"Completed"),"0")&amp;" / "&amp;TEXT(COUNTIFS('Work Items'!A:A,"Task",'Work Items'!D:D,B116),"0")&amp;" Tasks"</f>
        <v/>
      </c>
      <c r="P116" s="100">
        <f>TEXT(COUNTIFS('Work Items'!A:A,"Bug",'Work Items'!D:D,B116,'Work Items'!L:L,"Fixed"),"0")&amp;" / "&amp;TEXT(COUNTIFS('Work Items'!A:A,"Bug",'Work Items'!D:D,B116),"0")&amp;" Bugs"</f>
        <v/>
      </c>
      <c r="Q116" s="100">
        <f>TEXT(COUNTIFS('Work Items'!A:A,"Risk",'Work Items'!D:D,B116,'Work Items'!L:L,"Open"),"0")&amp;" Open"</f>
        <v/>
      </c>
      <c r="R116" s="100">
        <f>TEXT(COUNTIFS('Work Items'!A:A,"CR",'Work Items'!D:D,B116,'Work Items'!L:L,"Pending Approval"),"0")&amp;" Pending"</f>
        <v/>
      </c>
      <c r="S116" s="11">
        <f>IF(N116="TBD","Yellow",IF(ISNUMBER(N116),IF(N116&lt;0,"Red",IF(N116&lt;14,"Yellow","Green")),"Yellow"))</f>
        <v/>
      </c>
      <c r="T116" s="11">
        <f>IF(NOT(ISNUMBER(M116)),"Yellow",IF(M116&lt;0,"Red",IF(M116/I116&lt;0.05,"Yellow","Green")))</f>
        <v/>
      </c>
      <c r="U116" s="11">
        <f>IF(OR(S116="Red",T116="Red"),"Red",IF(OR(S116="Yellow",T116="Yellow"),"Yellow","Green"))</f>
        <v/>
      </c>
    </row>
    <row r="117">
      <c r="A117" s="2">
        <f>IFERROR(INDEX('Projects Master'!$A:$A,ROW()-1),"")</f>
        <v/>
      </c>
      <c r="B117" s="101">
        <f>IFERROR(VLOOKUP(A117,'Projects Master'!$A:$I,2,0),"")</f>
        <v/>
      </c>
      <c r="C117" s="101">
        <f>IFERROR(VLOOKUP(A117,'Projects Master'!$A:$I,3,0),"")</f>
        <v/>
      </c>
      <c r="D117" s="101">
        <f>IFERROR(VLOOKUP(A117,'Projects Master'!$A:$I,4,0),"")</f>
        <v/>
      </c>
      <c r="E117" s="4">
        <f>IFERROR(VLOOKUP(A117,'Projects Master'!$A:$I,5,0),"")</f>
        <v/>
      </c>
      <c r="F117" s="92">
        <f>IFERROR(VLOOKUP(A117,'Projects Master'!$A:$I,6,0),"")</f>
        <v/>
      </c>
      <c r="G117" s="6">
        <f>IFERROR(VLOOKUP(A117,'Projects Master'!$A:$I,7,0),"")</f>
        <v/>
      </c>
      <c r="H117" s="6">
        <f>IFERROR(VLOOKUP(A117,'Projects Master'!$A:$I,8,0),"")</f>
        <v/>
      </c>
      <c r="I117" s="7">
        <f>IFERROR(VLOOKUP(A117,'Projects Master'!$A:$I,9,0),"")</f>
        <v/>
      </c>
      <c r="J117" s="6">
        <f>_xlfn.LET(_xlpm.t,_xlfn.MINIFS('Work Items'!P:P,'Work Items'!D:D,B117,'Work Items'!A:A,"Task"),_xlpm.b,_xlfn.MINIFS('Work Items'!P:P,'Work Items'!D:D,B117,'Work Items'!A:A,"Bug"),_xlpm.m,IF(AND(_xlpm.t=0,_xlpm.b=0),0,IF(_xlpm.t=0,_xlpm.b,IF(_xlpm.b=0,_xlpm.t,MIN(_xlpm.t,_xlpm.b)))),IF(_xlpm.m=0,G117,_xlpm.m))</f>
        <v/>
      </c>
      <c r="K117" s="6">
        <f>_xlfn.LET(_xlpm.t,_xlfn.MAXIFS('Work Items'!Q:Q,'Work Items'!D:D,B117,'Work Items'!A:A,"Task"),_xlpm.b,_xlfn.MAXIFS('Work Items'!Q:Q,'Work Items'!D:D,B117,'Work Items'!A:A,"Bug"),_xlpm.m,MAX(_xlpm.t,_xlpm.b),IF(_xlpm.m=0,H117,_xlpm.m))</f>
        <v/>
      </c>
      <c r="L117" s="8">
        <f>IFERROR(SUMIFS('Work Items'!O:O,'Work Items'!D:D,B117,'Work Items'!A:A,"Task"),0)</f>
        <v/>
      </c>
      <c r="M117" s="9">
        <f>IF(ISNUMBER(I117),I117-L117,"N/A")</f>
        <v/>
      </c>
      <c r="N117" s="10">
        <f>IF(AND(ISNUMBER(H117),K117&gt;0),INT(H117-K117),"TBD")</f>
        <v/>
      </c>
      <c r="O117" s="100">
        <f>TEXT(COUNTIFS('Work Items'!A:A,"Task",'Work Items'!D:D,B117,'Work Items'!L:L,"Completed"),"0")&amp;" / "&amp;TEXT(COUNTIFS('Work Items'!A:A,"Task",'Work Items'!D:D,B117),"0")&amp;" Tasks"</f>
        <v/>
      </c>
      <c r="P117" s="100">
        <f>TEXT(COUNTIFS('Work Items'!A:A,"Bug",'Work Items'!D:D,B117,'Work Items'!L:L,"Fixed"),"0")&amp;" / "&amp;TEXT(COUNTIFS('Work Items'!A:A,"Bug",'Work Items'!D:D,B117),"0")&amp;" Bugs"</f>
        <v/>
      </c>
      <c r="Q117" s="100">
        <f>TEXT(COUNTIFS('Work Items'!A:A,"Risk",'Work Items'!D:D,B117,'Work Items'!L:L,"Open"),"0")&amp;" Open"</f>
        <v/>
      </c>
      <c r="R117" s="100">
        <f>TEXT(COUNTIFS('Work Items'!A:A,"CR",'Work Items'!D:D,B117,'Work Items'!L:L,"Pending Approval"),"0")&amp;" Pending"</f>
        <v/>
      </c>
      <c r="S117" s="11">
        <f>IF(N117="TBD","Yellow",IF(ISNUMBER(N117),IF(N117&lt;0,"Red",IF(N117&lt;14,"Yellow","Green")),"Yellow"))</f>
        <v/>
      </c>
      <c r="T117" s="11">
        <f>IF(NOT(ISNUMBER(M117)),"Yellow",IF(M117&lt;0,"Red",IF(M117/I117&lt;0.05,"Yellow","Green")))</f>
        <v/>
      </c>
      <c r="U117" s="11">
        <f>IF(OR(S117="Red",T117="Red"),"Red",IF(OR(S117="Yellow",T117="Yellow"),"Yellow","Green"))</f>
        <v/>
      </c>
    </row>
    <row r="118">
      <c r="A118" s="2">
        <f>IFERROR(INDEX('Projects Master'!$A:$A,ROW()-1),"")</f>
        <v/>
      </c>
      <c r="B118" s="101">
        <f>IFERROR(VLOOKUP(A118,'Projects Master'!$A:$I,2,0),"")</f>
        <v/>
      </c>
      <c r="C118" s="101">
        <f>IFERROR(VLOOKUP(A118,'Projects Master'!$A:$I,3,0),"")</f>
        <v/>
      </c>
      <c r="D118" s="101">
        <f>IFERROR(VLOOKUP(A118,'Projects Master'!$A:$I,4,0),"")</f>
        <v/>
      </c>
      <c r="E118" s="4">
        <f>IFERROR(VLOOKUP(A118,'Projects Master'!$A:$I,5,0),"")</f>
        <v/>
      </c>
      <c r="F118" s="92">
        <f>IFERROR(VLOOKUP(A118,'Projects Master'!$A:$I,6,0),"")</f>
        <v/>
      </c>
      <c r="G118" s="6">
        <f>IFERROR(VLOOKUP(A118,'Projects Master'!$A:$I,7,0),"")</f>
        <v/>
      </c>
      <c r="H118" s="6">
        <f>IFERROR(VLOOKUP(A118,'Projects Master'!$A:$I,8,0),"")</f>
        <v/>
      </c>
      <c r="I118" s="7">
        <f>IFERROR(VLOOKUP(A118,'Projects Master'!$A:$I,9,0),"")</f>
        <v/>
      </c>
      <c r="J118" s="6">
        <f>_xlfn.LET(_xlpm.t,_xlfn.MINIFS('Work Items'!P:P,'Work Items'!D:D,B118,'Work Items'!A:A,"Task"),_xlpm.b,_xlfn.MINIFS('Work Items'!P:P,'Work Items'!D:D,B118,'Work Items'!A:A,"Bug"),_xlpm.m,IF(AND(_xlpm.t=0,_xlpm.b=0),0,IF(_xlpm.t=0,_xlpm.b,IF(_xlpm.b=0,_xlpm.t,MIN(_xlpm.t,_xlpm.b)))),IF(_xlpm.m=0,G118,_xlpm.m))</f>
        <v/>
      </c>
      <c r="K118" s="6">
        <f>_xlfn.LET(_xlpm.t,_xlfn.MAXIFS('Work Items'!Q:Q,'Work Items'!D:D,B118,'Work Items'!A:A,"Task"),_xlpm.b,_xlfn.MAXIFS('Work Items'!Q:Q,'Work Items'!D:D,B118,'Work Items'!A:A,"Bug"),_xlpm.m,MAX(_xlpm.t,_xlpm.b),IF(_xlpm.m=0,H118,_xlpm.m))</f>
        <v/>
      </c>
      <c r="L118" s="8">
        <f>IFERROR(SUMIFS('Work Items'!O:O,'Work Items'!D:D,B118,'Work Items'!A:A,"Task"),0)</f>
        <v/>
      </c>
      <c r="M118" s="9">
        <f>IF(ISNUMBER(I118),I118-L118,"N/A")</f>
        <v/>
      </c>
      <c r="N118" s="10">
        <f>IF(AND(ISNUMBER(H118),K118&gt;0),INT(H118-K118),"TBD")</f>
        <v/>
      </c>
      <c r="O118" s="100">
        <f>TEXT(COUNTIFS('Work Items'!A:A,"Task",'Work Items'!D:D,B118,'Work Items'!L:L,"Completed"),"0")&amp;" / "&amp;TEXT(COUNTIFS('Work Items'!A:A,"Task",'Work Items'!D:D,B118),"0")&amp;" Tasks"</f>
        <v/>
      </c>
      <c r="P118" s="100">
        <f>TEXT(COUNTIFS('Work Items'!A:A,"Bug",'Work Items'!D:D,B118,'Work Items'!L:L,"Fixed"),"0")&amp;" / "&amp;TEXT(COUNTIFS('Work Items'!A:A,"Bug",'Work Items'!D:D,B118),"0")&amp;" Bugs"</f>
        <v/>
      </c>
      <c r="Q118" s="100">
        <f>TEXT(COUNTIFS('Work Items'!A:A,"Risk",'Work Items'!D:D,B118,'Work Items'!L:L,"Open"),"0")&amp;" Open"</f>
        <v/>
      </c>
      <c r="R118" s="100">
        <f>TEXT(COUNTIFS('Work Items'!A:A,"CR",'Work Items'!D:D,B118,'Work Items'!L:L,"Pending Approval"),"0")&amp;" Pending"</f>
        <v/>
      </c>
      <c r="S118" s="11">
        <f>IF(N118="TBD","Yellow",IF(ISNUMBER(N118),IF(N118&lt;0,"Red",IF(N118&lt;14,"Yellow","Green")),"Yellow"))</f>
        <v/>
      </c>
      <c r="T118" s="11">
        <f>IF(NOT(ISNUMBER(M118)),"Yellow",IF(M118&lt;0,"Red",IF(M118/I118&lt;0.05,"Yellow","Green")))</f>
        <v/>
      </c>
      <c r="U118" s="11">
        <f>IF(OR(S118="Red",T118="Red"),"Red",IF(OR(S118="Yellow",T118="Yellow"),"Yellow","Green"))</f>
        <v/>
      </c>
    </row>
    <row r="119">
      <c r="A119" s="2">
        <f>IFERROR(INDEX('Projects Master'!$A:$A,ROW()-1),"")</f>
        <v/>
      </c>
      <c r="B119" s="101">
        <f>IFERROR(VLOOKUP(A119,'Projects Master'!$A:$I,2,0),"")</f>
        <v/>
      </c>
      <c r="C119" s="101">
        <f>IFERROR(VLOOKUP(A119,'Projects Master'!$A:$I,3,0),"")</f>
        <v/>
      </c>
      <c r="D119" s="101">
        <f>IFERROR(VLOOKUP(A119,'Projects Master'!$A:$I,4,0),"")</f>
        <v/>
      </c>
      <c r="E119" s="4">
        <f>IFERROR(VLOOKUP(A119,'Projects Master'!$A:$I,5,0),"")</f>
        <v/>
      </c>
      <c r="F119" s="92">
        <f>IFERROR(VLOOKUP(A119,'Projects Master'!$A:$I,6,0),"")</f>
        <v/>
      </c>
      <c r="G119" s="6">
        <f>IFERROR(VLOOKUP(A119,'Projects Master'!$A:$I,7,0),"")</f>
        <v/>
      </c>
      <c r="H119" s="6">
        <f>IFERROR(VLOOKUP(A119,'Projects Master'!$A:$I,8,0),"")</f>
        <v/>
      </c>
      <c r="I119" s="7">
        <f>IFERROR(VLOOKUP(A119,'Projects Master'!$A:$I,9,0),"")</f>
        <v/>
      </c>
      <c r="J119" s="6">
        <f>_xlfn.LET(_xlpm.t,_xlfn.MINIFS('Work Items'!P:P,'Work Items'!D:D,B119,'Work Items'!A:A,"Task"),_xlpm.b,_xlfn.MINIFS('Work Items'!P:P,'Work Items'!D:D,B119,'Work Items'!A:A,"Bug"),_xlpm.m,IF(AND(_xlpm.t=0,_xlpm.b=0),0,IF(_xlpm.t=0,_xlpm.b,IF(_xlpm.b=0,_xlpm.t,MIN(_xlpm.t,_xlpm.b)))),IF(_xlpm.m=0,G119,_xlpm.m))</f>
        <v/>
      </c>
      <c r="K119" s="6">
        <f>_xlfn.LET(_xlpm.t,_xlfn.MAXIFS('Work Items'!Q:Q,'Work Items'!D:D,B119,'Work Items'!A:A,"Task"),_xlpm.b,_xlfn.MAXIFS('Work Items'!Q:Q,'Work Items'!D:D,B119,'Work Items'!A:A,"Bug"),_xlpm.m,MAX(_xlpm.t,_xlpm.b),IF(_xlpm.m=0,H119,_xlpm.m))</f>
        <v/>
      </c>
      <c r="L119" s="8">
        <f>IFERROR(SUMIFS('Work Items'!O:O,'Work Items'!D:D,B119,'Work Items'!A:A,"Task"),0)</f>
        <v/>
      </c>
      <c r="M119" s="9">
        <f>IF(ISNUMBER(I119),I119-L119,"N/A")</f>
        <v/>
      </c>
      <c r="N119" s="10">
        <f>IF(AND(ISNUMBER(H119),K119&gt;0),INT(H119-K119),"TBD")</f>
        <v/>
      </c>
      <c r="O119" s="100">
        <f>TEXT(COUNTIFS('Work Items'!A:A,"Task",'Work Items'!D:D,B119,'Work Items'!L:L,"Completed"),"0")&amp;" / "&amp;TEXT(COUNTIFS('Work Items'!A:A,"Task",'Work Items'!D:D,B119),"0")&amp;" Tasks"</f>
        <v/>
      </c>
      <c r="P119" s="100">
        <f>TEXT(COUNTIFS('Work Items'!A:A,"Bug",'Work Items'!D:D,B119,'Work Items'!L:L,"Fixed"),"0")&amp;" / "&amp;TEXT(COUNTIFS('Work Items'!A:A,"Bug",'Work Items'!D:D,B119),"0")&amp;" Bugs"</f>
        <v/>
      </c>
      <c r="Q119" s="100">
        <f>TEXT(COUNTIFS('Work Items'!A:A,"Risk",'Work Items'!D:D,B119,'Work Items'!L:L,"Open"),"0")&amp;" Open"</f>
        <v/>
      </c>
      <c r="R119" s="100">
        <f>TEXT(COUNTIFS('Work Items'!A:A,"CR",'Work Items'!D:D,B119,'Work Items'!L:L,"Pending Approval"),"0")&amp;" Pending"</f>
        <v/>
      </c>
      <c r="S119" s="11">
        <f>IF(N119="TBD","Yellow",IF(ISNUMBER(N119),IF(N119&lt;0,"Red",IF(N119&lt;14,"Yellow","Green")),"Yellow"))</f>
        <v/>
      </c>
      <c r="T119" s="11">
        <f>IF(NOT(ISNUMBER(M119)),"Yellow",IF(M119&lt;0,"Red",IF(M119/I119&lt;0.05,"Yellow","Green")))</f>
        <v/>
      </c>
      <c r="U119" s="11">
        <f>IF(OR(S119="Red",T119="Red"),"Red",IF(OR(S119="Yellow",T119="Yellow"),"Yellow","Green"))</f>
        <v/>
      </c>
    </row>
    <row r="120">
      <c r="A120" s="2">
        <f>IFERROR(INDEX('Projects Master'!$A:$A,ROW()-1),"")</f>
        <v/>
      </c>
      <c r="B120" s="101">
        <f>IFERROR(VLOOKUP(A120,'Projects Master'!$A:$I,2,0),"")</f>
        <v/>
      </c>
      <c r="C120" s="101">
        <f>IFERROR(VLOOKUP(A120,'Projects Master'!$A:$I,3,0),"")</f>
        <v/>
      </c>
      <c r="D120" s="101">
        <f>IFERROR(VLOOKUP(A120,'Projects Master'!$A:$I,4,0),"")</f>
        <v/>
      </c>
      <c r="E120" s="4">
        <f>IFERROR(VLOOKUP(A120,'Projects Master'!$A:$I,5,0),"")</f>
        <v/>
      </c>
      <c r="F120" s="92">
        <f>IFERROR(VLOOKUP(A120,'Projects Master'!$A:$I,6,0),"")</f>
        <v/>
      </c>
      <c r="G120" s="6">
        <f>IFERROR(VLOOKUP(A120,'Projects Master'!$A:$I,7,0),"")</f>
        <v/>
      </c>
      <c r="H120" s="6">
        <f>IFERROR(VLOOKUP(A120,'Projects Master'!$A:$I,8,0),"")</f>
        <v/>
      </c>
      <c r="I120" s="7">
        <f>IFERROR(VLOOKUP(A120,'Projects Master'!$A:$I,9,0),"")</f>
        <v/>
      </c>
      <c r="J120" s="6">
        <f>_xlfn.LET(_xlpm.t,_xlfn.MINIFS('Work Items'!P:P,'Work Items'!D:D,B120,'Work Items'!A:A,"Task"),_xlpm.b,_xlfn.MINIFS('Work Items'!P:P,'Work Items'!D:D,B120,'Work Items'!A:A,"Bug"),_xlpm.m,IF(AND(_xlpm.t=0,_xlpm.b=0),0,IF(_xlpm.t=0,_xlpm.b,IF(_xlpm.b=0,_xlpm.t,MIN(_xlpm.t,_xlpm.b)))),IF(_xlpm.m=0,G120,_xlpm.m))</f>
        <v/>
      </c>
      <c r="K120" s="6">
        <f>_xlfn.LET(_xlpm.t,_xlfn.MAXIFS('Work Items'!Q:Q,'Work Items'!D:D,B120,'Work Items'!A:A,"Task"),_xlpm.b,_xlfn.MAXIFS('Work Items'!Q:Q,'Work Items'!D:D,B120,'Work Items'!A:A,"Bug"),_xlpm.m,MAX(_xlpm.t,_xlpm.b),IF(_xlpm.m=0,H120,_xlpm.m))</f>
        <v/>
      </c>
      <c r="L120" s="8">
        <f>IFERROR(SUMIFS('Work Items'!O:O,'Work Items'!D:D,B120,'Work Items'!A:A,"Task"),0)</f>
        <v/>
      </c>
      <c r="M120" s="9">
        <f>IF(ISNUMBER(I120),I120-L120,"N/A")</f>
        <v/>
      </c>
      <c r="N120" s="10">
        <f>IF(AND(ISNUMBER(H120),K120&gt;0),INT(H120-K120),"TBD")</f>
        <v/>
      </c>
      <c r="O120" s="100">
        <f>TEXT(COUNTIFS('Work Items'!A:A,"Task",'Work Items'!D:D,B120,'Work Items'!L:L,"Completed"),"0")&amp;" / "&amp;TEXT(COUNTIFS('Work Items'!A:A,"Task",'Work Items'!D:D,B120),"0")&amp;" Tasks"</f>
        <v/>
      </c>
      <c r="P120" s="100">
        <f>TEXT(COUNTIFS('Work Items'!A:A,"Bug",'Work Items'!D:D,B120,'Work Items'!L:L,"Fixed"),"0")&amp;" / "&amp;TEXT(COUNTIFS('Work Items'!A:A,"Bug",'Work Items'!D:D,B120),"0")&amp;" Bugs"</f>
        <v/>
      </c>
      <c r="Q120" s="100">
        <f>TEXT(COUNTIFS('Work Items'!A:A,"Risk",'Work Items'!D:D,B120,'Work Items'!L:L,"Open"),"0")&amp;" Open"</f>
        <v/>
      </c>
      <c r="R120" s="100">
        <f>TEXT(COUNTIFS('Work Items'!A:A,"CR",'Work Items'!D:D,B120,'Work Items'!L:L,"Pending Approval"),"0")&amp;" Pending"</f>
        <v/>
      </c>
      <c r="S120" s="11">
        <f>IF(N120="TBD","Yellow",IF(ISNUMBER(N120),IF(N120&lt;0,"Red",IF(N120&lt;14,"Yellow","Green")),"Yellow"))</f>
        <v/>
      </c>
      <c r="T120" s="11">
        <f>IF(NOT(ISNUMBER(M120)),"Yellow",IF(M120&lt;0,"Red",IF(M120/I120&lt;0.05,"Yellow","Green")))</f>
        <v/>
      </c>
      <c r="U120" s="11">
        <f>IF(OR(S120="Red",T120="Red"),"Red",IF(OR(S120="Yellow",T120="Yellow"),"Yellow","Green"))</f>
        <v/>
      </c>
    </row>
    <row r="121">
      <c r="A121" s="2">
        <f>IFERROR(INDEX('Projects Master'!$A:$A,ROW()-1),"")</f>
        <v/>
      </c>
      <c r="B121" s="101">
        <f>IFERROR(VLOOKUP(A121,'Projects Master'!$A:$I,2,0),"")</f>
        <v/>
      </c>
      <c r="C121" s="101">
        <f>IFERROR(VLOOKUP(A121,'Projects Master'!$A:$I,3,0),"")</f>
        <v/>
      </c>
      <c r="D121" s="101">
        <f>IFERROR(VLOOKUP(A121,'Projects Master'!$A:$I,4,0),"")</f>
        <v/>
      </c>
      <c r="E121" s="4">
        <f>IFERROR(VLOOKUP(A121,'Projects Master'!$A:$I,5,0),"")</f>
        <v/>
      </c>
      <c r="F121" s="92">
        <f>IFERROR(VLOOKUP(A121,'Projects Master'!$A:$I,6,0),"")</f>
        <v/>
      </c>
      <c r="G121" s="6">
        <f>IFERROR(VLOOKUP(A121,'Projects Master'!$A:$I,7,0),"")</f>
        <v/>
      </c>
      <c r="H121" s="6">
        <f>IFERROR(VLOOKUP(A121,'Projects Master'!$A:$I,8,0),"")</f>
        <v/>
      </c>
      <c r="I121" s="7">
        <f>IFERROR(VLOOKUP(A121,'Projects Master'!$A:$I,9,0),"")</f>
        <v/>
      </c>
      <c r="J121" s="6">
        <f>_xlfn.LET(_xlpm.t,_xlfn.MINIFS('Work Items'!P:P,'Work Items'!D:D,B121,'Work Items'!A:A,"Task"),_xlpm.b,_xlfn.MINIFS('Work Items'!P:P,'Work Items'!D:D,B121,'Work Items'!A:A,"Bug"),_xlpm.m,IF(AND(_xlpm.t=0,_xlpm.b=0),0,IF(_xlpm.t=0,_xlpm.b,IF(_xlpm.b=0,_xlpm.t,MIN(_xlpm.t,_xlpm.b)))),IF(_xlpm.m=0,G121,_xlpm.m))</f>
        <v/>
      </c>
      <c r="K121" s="6">
        <f>_xlfn.LET(_xlpm.t,_xlfn.MAXIFS('Work Items'!Q:Q,'Work Items'!D:D,B121,'Work Items'!A:A,"Task"),_xlpm.b,_xlfn.MAXIFS('Work Items'!Q:Q,'Work Items'!D:D,B121,'Work Items'!A:A,"Bug"),_xlpm.m,MAX(_xlpm.t,_xlpm.b),IF(_xlpm.m=0,H121,_xlpm.m))</f>
        <v/>
      </c>
      <c r="L121" s="8">
        <f>IFERROR(SUMIFS('Work Items'!O:O,'Work Items'!D:D,B121,'Work Items'!A:A,"Task"),0)</f>
        <v/>
      </c>
      <c r="M121" s="9">
        <f>IF(ISNUMBER(I121),I121-L121,"N/A")</f>
        <v/>
      </c>
      <c r="N121" s="10">
        <f>IF(AND(ISNUMBER(H121),K121&gt;0),INT(H121-K121),"TBD")</f>
        <v/>
      </c>
      <c r="O121" s="100">
        <f>TEXT(COUNTIFS('Work Items'!A:A,"Task",'Work Items'!D:D,B121,'Work Items'!L:L,"Completed"),"0")&amp;" / "&amp;TEXT(COUNTIFS('Work Items'!A:A,"Task",'Work Items'!D:D,B121),"0")&amp;" Tasks"</f>
        <v/>
      </c>
      <c r="P121" s="100">
        <f>TEXT(COUNTIFS('Work Items'!A:A,"Bug",'Work Items'!D:D,B121,'Work Items'!L:L,"Fixed"),"0")&amp;" / "&amp;TEXT(COUNTIFS('Work Items'!A:A,"Bug",'Work Items'!D:D,B121),"0")&amp;" Bugs"</f>
        <v/>
      </c>
      <c r="Q121" s="100">
        <f>TEXT(COUNTIFS('Work Items'!A:A,"Risk",'Work Items'!D:D,B121,'Work Items'!L:L,"Open"),"0")&amp;" Open"</f>
        <v/>
      </c>
      <c r="R121" s="100">
        <f>TEXT(COUNTIFS('Work Items'!A:A,"CR",'Work Items'!D:D,B121,'Work Items'!L:L,"Pending Approval"),"0")&amp;" Pending"</f>
        <v/>
      </c>
      <c r="S121" s="11">
        <f>IF(N121="TBD","Yellow",IF(ISNUMBER(N121),IF(N121&lt;0,"Red",IF(N121&lt;14,"Yellow","Green")),"Yellow"))</f>
        <v/>
      </c>
      <c r="T121" s="11">
        <f>IF(NOT(ISNUMBER(M121)),"Yellow",IF(M121&lt;0,"Red",IF(M121/I121&lt;0.05,"Yellow","Green")))</f>
        <v/>
      </c>
      <c r="U121" s="11">
        <f>IF(OR(S121="Red",T121="Red"),"Red",IF(OR(S121="Yellow",T121="Yellow"),"Yellow","Green"))</f>
        <v/>
      </c>
    </row>
    <row r="122">
      <c r="A122" s="2">
        <f>IFERROR(INDEX('Projects Master'!$A:$A,ROW()-1),"")</f>
        <v/>
      </c>
      <c r="B122" s="101">
        <f>IFERROR(VLOOKUP(A122,'Projects Master'!$A:$I,2,0),"")</f>
        <v/>
      </c>
      <c r="C122" s="101">
        <f>IFERROR(VLOOKUP(A122,'Projects Master'!$A:$I,3,0),"")</f>
        <v/>
      </c>
      <c r="D122" s="101">
        <f>IFERROR(VLOOKUP(A122,'Projects Master'!$A:$I,4,0),"")</f>
        <v/>
      </c>
      <c r="E122" s="4">
        <f>IFERROR(VLOOKUP(A122,'Projects Master'!$A:$I,5,0),"")</f>
        <v/>
      </c>
      <c r="F122" s="92">
        <f>IFERROR(VLOOKUP(A122,'Projects Master'!$A:$I,6,0),"")</f>
        <v/>
      </c>
      <c r="G122" s="6">
        <f>IFERROR(VLOOKUP(A122,'Projects Master'!$A:$I,7,0),"")</f>
        <v/>
      </c>
      <c r="H122" s="6">
        <f>IFERROR(VLOOKUP(A122,'Projects Master'!$A:$I,8,0),"")</f>
        <v/>
      </c>
      <c r="I122" s="7">
        <f>IFERROR(VLOOKUP(A122,'Projects Master'!$A:$I,9,0),"")</f>
        <v/>
      </c>
      <c r="J122" s="6">
        <f>_xlfn.LET(_xlpm.t,_xlfn.MINIFS('Work Items'!P:P,'Work Items'!D:D,B122,'Work Items'!A:A,"Task"),_xlpm.b,_xlfn.MINIFS('Work Items'!P:P,'Work Items'!D:D,B122,'Work Items'!A:A,"Bug"),_xlpm.m,IF(AND(_xlpm.t=0,_xlpm.b=0),0,IF(_xlpm.t=0,_xlpm.b,IF(_xlpm.b=0,_xlpm.t,MIN(_xlpm.t,_xlpm.b)))),IF(_xlpm.m=0,G122,_xlpm.m))</f>
        <v/>
      </c>
      <c r="K122" s="6">
        <f>_xlfn.LET(_xlpm.t,_xlfn.MAXIFS('Work Items'!Q:Q,'Work Items'!D:D,B122,'Work Items'!A:A,"Task"),_xlpm.b,_xlfn.MAXIFS('Work Items'!Q:Q,'Work Items'!D:D,B122,'Work Items'!A:A,"Bug"),_xlpm.m,MAX(_xlpm.t,_xlpm.b),IF(_xlpm.m=0,H122,_xlpm.m))</f>
        <v/>
      </c>
      <c r="L122" s="8">
        <f>IFERROR(SUMIFS('Work Items'!O:O,'Work Items'!D:D,B122,'Work Items'!A:A,"Task"),0)</f>
        <v/>
      </c>
      <c r="M122" s="9">
        <f>IF(ISNUMBER(I122),I122-L122,"N/A")</f>
        <v/>
      </c>
      <c r="N122" s="10">
        <f>IF(AND(ISNUMBER(H122),K122&gt;0),INT(H122-K122),"TBD")</f>
        <v/>
      </c>
      <c r="O122" s="100">
        <f>TEXT(COUNTIFS('Work Items'!A:A,"Task",'Work Items'!D:D,B122,'Work Items'!L:L,"Completed"),"0")&amp;" / "&amp;TEXT(COUNTIFS('Work Items'!A:A,"Task",'Work Items'!D:D,B122),"0")&amp;" Tasks"</f>
        <v/>
      </c>
      <c r="P122" s="100">
        <f>TEXT(COUNTIFS('Work Items'!A:A,"Bug",'Work Items'!D:D,B122,'Work Items'!L:L,"Fixed"),"0")&amp;" / "&amp;TEXT(COUNTIFS('Work Items'!A:A,"Bug",'Work Items'!D:D,B122),"0")&amp;" Bugs"</f>
        <v/>
      </c>
      <c r="Q122" s="100">
        <f>TEXT(COUNTIFS('Work Items'!A:A,"Risk",'Work Items'!D:D,B122,'Work Items'!L:L,"Open"),"0")&amp;" Open"</f>
        <v/>
      </c>
      <c r="R122" s="100">
        <f>TEXT(COUNTIFS('Work Items'!A:A,"CR",'Work Items'!D:D,B122,'Work Items'!L:L,"Pending Approval"),"0")&amp;" Pending"</f>
        <v/>
      </c>
      <c r="S122" s="11">
        <f>IF(N122="TBD","Yellow",IF(ISNUMBER(N122),IF(N122&lt;0,"Red",IF(N122&lt;14,"Yellow","Green")),"Yellow"))</f>
        <v/>
      </c>
      <c r="T122" s="11">
        <f>IF(NOT(ISNUMBER(M122)),"Yellow",IF(M122&lt;0,"Red",IF(M122/I122&lt;0.05,"Yellow","Green")))</f>
        <v/>
      </c>
      <c r="U122" s="11">
        <f>IF(OR(S122="Red",T122="Red"),"Red",IF(OR(S122="Yellow",T122="Yellow"),"Yellow","Green"))</f>
        <v/>
      </c>
    </row>
    <row r="123">
      <c r="A123" s="2">
        <f>IFERROR(INDEX('Projects Master'!$A:$A,ROW()-1),"")</f>
        <v/>
      </c>
      <c r="B123" s="101">
        <f>IFERROR(VLOOKUP(A123,'Projects Master'!$A:$I,2,0),"")</f>
        <v/>
      </c>
      <c r="C123" s="101">
        <f>IFERROR(VLOOKUP(A123,'Projects Master'!$A:$I,3,0),"")</f>
        <v/>
      </c>
      <c r="D123" s="101">
        <f>IFERROR(VLOOKUP(A123,'Projects Master'!$A:$I,4,0),"")</f>
        <v/>
      </c>
      <c r="E123" s="4">
        <f>IFERROR(VLOOKUP(A123,'Projects Master'!$A:$I,5,0),"")</f>
        <v/>
      </c>
      <c r="F123" s="92">
        <f>IFERROR(VLOOKUP(A123,'Projects Master'!$A:$I,6,0),"")</f>
        <v/>
      </c>
      <c r="G123" s="6">
        <f>IFERROR(VLOOKUP(A123,'Projects Master'!$A:$I,7,0),"")</f>
        <v/>
      </c>
      <c r="H123" s="6">
        <f>IFERROR(VLOOKUP(A123,'Projects Master'!$A:$I,8,0),"")</f>
        <v/>
      </c>
      <c r="I123" s="7">
        <f>IFERROR(VLOOKUP(A123,'Projects Master'!$A:$I,9,0),"")</f>
        <v/>
      </c>
      <c r="J123" s="6">
        <f>_xlfn.LET(_xlpm.t,_xlfn.MINIFS('Work Items'!P:P,'Work Items'!D:D,B123,'Work Items'!A:A,"Task"),_xlpm.b,_xlfn.MINIFS('Work Items'!P:P,'Work Items'!D:D,B123,'Work Items'!A:A,"Bug"),_xlpm.m,IF(AND(_xlpm.t=0,_xlpm.b=0),0,IF(_xlpm.t=0,_xlpm.b,IF(_xlpm.b=0,_xlpm.t,MIN(_xlpm.t,_xlpm.b)))),IF(_xlpm.m=0,G123,_xlpm.m))</f>
        <v/>
      </c>
      <c r="K123" s="6">
        <f>_xlfn.LET(_xlpm.t,_xlfn.MAXIFS('Work Items'!Q:Q,'Work Items'!D:D,B123,'Work Items'!A:A,"Task"),_xlpm.b,_xlfn.MAXIFS('Work Items'!Q:Q,'Work Items'!D:D,B123,'Work Items'!A:A,"Bug"),_xlpm.m,MAX(_xlpm.t,_xlpm.b),IF(_xlpm.m=0,H123,_xlpm.m))</f>
        <v/>
      </c>
      <c r="L123" s="8">
        <f>IFERROR(SUMIFS('Work Items'!O:O,'Work Items'!D:D,B123,'Work Items'!A:A,"Task"),0)</f>
        <v/>
      </c>
      <c r="M123" s="9">
        <f>IF(ISNUMBER(I123),I123-L123,"N/A")</f>
        <v/>
      </c>
      <c r="N123" s="10">
        <f>IF(AND(ISNUMBER(H123),K123&gt;0),INT(H123-K123),"TBD")</f>
        <v/>
      </c>
      <c r="O123" s="100">
        <f>TEXT(COUNTIFS('Work Items'!A:A,"Task",'Work Items'!D:D,B123,'Work Items'!L:L,"Completed"),"0")&amp;" / "&amp;TEXT(COUNTIFS('Work Items'!A:A,"Task",'Work Items'!D:D,B123),"0")&amp;" Tasks"</f>
        <v/>
      </c>
      <c r="P123" s="100">
        <f>TEXT(COUNTIFS('Work Items'!A:A,"Bug",'Work Items'!D:D,B123,'Work Items'!L:L,"Fixed"),"0")&amp;" / "&amp;TEXT(COUNTIFS('Work Items'!A:A,"Bug",'Work Items'!D:D,B123),"0")&amp;" Bugs"</f>
        <v/>
      </c>
      <c r="Q123" s="100">
        <f>TEXT(COUNTIFS('Work Items'!A:A,"Risk",'Work Items'!D:D,B123,'Work Items'!L:L,"Open"),"0")&amp;" Open"</f>
        <v/>
      </c>
      <c r="R123" s="100">
        <f>TEXT(COUNTIFS('Work Items'!A:A,"CR",'Work Items'!D:D,B123,'Work Items'!L:L,"Pending Approval"),"0")&amp;" Pending"</f>
        <v/>
      </c>
      <c r="S123" s="11">
        <f>IF(N123="TBD","Yellow",IF(ISNUMBER(N123),IF(N123&lt;0,"Red",IF(N123&lt;14,"Yellow","Green")),"Yellow"))</f>
        <v/>
      </c>
      <c r="T123" s="11">
        <f>IF(NOT(ISNUMBER(M123)),"Yellow",IF(M123&lt;0,"Red",IF(M123/I123&lt;0.05,"Yellow","Green")))</f>
        <v/>
      </c>
      <c r="U123" s="11">
        <f>IF(OR(S123="Red",T123="Red"),"Red",IF(OR(S123="Yellow",T123="Yellow"),"Yellow","Green"))</f>
        <v/>
      </c>
    </row>
    <row r="124">
      <c r="A124" s="2">
        <f>IFERROR(INDEX('Projects Master'!$A:$A,ROW()-1),"")</f>
        <v/>
      </c>
      <c r="B124" s="101">
        <f>IFERROR(VLOOKUP(A124,'Projects Master'!$A:$I,2,0),"")</f>
        <v/>
      </c>
      <c r="C124" s="101">
        <f>IFERROR(VLOOKUP(A124,'Projects Master'!$A:$I,3,0),"")</f>
        <v/>
      </c>
      <c r="D124" s="101">
        <f>IFERROR(VLOOKUP(A124,'Projects Master'!$A:$I,4,0),"")</f>
        <v/>
      </c>
      <c r="E124" s="4">
        <f>IFERROR(VLOOKUP(A124,'Projects Master'!$A:$I,5,0),"")</f>
        <v/>
      </c>
      <c r="F124" s="92">
        <f>IFERROR(VLOOKUP(A124,'Projects Master'!$A:$I,6,0),"")</f>
        <v/>
      </c>
      <c r="G124" s="6">
        <f>IFERROR(VLOOKUP(A124,'Projects Master'!$A:$I,7,0),"")</f>
        <v/>
      </c>
      <c r="H124" s="6">
        <f>IFERROR(VLOOKUP(A124,'Projects Master'!$A:$I,8,0),"")</f>
        <v/>
      </c>
      <c r="I124" s="7">
        <f>IFERROR(VLOOKUP(A124,'Projects Master'!$A:$I,9,0),"")</f>
        <v/>
      </c>
      <c r="J124" s="6">
        <f>_xlfn.LET(_xlpm.t,_xlfn.MINIFS('Work Items'!P:P,'Work Items'!D:D,B124,'Work Items'!A:A,"Task"),_xlpm.b,_xlfn.MINIFS('Work Items'!P:P,'Work Items'!D:D,B124,'Work Items'!A:A,"Bug"),_xlpm.m,IF(AND(_xlpm.t=0,_xlpm.b=0),0,IF(_xlpm.t=0,_xlpm.b,IF(_xlpm.b=0,_xlpm.t,MIN(_xlpm.t,_xlpm.b)))),IF(_xlpm.m=0,G124,_xlpm.m))</f>
        <v/>
      </c>
      <c r="K124" s="6">
        <f>_xlfn.LET(_xlpm.t,_xlfn.MAXIFS('Work Items'!Q:Q,'Work Items'!D:D,B124,'Work Items'!A:A,"Task"),_xlpm.b,_xlfn.MAXIFS('Work Items'!Q:Q,'Work Items'!D:D,B124,'Work Items'!A:A,"Bug"),_xlpm.m,MAX(_xlpm.t,_xlpm.b),IF(_xlpm.m=0,H124,_xlpm.m))</f>
        <v/>
      </c>
      <c r="L124" s="8">
        <f>IFERROR(SUMIFS('Work Items'!O:O,'Work Items'!D:D,B124,'Work Items'!A:A,"Task"),0)</f>
        <v/>
      </c>
      <c r="M124" s="9">
        <f>IF(ISNUMBER(I124),I124-L124,"N/A")</f>
        <v/>
      </c>
      <c r="N124" s="10">
        <f>IF(AND(ISNUMBER(H124),K124&gt;0),INT(H124-K124),"TBD")</f>
        <v/>
      </c>
      <c r="O124" s="100">
        <f>TEXT(COUNTIFS('Work Items'!A:A,"Task",'Work Items'!D:D,B124,'Work Items'!L:L,"Completed"),"0")&amp;" / "&amp;TEXT(COUNTIFS('Work Items'!A:A,"Task",'Work Items'!D:D,B124),"0")&amp;" Tasks"</f>
        <v/>
      </c>
      <c r="P124" s="100">
        <f>TEXT(COUNTIFS('Work Items'!A:A,"Bug",'Work Items'!D:D,B124,'Work Items'!L:L,"Fixed"),"0")&amp;" / "&amp;TEXT(COUNTIFS('Work Items'!A:A,"Bug",'Work Items'!D:D,B124),"0")&amp;" Bugs"</f>
        <v/>
      </c>
      <c r="Q124" s="100">
        <f>TEXT(COUNTIFS('Work Items'!A:A,"Risk",'Work Items'!D:D,B124,'Work Items'!L:L,"Open"),"0")&amp;" Open"</f>
        <v/>
      </c>
      <c r="R124" s="100">
        <f>TEXT(COUNTIFS('Work Items'!A:A,"CR",'Work Items'!D:D,B124,'Work Items'!L:L,"Pending Approval"),"0")&amp;" Pending"</f>
        <v/>
      </c>
      <c r="S124" s="11">
        <f>IF(N124="TBD","Yellow",IF(ISNUMBER(N124),IF(N124&lt;0,"Red",IF(N124&lt;14,"Yellow","Green")),"Yellow"))</f>
        <v/>
      </c>
      <c r="T124" s="11">
        <f>IF(NOT(ISNUMBER(M124)),"Yellow",IF(M124&lt;0,"Red",IF(M124/I124&lt;0.05,"Yellow","Green")))</f>
        <v/>
      </c>
      <c r="U124" s="11">
        <f>IF(OR(S124="Red",T124="Red"),"Red",IF(OR(S124="Yellow",T124="Yellow"),"Yellow","Green"))</f>
        <v/>
      </c>
    </row>
    <row r="125">
      <c r="A125" s="2">
        <f>IFERROR(INDEX('Projects Master'!$A:$A,ROW()-1),"")</f>
        <v/>
      </c>
      <c r="B125" s="101">
        <f>IFERROR(VLOOKUP(A125,'Projects Master'!$A:$I,2,0),"")</f>
        <v/>
      </c>
      <c r="C125" s="101">
        <f>IFERROR(VLOOKUP(A125,'Projects Master'!$A:$I,3,0),"")</f>
        <v/>
      </c>
      <c r="D125" s="101">
        <f>IFERROR(VLOOKUP(A125,'Projects Master'!$A:$I,4,0),"")</f>
        <v/>
      </c>
      <c r="E125" s="4">
        <f>IFERROR(VLOOKUP(A125,'Projects Master'!$A:$I,5,0),"")</f>
        <v/>
      </c>
      <c r="F125" s="92">
        <f>IFERROR(VLOOKUP(A125,'Projects Master'!$A:$I,6,0),"")</f>
        <v/>
      </c>
      <c r="G125" s="6">
        <f>IFERROR(VLOOKUP(A125,'Projects Master'!$A:$I,7,0),"")</f>
        <v/>
      </c>
      <c r="H125" s="6">
        <f>IFERROR(VLOOKUP(A125,'Projects Master'!$A:$I,8,0),"")</f>
        <v/>
      </c>
      <c r="I125" s="7">
        <f>IFERROR(VLOOKUP(A125,'Projects Master'!$A:$I,9,0),"")</f>
        <v/>
      </c>
      <c r="J125" s="6">
        <f>_xlfn.LET(_xlpm.t,_xlfn.MINIFS('Work Items'!P:P,'Work Items'!D:D,B125,'Work Items'!A:A,"Task"),_xlpm.b,_xlfn.MINIFS('Work Items'!P:P,'Work Items'!D:D,B125,'Work Items'!A:A,"Bug"),_xlpm.m,IF(AND(_xlpm.t=0,_xlpm.b=0),0,IF(_xlpm.t=0,_xlpm.b,IF(_xlpm.b=0,_xlpm.t,MIN(_xlpm.t,_xlpm.b)))),IF(_xlpm.m=0,G125,_xlpm.m))</f>
        <v/>
      </c>
      <c r="K125" s="6">
        <f>_xlfn.LET(_xlpm.t,_xlfn.MAXIFS('Work Items'!Q:Q,'Work Items'!D:D,B125,'Work Items'!A:A,"Task"),_xlpm.b,_xlfn.MAXIFS('Work Items'!Q:Q,'Work Items'!D:D,B125,'Work Items'!A:A,"Bug"),_xlpm.m,MAX(_xlpm.t,_xlpm.b),IF(_xlpm.m=0,H125,_xlpm.m))</f>
        <v/>
      </c>
      <c r="L125" s="8">
        <f>IFERROR(SUMIFS('Work Items'!O:O,'Work Items'!D:D,B125,'Work Items'!A:A,"Task"),0)</f>
        <v/>
      </c>
      <c r="M125" s="9">
        <f>IF(ISNUMBER(I125),I125-L125,"N/A")</f>
        <v/>
      </c>
      <c r="N125" s="10">
        <f>IF(AND(ISNUMBER(H125),K125&gt;0),INT(H125-K125),"TBD")</f>
        <v/>
      </c>
      <c r="O125" s="100">
        <f>TEXT(COUNTIFS('Work Items'!A:A,"Task",'Work Items'!D:D,B125,'Work Items'!L:L,"Completed"),"0")&amp;" / "&amp;TEXT(COUNTIFS('Work Items'!A:A,"Task",'Work Items'!D:D,B125),"0")&amp;" Tasks"</f>
        <v/>
      </c>
      <c r="P125" s="100">
        <f>TEXT(COUNTIFS('Work Items'!A:A,"Bug",'Work Items'!D:D,B125,'Work Items'!L:L,"Fixed"),"0")&amp;" / "&amp;TEXT(COUNTIFS('Work Items'!A:A,"Bug",'Work Items'!D:D,B125),"0")&amp;" Bugs"</f>
        <v/>
      </c>
      <c r="Q125" s="100">
        <f>TEXT(COUNTIFS('Work Items'!A:A,"Risk",'Work Items'!D:D,B125,'Work Items'!L:L,"Open"),"0")&amp;" Open"</f>
        <v/>
      </c>
      <c r="R125" s="100">
        <f>TEXT(COUNTIFS('Work Items'!A:A,"CR",'Work Items'!D:D,B125,'Work Items'!L:L,"Pending Approval"),"0")&amp;" Pending"</f>
        <v/>
      </c>
      <c r="S125" s="11">
        <f>IF(N125="TBD","Yellow",IF(ISNUMBER(N125),IF(N125&lt;0,"Red",IF(N125&lt;14,"Yellow","Green")),"Yellow"))</f>
        <v/>
      </c>
      <c r="T125" s="11">
        <f>IF(NOT(ISNUMBER(M125)),"Yellow",IF(M125&lt;0,"Red",IF(M125/I125&lt;0.05,"Yellow","Green")))</f>
        <v/>
      </c>
      <c r="U125" s="11">
        <f>IF(OR(S125="Red",T125="Red"),"Red",IF(OR(S125="Yellow",T125="Yellow"),"Yellow","Green"))</f>
        <v/>
      </c>
    </row>
    <row r="126">
      <c r="A126" s="2">
        <f>IFERROR(INDEX('Projects Master'!$A:$A,ROW()-1),"")</f>
        <v/>
      </c>
      <c r="B126" s="101">
        <f>IFERROR(VLOOKUP(A126,'Projects Master'!$A:$I,2,0),"")</f>
        <v/>
      </c>
      <c r="C126" s="101">
        <f>IFERROR(VLOOKUP(A126,'Projects Master'!$A:$I,3,0),"")</f>
        <v/>
      </c>
      <c r="D126" s="101">
        <f>IFERROR(VLOOKUP(A126,'Projects Master'!$A:$I,4,0),"")</f>
        <v/>
      </c>
      <c r="E126" s="4">
        <f>IFERROR(VLOOKUP(A126,'Projects Master'!$A:$I,5,0),"")</f>
        <v/>
      </c>
      <c r="F126" s="92">
        <f>IFERROR(VLOOKUP(A126,'Projects Master'!$A:$I,6,0),"")</f>
        <v/>
      </c>
      <c r="G126" s="6">
        <f>IFERROR(VLOOKUP(A126,'Projects Master'!$A:$I,7,0),"")</f>
        <v/>
      </c>
      <c r="H126" s="6">
        <f>IFERROR(VLOOKUP(A126,'Projects Master'!$A:$I,8,0),"")</f>
        <v/>
      </c>
      <c r="I126" s="7">
        <f>IFERROR(VLOOKUP(A126,'Projects Master'!$A:$I,9,0),"")</f>
        <v/>
      </c>
      <c r="J126" s="6">
        <f>_xlfn.LET(_xlpm.t,_xlfn.MINIFS('Work Items'!P:P,'Work Items'!D:D,B126,'Work Items'!A:A,"Task"),_xlpm.b,_xlfn.MINIFS('Work Items'!P:P,'Work Items'!D:D,B126,'Work Items'!A:A,"Bug"),_xlpm.m,IF(AND(_xlpm.t=0,_xlpm.b=0),0,IF(_xlpm.t=0,_xlpm.b,IF(_xlpm.b=0,_xlpm.t,MIN(_xlpm.t,_xlpm.b)))),IF(_xlpm.m=0,G126,_xlpm.m))</f>
        <v/>
      </c>
      <c r="K126" s="6">
        <f>_xlfn.LET(_xlpm.t,_xlfn.MAXIFS('Work Items'!Q:Q,'Work Items'!D:D,B126,'Work Items'!A:A,"Task"),_xlpm.b,_xlfn.MAXIFS('Work Items'!Q:Q,'Work Items'!D:D,B126,'Work Items'!A:A,"Bug"),_xlpm.m,MAX(_xlpm.t,_xlpm.b),IF(_xlpm.m=0,H126,_xlpm.m))</f>
        <v/>
      </c>
      <c r="L126" s="8">
        <f>IFERROR(SUMIFS('Work Items'!O:O,'Work Items'!D:D,B126,'Work Items'!A:A,"Task"),0)</f>
        <v/>
      </c>
      <c r="M126" s="9">
        <f>IF(ISNUMBER(I126),I126-L126,"N/A")</f>
        <v/>
      </c>
      <c r="N126" s="10">
        <f>IF(AND(ISNUMBER(H126),K126&gt;0),INT(H126-K126),"TBD")</f>
        <v/>
      </c>
      <c r="O126" s="100">
        <f>TEXT(COUNTIFS('Work Items'!A:A,"Task",'Work Items'!D:D,B126,'Work Items'!L:L,"Completed"),"0")&amp;" / "&amp;TEXT(COUNTIFS('Work Items'!A:A,"Task",'Work Items'!D:D,B126),"0")&amp;" Tasks"</f>
        <v/>
      </c>
      <c r="P126" s="100">
        <f>TEXT(COUNTIFS('Work Items'!A:A,"Bug",'Work Items'!D:D,B126,'Work Items'!L:L,"Fixed"),"0")&amp;" / "&amp;TEXT(COUNTIFS('Work Items'!A:A,"Bug",'Work Items'!D:D,B126),"0")&amp;" Bugs"</f>
        <v/>
      </c>
      <c r="Q126" s="100">
        <f>TEXT(COUNTIFS('Work Items'!A:A,"Risk",'Work Items'!D:D,B126,'Work Items'!L:L,"Open"),"0")&amp;" Open"</f>
        <v/>
      </c>
      <c r="R126" s="100">
        <f>TEXT(COUNTIFS('Work Items'!A:A,"CR",'Work Items'!D:D,B126,'Work Items'!L:L,"Pending Approval"),"0")&amp;" Pending"</f>
        <v/>
      </c>
      <c r="S126" s="11">
        <f>IF(N126="TBD","Yellow",IF(ISNUMBER(N126),IF(N126&lt;0,"Red",IF(N126&lt;14,"Yellow","Green")),"Yellow"))</f>
        <v/>
      </c>
      <c r="T126" s="11">
        <f>IF(NOT(ISNUMBER(M126)),"Yellow",IF(M126&lt;0,"Red",IF(M126/I126&lt;0.05,"Yellow","Green")))</f>
        <v/>
      </c>
      <c r="U126" s="11">
        <f>IF(OR(S126="Red",T126="Red"),"Red",IF(OR(S126="Yellow",T126="Yellow"),"Yellow","Green"))</f>
        <v/>
      </c>
    </row>
    <row r="127">
      <c r="A127" s="2">
        <f>IFERROR(INDEX('Projects Master'!$A:$A,ROW()-1),"")</f>
        <v/>
      </c>
      <c r="B127" s="101">
        <f>IFERROR(VLOOKUP(A127,'Projects Master'!$A:$I,2,0),"")</f>
        <v/>
      </c>
      <c r="C127" s="101">
        <f>IFERROR(VLOOKUP(A127,'Projects Master'!$A:$I,3,0),"")</f>
        <v/>
      </c>
      <c r="D127" s="101">
        <f>IFERROR(VLOOKUP(A127,'Projects Master'!$A:$I,4,0),"")</f>
        <v/>
      </c>
      <c r="E127" s="4">
        <f>IFERROR(VLOOKUP(A127,'Projects Master'!$A:$I,5,0),"")</f>
        <v/>
      </c>
      <c r="F127" s="92">
        <f>IFERROR(VLOOKUP(A127,'Projects Master'!$A:$I,6,0),"")</f>
        <v/>
      </c>
      <c r="G127" s="6">
        <f>IFERROR(VLOOKUP(A127,'Projects Master'!$A:$I,7,0),"")</f>
        <v/>
      </c>
      <c r="H127" s="6">
        <f>IFERROR(VLOOKUP(A127,'Projects Master'!$A:$I,8,0),"")</f>
        <v/>
      </c>
      <c r="I127" s="7">
        <f>IFERROR(VLOOKUP(A127,'Projects Master'!$A:$I,9,0),"")</f>
        <v/>
      </c>
      <c r="J127" s="6">
        <f>_xlfn.LET(_xlpm.t,_xlfn.MINIFS('Work Items'!P:P,'Work Items'!D:D,B127,'Work Items'!A:A,"Task"),_xlpm.b,_xlfn.MINIFS('Work Items'!P:P,'Work Items'!D:D,B127,'Work Items'!A:A,"Bug"),_xlpm.m,IF(AND(_xlpm.t=0,_xlpm.b=0),0,IF(_xlpm.t=0,_xlpm.b,IF(_xlpm.b=0,_xlpm.t,MIN(_xlpm.t,_xlpm.b)))),IF(_xlpm.m=0,G127,_xlpm.m))</f>
        <v/>
      </c>
      <c r="K127" s="6">
        <f>_xlfn.LET(_xlpm.t,_xlfn.MAXIFS('Work Items'!Q:Q,'Work Items'!D:D,B127,'Work Items'!A:A,"Task"),_xlpm.b,_xlfn.MAXIFS('Work Items'!Q:Q,'Work Items'!D:D,B127,'Work Items'!A:A,"Bug"),_xlpm.m,MAX(_xlpm.t,_xlpm.b),IF(_xlpm.m=0,H127,_xlpm.m))</f>
        <v/>
      </c>
      <c r="L127" s="8">
        <f>IFERROR(SUMIFS('Work Items'!O:O,'Work Items'!D:D,B127,'Work Items'!A:A,"Task"),0)</f>
        <v/>
      </c>
      <c r="M127" s="9">
        <f>IF(ISNUMBER(I127),I127-L127,"N/A")</f>
        <v/>
      </c>
      <c r="N127" s="10">
        <f>IF(AND(ISNUMBER(H127),K127&gt;0),INT(H127-K127),"TBD")</f>
        <v/>
      </c>
      <c r="O127" s="100">
        <f>TEXT(COUNTIFS('Work Items'!A:A,"Task",'Work Items'!D:D,B127,'Work Items'!L:L,"Completed"),"0")&amp;" / "&amp;TEXT(COUNTIFS('Work Items'!A:A,"Task",'Work Items'!D:D,B127),"0")&amp;" Tasks"</f>
        <v/>
      </c>
      <c r="P127" s="100">
        <f>TEXT(COUNTIFS('Work Items'!A:A,"Bug",'Work Items'!D:D,B127,'Work Items'!L:L,"Fixed"),"0")&amp;" / "&amp;TEXT(COUNTIFS('Work Items'!A:A,"Bug",'Work Items'!D:D,B127),"0")&amp;" Bugs"</f>
        <v/>
      </c>
      <c r="Q127" s="100">
        <f>TEXT(COUNTIFS('Work Items'!A:A,"Risk",'Work Items'!D:D,B127,'Work Items'!L:L,"Open"),"0")&amp;" Open"</f>
        <v/>
      </c>
      <c r="R127" s="100">
        <f>TEXT(COUNTIFS('Work Items'!A:A,"CR",'Work Items'!D:D,B127,'Work Items'!L:L,"Pending Approval"),"0")&amp;" Pending"</f>
        <v/>
      </c>
      <c r="S127" s="11">
        <f>IF(N127="TBD","Yellow",IF(ISNUMBER(N127),IF(N127&lt;0,"Red",IF(N127&lt;14,"Yellow","Green")),"Yellow"))</f>
        <v/>
      </c>
      <c r="T127" s="11">
        <f>IF(NOT(ISNUMBER(M127)),"Yellow",IF(M127&lt;0,"Red",IF(M127/I127&lt;0.05,"Yellow","Green")))</f>
        <v/>
      </c>
      <c r="U127" s="11">
        <f>IF(OR(S127="Red",T127="Red"),"Red",IF(OR(S127="Yellow",T127="Yellow"),"Yellow","Green"))</f>
        <v/>
      </c>
    </row>
    <row r="128">
      <c r="A128" s="2">
        <f>IFERROR(INDEX('Projects Master'!$A:$A,ROW()-1),"")</f>
        <v/>
      </c>
      <c r="B128" s="101">
        <f>IFERROR(VLOOKUP(A128,'Projects Master'!$A:$I,2,0),"")</f>
        <v/>
      </c>
      <c r="C128" s="101">
        <f>IFERROR(VLOOKUP(A128,'Projects Master'!$A:$I,3,0),"")</f>
        <v/>
      </c>
      <c r="D128" s="101">
        <f>IFERROR(VLOOKUP(A128,'Projects Master'!$A:$I,4,0),"")</f>
        <v/>
      </c>
      <c r="E128" s="4">
        <f>IFERROR(VLOOKUP(A128,'Projects Master'!$A:$I,5,0),"")</f>
        <v/>
      </c>
      <c r="F128" s="92">
        <f>IFERROR(VLOOKUP(A128,'Projects Master'!$A:$I,6,0),"")</f>
        <v/>
      </c>
      <c r="G128" s="6">
        <f>IFERROR(VLOOKUP(A128,'Projects Master'!$A:$I,7,0),"")</f>
        <v/>
      </c>
      <c r="H128" s="6">
        <f>IFERROR(VLOOKUP(A128,'Projects Master'!$A:$I,8,0),"")</f>
        <v/>
      </c>
      <c r="I128" s="7">
        <f>IFERROR(VLOOKUP(A128,'Projects Master'!$A:$I,9,0),"")</f>
        <v/>
      </c>
      <c r="J128" s="6">
        <f>_xlfn.LET(_xlpm.t,_xlfn.MINIFS('Work Items'!P:P,'Work Items'!D:D,B128,'Work Items'!A:A,"Task"),_xlpm.b,_xlfn.MINIFS('Work Items'!P:P,'Work Items'!D:D,B128,'Work Items'!A:A,"Bug"),_xlpm.m,IF(AND(_xlpm.t=0,_xlpm.b=0),0,IF(_xlpm.t=0,_xlpm.b,IF(_xlpm.b=0,_xlpm.t,MIN(_xlpm.t,_xlpm.b)))),IF(_xlpm.m=0,G128,_xlpm.m))</f>
        <v/>
      </c>
      <c r="K128" s="6">
        <f>_xlfn.LET(_xlpm.t,_xlfn.MAXIFS('Work Items'!Q:Q,'Work Items'!D:D,B128,'Work Items'!A:A,"Task"),_xlpm.b,_xlfn.MAXIFS('Work Items'!Q:Q,'Work Items'!D:D,B128,'Work Items'!A:A,"Bug"),_xlpm.m,MAX(_xlpm.t,_xlpm.b),IF(_xlpm.m=0,H128,_xlpm.m))</f>
        <v/>
      </c>
      <c r="L128" s="8">
        <f>IFERROR(SUMIFS('Work Items'!O:O,'Work Items'!D:D,B128,'Work Items'!A:A,"Task"),0)</f>
        <v/>
      </c>
      <c r="M128" s="9">
        <f>IF(ISNUMBER(I128),I128-L128,"N/A")</f>
        <v/>
      </c>
      <c r="N128" s="10">
        <f>IF(AND(ISNUMBER(H128),K128&gt;0),INT(H128-K128),"TBD")</f>
        <v/>
      </c>
      <c r="O128" s="100">
        <f>TEXT(COUNTIFS('Work Items'!A:A,"Task",'Work Items'!D:D,B128,'Work Items'!L:L,"Completed"),"0")&amp;" / "&amp;TEXT(COUNTIFS('Work Items'!A:A,"Task",'Work Items'!D:D,B128),"0")&amp;" Tasks"</f>
        <v/>
      </c>
      <c r="P128" s="100">
        <f>TEXT(COUNTIFS('Work Items'!A:A,"Bug",'Work Items'!D:D,B128,'Work Items'!L:L,"Fixed"),"0")&amp;" / "&amp;TEXT(COUNTIFS('Work Items'!A:A,"Bug",'Work Items'!D:D,B128),"0")&amp;" Bugs"</f>
        <v/>
      </c>
      <c r="Q128" s="100">
        <f>TEXT(COUNTIFS('Work Items'!A:A,"Risk",'Work Items'!D:D,B128,'Work Items'!L:L,"Open"),"0")&amp;" Open"</f>
        <v/>
      </c>
      <c r="R128" s="100">
        <f>TEXT(COUNTIFS('Work Items'!A:A,"CR",'Work Items'!D:D,B128,'Work Items'!L:L,"Pending Approval"),"0")&amp;" Pending"</f>
        <v/>
      </c>
      <c r="S128" s="11">
        <f>IF(N128="TBD","Yellow",IF(ISNUMBER(N128),IF(N128&lt;0,"Red",IF(N128&lt;14,"Yellow","Green")),"Yellow"))</f>
        <v/>
      </c>
      <c r="T128" s="11">
        <f>IF(NOT(ISNUMBER(M128)),"Yellow",IF(M128&lt;0,"Red",IF(M128/I128&lt;0.05,"Yellow","Green")))</f>
        <v/>
      </c>
      <c r="U128" s="11">
        <f>IF(OR(S128="Red",T128="Red"),"Red",IF(OR(S128="Yellow",T128="Yellow"),"Yellow","Green"))</f>
        <v/>
      </c>
    </row>
    <row r="129">
      <c r="A129" s="2">
        <f>IFERROR(INDEX('Projects Master'!$A:$A,ROW()-1),"")</f>
        <v/>
      </c>
      <c r="B129" s="101">
        <f>IFERROR(VLOOKUP(A129,'Projects Master'!$A:$I,2,0),"")</f>
        <v/>
      </c>
      <c r="C129" s="101">
        <f>IFERROR(VLOOKUP(A129,'Projects Master'!$A:$I,3,0),"")</f>
        <v/>
      </c>
      <c r="D129" s="101">
        <f>IFERROR(VLOOKUP(A129,'Projects Master'!$A:$I,4,0),"")</f>
        <v/>
      </c>
      <c r="E129" s="4">
        <f>IFERROR(VLOOKUP(A129,'Projects Master'!$A:$I,5,0),"")</f>
        <v/>
      </c>
      <c r="F129" s="92">
        <f>IFERROR(VLOOKUP(A129,'Projects Master'!$A:$I,6,0),"")</f>
        <v/>
      </c>
      <c r="G129" s="6">
        <f>IFERROR(VLOOKUP(A129,'Projects Master'!$A:$I,7,0),"")</f>
        <v/>
      </c>
      <c r="H129" s="6">
        <f>IFERROR(VLOOKUP(A129,'Projects Master'!$A:$I,8,0),"")</f>
        <v/>
      </c>
      <c r="I129" s="7">
        <f>IFERROR(VLOOKUP(A129,'Projects Master'!$A:$I,9,0),"")</f>
        <v/>
      </c>
      <c r="J129" s="6">
        <f>_xlfn.LET(_xlpm.t,_xlfn.MINIFS('Work Items'!P:P,'Work Items'!D:D,B129,'Work Items'!A:A,"Task"),_xlpm.b,_xlfn.MINIFS('Work Items'!P:P,'Work Items'!D:D,B129,'Work Items'!A:A,"Bug"),_xlpm.m,IF(AND(_xlpm.t=0,_xlpm.b=0),0,IF(_xlpm.t=0,_xlpm.b,IF(_xlpm.b=0,_xlpm.t,MIN(_xlpm.t,_xlpm.b)))),IF(_xlpm.m=0,G129,_xlpm.m))</f>
        <v/>
      </c>
      <c r="K129" s="6">
        <f>_xlfn.LET(_xlpm.t,_xlfn.MAXIFS('Work Items'!Q:Q,'Work Items'!D:D,B129,'Work Items'!A:A,"Task"),_xlpm.b,_xlfn.MAXIFS('Work Items'!Q:Q,'Work Items'!D:D,B129,'Work Items'!A:A,"Bug"),_xlpm.m,MAX(_xlpm.t,_xlpm.b),IF(_xlpm.m=0,H129,_xlpm.m))</f>
        <v/>
      </c>
      <c r="L129" s="8">
        <f>IFERROR(SUMIFS('Work Items'!O:O,'Work Items'!D:D,B129,'Work Items'!A:A,"Task"),0)</f>
        <v/>
      </c>
      <c r="M129" s="9">
        <f>IF(ISNUMBER(I129),I129-L129,"N/A")</f>
        <v/>
      </c>
      <c r="N129" s="10">
        <f>IF(AND(ISNUMBER(H129),K129&gt;0),INT(H129-K129),"TBD")</f>
        <v/>
      </c>
      <c r="O129" s="100">
        <f>TEXT(COUNTIFS('Work Items'!A:A,"Task",'Work Items'!D:D,B129,'Work Items'!L:L,"Completed"),"0")&amp;" / "&amp;TEXT(COUNTIFS('Work Items'!A:A,"Task",'Work Items'!D:D,B129),"0")&amp;" Tasks"</f>
        <v/>
      </c>
      <c r="P129" s="100">
        <f>TEXT(COUNTIFS('Work Items'!A:A,"Bug",'Work Items'!D:D,B129,'Work Items'!L:L,"Fixed"),"0")&amp;" / "&amp;TEXT(COUNTIFS('Work Items'!A:A,"Bug",'Work Items'!D:D,B129),"0")&amp;" Bugs"</f>
        <v/>
      </c>
      <c r="Q129" s="100">
        <f>TEXT(COUNTIFS('Work Items'!A:A,"Risk",'Work Items'!D:D,B129,'Work Items'!L:L,"Open"),"0")&amp;" Open"</f>
        <v/>
      </c>
      <c r="R129" s="100">
        <f>TEXT(COUNTIFS('Work Items'!A:A,"CR",'Work Items'!D:D,B129,'Work Items'!L:L,"Pending Approval"),"0")&amp;" Pending"</f>
        <v/>
      </c>
      <c r="S129" s="11">
        <f>IF(N129="TBD","Yellow",IF(ISNUMBER(N129),IF(N129&lt;0,"Red",IF(N129&lt;14,"Yellow","Green")),"Yellow"))</f>
        <v/>
      </c>
      <c r="T129" s="11">
        <f>IF(NOT(ISNUMBER(M129)),"Yellow",IF(M129&lt;0,"Red",IF(M129/I129&lt;0.05,"Yellow","Green")))</f>
        <v/>
      </c>
      <c r="U129" s="11">
        <f>IF(OR(S129="Red",T129="Red"),"Red",IF(OR(S129="Yellow",T129="Yellow"),"Yellow","Green"))</f>
        <v/>
      </c>
    </row>
    <row r="130">
      <c r="A130" s="2">
        <f>IFERROR(INDEX('Projects Master'!$A:$A,ROW()-1),"")</f>
        <v/>
      </c>
      <c r="B130" s="101">
        <f>IFERROR(VLOOKUP(A130,'Projects Master'!$A:$I,2,0),"")</f>
        <v/>
      </c>
      <c r="C130" s="101">
        <f>IFERROR(VLOOKUP(A130,'Projects Master'!$A:$I,3,0),"")</f>
        <v/>
      </c>
      <c r="D130" s="101">
        <f>IFERROR(VLOOKUP(A130,'Projects Master'!$A:$I,4,0),"")</f>
        <v/>
      </c>
      <c r="E130" s="4">
        <f>IFERROR(VLOOKUP(A130,'Projects Master'!$A:$I,5,0),"")</f>
        <v/>
      </c>
      <c r="F130" s="92">
        <f>IFERROR(VLOOKUP(A130,'Projects Master'!$A:$I,6,0),"")</f>
        <v/>
      </c>
      <c r="G130" s="6">
        <f>IFERROR(VLOOKUP(A130,'Projects Master'!$A:$I,7,0),"")</f>
        <v/>
      </c>
      <c r="H130" s="6">
        <f>IFERROR(VLOOKUP(A130,'Projects Master'!$A:$I,8,0),"")</f>
        <v/>
      </c>
      <c r="I130" s="7">
        <f>IFERROR(VLOOKUP(A130,'Projects Master'!$A:$I,9,0),"")</f>
        <v/>
      </c>
      <c r="J130" s="6">
        <f>_xlfn.LET(_xlpm.t,_xlfn.MINIFS('Work Items'!P:P,'Work Items'!D:D,B130,'Work Items'!A:A,"Task"),_xlpm.b,_xlfn.MINIFS('Work Items'!P:P,'Work Items'!D:D,B130,'Work Items'!A:A,"Bug"),_xlpm.m,IF(AND(_xlpm.t=0,_xlpm.b=0),0,IF(_xlpm.t=0,_xlpm.b,IF(_xlpm.b=0,_xlpm.t,MIN(_xlpm.t,_xlpm.b)))),IF(_xlpm.m=0,G130,_xlpm.m))</f>
        <v/>
      </c>
      <c r="K130" s="6">
        <f>_xlfn.LET(_xlpm.t,_xlfn.MAXIFS('Work Items'!Q:Q,'Work Items'!D:D,B130,'Work Items'!A:A,"Task"),_xlpm.b,_xlfn.MAXIFS('Work Items'!Q:Q,'Work Items'!D:D,B130,'Work Items'!A:A,"Bug"),_xlpm.m,MAX(_xlpm.t,_xlpm.b),IF(_xlpm.m=0,H130,_xlpm.m))</f>
        <v/>
      </c>
      <c r="L130" s="8">
        <f>IFERROR(SUMIFS('Work Items'!O:O,'Work Items'!D:D,B130,'Work Items'!A:A,"Task"),0)</f>
        <v/>
      </c>
      <c r="M130" s="9">
        <f>IF(ISNUMBER(I130),I130-L130,"N/A")</f>
        <v/>
      </c>
      <c r="N130" s="10">
        <f>IF(AND(ISNUMBER(H130),K130&gt;0),INT(H130-K130),"TBD")</f>
        <v/>
      </c>
      <c r="O130" s="100">
        <f>TEXT(COUNTIFS('Work Items'!A:A,"Task",'Work Items'!D:D,B130,'Work Items'!L:L,"Completed"),"0")&amp;" / "&amp;TEXT(COUNTIFS('Work Items'!A:A,"Task",'Work Items'!D:D,B130),"0")&amp;" Tasks"</f>
        <v/>
      </c>
      <c r="P130" s="100">
        <f>TEXT(COUNTIFS('Work Items'!A:A,"Bug",'Work Items'!D:D,B130,'Work Items'!L:L,"Fixed"),"0")&amp;" / "&amp;TEXT(COUNTIFS('Work Items'!A:A,"Bug",'Work Items'!D:D,B130),"0")&amp;" Bugs"</f>
        <v/>
      </c>
      <c r="Q130" s="100">
        <f>TEXT(COUNTIFS('Work Items'!A:A,"Risk",'Work Items'!D:D,B130,'Work Items'!L:L,"Open"),"0")&amp;" Open"</f>
        <v/>
      </c>
      <c r="R130" s="100">
        <f>TEXT(COUNTIFS('Work Items'!A:A,"CR",'Work Items'!D:D,B130,'Work Items'!L:L,"Pending Approval"),"0")&amp;" Pending"</f>
        <v/>
      </c>
      <c r="S130" s="11">
        <f>IF(N130="TBD","Yellow",IF(ISNUMBER(N130),IF(N130&lt;0,"Red",IF(N130&lt;14,"Yellow","Green")),"Yellow"))</f>
        <v/>
      </c>
      <c r="T130" s="11">
        <f>IF(NOT(ISNUMBER(M130)),"Yellow",IF(M130&lt;0,"Red",IF(M130/I130&lt;0.05,"Yellow","Green")))</f>
        <v/>
      </c>
      <c r="U130" s="11">
        <f>IF(OR(S130="Red",T130="Red"),"Red",IF(OR(S130="Yellow",T130="Yellow"),"Yellow","Green"))</f>
        <v/>
      </c>
    </row>
    <row r="131">
      <c r="A131" s="2">
        <f>IFERROR(INDEX('Projects Master'!$A:$A,ROW()-1),"")</f>
        <v/>
      </c>
      <c r="B131" s="101">
        <f>IFERROR(VLOOKUP(A131,'Projects Master'!$A:$I,2,0),"")</f>
        <v/>
      </c>
      <c r="C131" s="101">
        <f>IFERROR(VLOOKUP(A131,'Projects Master'!$A:$I,3,0),"")</f>
        <v/>
      </c>
      <c r="D131" s="101">
        <f>IFERROR(VLOOKUP(A131,'Projects Master'!$A:$I,4,0),"")</f>
        <v/>
      </c>
      <c r="E131" s="4">
        <f>IFERROR(VLOOKUP(A131,'Projects Master'!$A:$I,5,0),"")</f>
        <v/>
      </c>
      <c r="F131" s="92">
        <f>IFERROR(VLOOKUP(A131,'Projects Master'!$A:$I,6,0),"")</f>
        <v/>
      </c>
      <c r="G131" s="6">
        <f>IFERROR(VLOOKUP(A131,'Projects Master'!$A:$I,7,0),"")</f>
        <v/>
      </c>
      <c r="H131" s="6">
        <f>IFERROR(VLOOKUP(A131,'Projects Master'!$A:$I,8,0),"")</f>
        <v/>
      </c>
      <c r="I131" s="7">
        <f>IFERROR(VLOOKUP(A131,'Projects Master'!$A:$I,9,0),"")</f>
        <v/>
      </c>
      <c r="J131" s="6">
        <f>_xlfn.LET(_xlpm.t,_xlfn.MINIFS('Work Items'!P:P,'Work Items'!D:D,B131,'Work Items'!A:A,"Task"),_xlpm.b,_xlfn.MINIFS('Work Items'!P:P,'Work Items'!D:D,B131,'Work Items'!A:A,"Bug"),_xlpm.m,IF(AND(_xlpm.t=0,_xlpm.b=0),0,IF(_xlpm.t=0,_xlpm.b,IF(_xlpm.b=0,_xlpm.t,MIN(_xlpm.t,_xlpm.b)))),IF(_xlpm.m=0,G131,_xlpm.m))</f>
        <v/>
      </c>
      <c r="K131" s="6">
        <f>_xlfn.LET(_xlpm.t,_xlfn.MAXIFS('Work Items'!Q:Q,'Work Items'!D:D,B131,'Work Items'!A:A,"Task"),_xlpm.b,_xlfn.MAXIFS('Work Items'!Q:Q,'Work Items'!D:D,B131,'Work Items'!A:A,"Bug"),_xlpm.m,MAX(_xlpm.t,_xlpm.b),IF(_xlpm.m=0,H131,_xlpm.m))</f>
        <v/>
      </c>
      <c r="L131" s="8">
        <f>IFERROR(SUMIFS('Work Items'!O:O,'Work Items'!D:D,B131,'Work Items'!A:A,"Task"),0)</f>
        <v/>
      </c>
      <c r="M131" s="9">
        <f>IF(ISNUMBER(I131),I131-L131,"N/A")</f>
        <v/>
      </c>
      <c r="N131" s="10">
        <f>IF(AND(ISNUMBER(H131),K131&gt;0),INT(H131-K131),"TBD")</f>
        <v/>
      </c>
      <c r="O131" s="100">
        <f>TEXT(COUNTIFS('Work Items'!A:A,"Task",'Work Items'!D:D,B131,'Work Items'!L:L,"Completed"),"0")&amp;" / "&amp;TEXT(COUNTIFS('Work Items'!A:A,"Task",'Work Items'!D:D,B131),"0")&amp;" Tasks"</f>
        <v/>
      </c>
      <c r="P131" s="100">
        <f>TEXT(COUNTIFS('Work Items'!A:A,"Bug",'Work Items'!D:D,B131,'Work Items'!L:L,"Fixed"),"0")&amp;" / "&amp;TEXT(COUNTIFS('Work Items'!A:A,"Bug",'Work Items'!D:D,B131),"0")&amp;" Bugs"</f>
        <v/>
      </c>
      <c r="Q131" s="100">
        <f>TEXT(COUNTIFS('Work Items'!A:A,"Risk",'Work Items'!D:D,B131,'Work Items'!L:L,"Open"),"0")&amp;" Open"</f>
        <v/>
      </c>
      <c r="R131" s="100">
        <f>TEXT(COUNTIFS('Work Items'!A:A,"CR",'Work Items'!D:D,B131,'Work Items'!L:L,"Pending Approval"),"0")&amp;" Pending"</f>
        <v/>
      </c>
      <c r="S131" s="11">
        <f>IF(N131="TBD","Yellow",IF(ISNUMBER(N131),IF(N131&lt;0,"Red",IF(N131&lt;14,"Yellow","Green")),"Yellow"))</f>
        <v/>
      </c>
      <c r="T131" s="11">
        <f>IF(NOT(ISNUMBER(M131)),"Yellow",IF(M131&lt;0,"Red",IF(M131/I131&lt;0.05,"Yellow","Green")))</f>
        <v/>
      </c>
      <c r="U131" s="11">
        <f>IF(OR(S131="Red",T131="Red"),"Red",IF(OR(S131="Yellow",T131="Yellow"),"Yellow","Green"))</f>
        <v/>
      </c>
    </row>
    <row r="132">
      <c r="A132" s="2">
        <f>IFERROR(INDEX('Projects Master'!$A:$A,ROW()-1),"")</f>
        <v/>
      </c>
      <c r="B132" s="101">
        <f>IFERROR(VLOOKUP(A132,'Projects Master'!$A:$I,2,0),"")</f>
        <v/>
      </c>
      <c r="C132" s="101">
        <f>IFERROR(VLOOKUP(A132,'Projects Master'!$A:$I,3,0),"")</f>
        <v/>
      </c>
      <c r="D132" s="101">
        <f>IFERROR(VLOOKUP(A132,'Projects Master'!$A:$I,4,0),"")</f>
        <v/>
      </c>
      <c r="E132" s="4">
        <f>IFERROR(VLOOKUP(A132,'Projects Master'!$A:$I,5,0),"")</f>
        <v/>
      </c>
      <c r="F132" s="92">
        <f>IFERROR(VLOOKUP(A132,'Projects Master'!$A:$I,6,0),"")</f>
        <v/>
      </c>
      <c r="G132" s="6">
        <f>IFERROR(VLOOKUP(A132,'Projects Master'!$A:$I,7,0),"")</f>
        <v/>
      </c>
      <c r="H132" s="6">
        <f>IFERROR(VLOOKUP(A132,'Projects Master'!$A:$I,8,0),"")</f>
        <v/>
      </c>
      <c r="I132" s="7">
        <f>IFERROR(VLOOKUP(A132,'Projects Master'!$A:$I,9,0),"")</f>
        <v/>
      </c>
      <c r="J132" s="6">
        <f>_xlfn.LET(_xlpm.t,_xlfn.MINIFS('Work Items'!P:P,'Work Items'!D:D,B132,'Work Items'!A:A,"Task"),_xlpm.b,_xlfn.MINIFS('Work Items'!P:P,'Work Items'!D:D,B132,'Work Items'!A:A,"Bug"),_xlpm.m,IF(AND(_xlpm.t=0,_xlpm.b=0),0,IF(_xlpm.t=0,_xlpm.b,IF(_xlpm.b=0,_xlpm.t,MIN(_xlpm.t,_xlpm.b)))),IF(_xlpm.m=0,G132,_xlpm.m))</f>
        <v/>
      </c>
      <c r="K132" s="6">
        <f>_xlfn.LET(_xlpm.t,_xlfn.MAXIFS('Work Items'!Q:Q,'Work Items'!D:D,B132,'Work Items'!A:A,"Task"),_xlpm.b,_xlfn.MAXIFS('Work Items'!Q:Q,'Work Items'!D:D,B132,'Work Items'!A:A,"Bug"),_xlpm.m,MAX(_xlpm.t,_xlpm.b),IF(_xlpm.m=0,H132,_xlpm.m))</f>
        <v/>
      </c>
      <c r="L132" s="8">
        <f>IFERROR(SUMIFS('Work Items'!O:O,'Work Items'!D:D,B132,'Work Items'!A:A,"Task"),0)</f>
        <v/>
      </c>
      <c r="M132" s="9">
        <f>IF(ISNUMBER(I132),I132-L132,"N/A")</f>
        <v/>
      </c>
      <c r="N132" s="10">
        <f>IF(AND(ISNUMBER(H132),K132&gt;0),INT(H132-K132),"TBD")</f>
        <v/>
      </c>
      <c r="O132" s="100">
        <f>TEXT(COUNTIFS('Work Items'!A:A,"Task",'Work Items'!D:D,B132,'Work Items'!L:L,"Completed"),"0")&amp;" / "&amp;TEXT(COUNTIFS('Work Items'!A:A,"Task",'Work Items'!D:D,B132),"0")&amp;" Tasks"</f>
        <v/>
      </c>
      <c r="P132" s="100">
        <f>TEXT(COUNTIFS('Work Items'!A:A,"Bug",'Work Items'!D:D,B132,'Work Items'!L:L,"Fixed"),"0")&amp;" / "&amp;TEXT(COUNTIFS('Work Items'!A:A,"Bug",'Work Items'!D:D,B132),"0")&amp;" Bugs"</f>
        <v/>
      </c>
      <c r="Q132" s="100">
        <f>TEXT(COUNTIFS('Work Items'!A:A,"Risk",'Work Items'!D:D,B132,'Work Items'!L:L,"Open"),"0")&amp;" Open"</f>
        <v/>
      </c>
      <c r="R132" s="100">
        <f>TEXT(COUNTIFS('Work Items'!A:A,"CR",'Work Items'!D:D,B132,'Work Items'!L:L,"Pending Approval"),"0")&amp;" Pending"</f>
        <v/>
      </c>
      <c r="S132" s="11">
        <f>IF(N132="TBD","Yellow",IF(ISNUMBER(N132),IF(N132&lt;0,"Red",IF(N132&lt;14,"Yellow","Green")),"Yellow"))</f>
        <v/>
      </c>
      <c r="T132" s="11">
        <f>IF(NOT(ISNUMBER(M132)),"Yellow",IF(M132&lt;0,"Red",IF(M132/I132&lt;0.05,"Yellow","Green")))</f>
        <v/>
      </c>
      <c r="U132" s="11">
        <f>IF(OR(S132="Red",T132="Red"),"Red",IF(OR(S132="Yellow",T132="Yellow"),"Yellow","Green"))</f>
        <v/>
      </c>
    </row>
    <row r="133">
      <c r="A133" s="2">
        <f>IFERROR(INDEX('Projects Master'!$A:$A,ROW()-1),"")</f>
        <v/>
      </c>
      <c r="B133" s="101">
        <f>IFERROR(VLOOKUP(A133,'Projects Master'!$A:$I,2,0),"")</f>
        <v/>
      </c>
      <c r="C133" s="101">
        <f>IFERROR(VLOOKUP(A133,'Projects Master'!$A:$I,3,0),"")</f>
        <v/>
      </c>
      <c r="D133" s="101">
        <f>IFERROR(VLOOKUP(A133,'Projects Master'!$A:$I,4,0),"")</f>
        <v/>
      </c>
      <c r="E133" s="4">
        <f>IFERROR(VLOOKUP(A133,'Projects Master'!$A:$I,5,0),"")</f>
        <v/>
      </c>
      <c r="F133" s="92">
        <f>IFERROR(VLOOKUP(A133,'Projects Master'!$A:$I,6,0),"")</f>
        <v/>
      </c>
      <c r="G133" s="6">
        <f>IFERROR(VLOOKUP(A133,'Projects Master'!$A:$I,7,0),"")</f>
        <v/>
      </c>
      <c r="H133" s="6">
        <f>IFERROR(VLOOKUP(A133,'Projects Master'!$A:$I,8,0),"")</f>
        <v/>
      </c>
      <c r="I133" s="7">
        <f>IFERROR(VLOOKUP(A133,'Projects Master'!$A:$I,9,0),"")</f>
        <v/>
      </c>
      <c r="J133" s="6">
        <f>_xlfn.LET(_xlpm.t,_xlfn.MINIFS('Work Items'!P:P,'Work Items'!D:D,B133,'Work Items'!A:A,"Task"),_xlpm.b,_xlfn.MINIFS('Work Items'!P:P,'Work Items'!D:D,B133,'Work Items'!A:A,"Bug"),_xlpm.m,IF(AND(_xlpm.t=0,_xlpm.b=0),0,IF(_xlpm.t=0,_xlpm.b,IF(_xlpm.b=0,_xlpm.t,MIN(_xlpm.t,_xlpm.b)))),IF(_xlpm.m=0,G133,_xlpm.m))</f>
        <v/>
      </c>
      <c r="K133" s="6">
        <f>_xlfn.LET(_xlpm.t,_xlfn.MAXIFS('Work Items'!Q:Q,'Work Items'!D:D,B133,'Work Items'!A:A,"Task"),_xlpm.b,_xlfn.MAXIFS('Work Items'!Q:Q,'Work Items'!D:D,B133,'Work Items'!A:A,"Bug"),_xlpm.m,MAX(_xlpm.t,_xlpm.b),IF(_xlpm.m=0,H133,_xlpm.m))</f>
        <v/>
      </c>
      <c r="L133" s="8">
        <f>IFERROR(SUMIFS('Work Items'!O:O,'Work Items'!D:D,B133,'Work Items'!A:A,"Task"),0)</f>
        <v/>
      </c>
      <c r="M133" s="9">
        <f>IF(ISNUMBER(I133),I133-L133,"N/A")</f>
        <v/>
      </c>
      <c r="N133" s="10">
        <f>IF(AND(ISNUMBER(H133),K133&gt;0),INT(H133-K133),"TBD")</f>
        <v/>
      </c>
      <c r="O133" s="100">
        <f>TEXT(COUNTIFS('Work Items'!A:A,"Task",'Work Items'!D:D,B133,'Work Items'!L:L,"Completed"),"0")&amp;" / "&amp;TEXT(COUNTIFS('Work Items'!A:A,"Task",'Work Items'!D:D,B133),"0")&amp;" Tasks"</f>
        <v/>
      </c>
      <c r="P133" s="100">
        <f>TEXT(COUNTIFS('Work Items'!A:A,"Bug",'Work Items'!D:D,B133,'Work Items'!L:L,"Fixed"),"0")&amp;" / "&amp;TEXT(COUNTIFS('Work Items'!A:A,"Bug",'Work Items'!D:D,B133),"0")&amp;" Bugs"</f>
        <v/>
      </c>
      <c r="Q133" s="100">
        <f>TEXT(COUNTIFS('Work Items'!A:A,"Risk",'Work Items'!D:D,B133,'Work Items'!L:L,"Open"),"0")&amp;" Open"</f>
        <v/>
      </c>
      <c r="R133" s="100">
        <f>TEXT(COUNTIFS('Work Items'!A:A,"CR",'Work Items'!D:D,B133,'Work Items'!L:L,"Pending Approval"),"0")&amp;" Pending"</f>
        <v/>
      </c>
      <c r="S133" s="11">
        <f>IF(N133="TBD","Yellow",IF(ISNUMBER(N133),IF(N133&lt;0,"Red",IF(N133&lt;14,"Yellow","Green")),"Yellow"))</f>
        <v/>
      </c>
      <c r="T133" s="11">
        <f>IF(NOT(ISNUMBER(M133)),"Yellow",IF(M133&lt;0,"Red",IF(M133/I133&lt;0.05,"Yellow","Green")))</f>
        <v/>
      </c>
      <c r="U133" s="11">
        <f>IF(OR(S133="Red",T133="Red"),"Red",IF(OR(S133="Yellow",T133="Yellow"),"Yellow","Green"))</f>
        <v/>
      </c>
    </row>
    <row r="134">
      <c r="A134" s="2">
        <f>IFERROR(INDEX('Projects Master'!$A:$A,ROW()-1),"")</f>
        <v/>
      </c>
      <c r="B134" s="101">
        <f>IFERROR(VLOOKUP(A134,'Projects Master'!$A:$I,2,0),"")</f>
        <v/>
      </c>
      <c r="C134" s="101">
        <f>IFERROR(VLOOKUP(A134,'Projects Master'!$A:$I,3,0),"")</f>
        <v/>
      </c>
      <c r="D134" s="101">
        <f>IFERROR(VLOOKUP(A134,'Projects Master'!$A:$I,4,0),"")</f>
        <v/>
      </c>
      <c r="E134" s="4">
        <f>IFERROR(VLOOKUP(A134,'Projects Master'!$A:$I,5,0),"")</f>
        <v/>
      </c>
      <c r="F134" s="92">
        <f>IFERROR(VLOOKUP(A134,'Projects Master'!$A:$I,6,0),"")</f>
        <v/>
      </c>
      <c r="G134" s="6">
        <f>IFERROR(VLOOKUP(A134,'Projects Master'!$A:$I,7,0),"")</f>
        <v/>
      </c>
      <c r="H134" s="6">
        <f>IFERROR(VLOOKUP(A134,'Projects Master'!$A:$I,8,0),"")</f>
        <v/>
      </c>
      <c r="I134" s="7">
        <f>IFERROR(VLOOKUP(A134,'Projects Master'!$A:$I,9,0),"")</f>
        <v/>
      </c>
      <c r="J134" s="6">
        <f>_xlfn.LET(_xlpm.t,_xlfn.MINIFS('Work Items'!P:P,'Work Items'!D:D,B134,'Work Items'!A:A,"Task"),_xlpm.b,_xlfn.MINIFS('Work Items'!P:P,'Work Items'!D:D,B134,'Work Items'!A:A,"Bug"),_xlpm.m,IF(AND(_xlpm.t=0,_xlpm.b=0),0,IF(_xlpm.t=0,_xlpm.b,IF(_xlpm.b=0,_xlpm.t,MIN(_xlpm.t,_xlpm.b)))),IF(_xlpm.m=0,G134,_xlpm.m))</f>
        <v/>
      </c>
      <c r="K134" s="6">
        <f>_xlfn.LET(_xlpm.t,_xlfn.MAXIFS('Work Items'!Q:Q,'Work Items'!D:D,B134,'Work Items'!A:A,"Task"),_xlpm.b,_xlfn.MAXIFS('Work Items'!Q:Q,'Work Items'!D:D,B134,'Work Items'!A:A,"Bug"),_xlpm.m,MAX(_xlpm.t,_xlpm.b),IF(_xlpm.m=0,H134,_xlpm.m))</f>
        <v/>
      </c>
      <c r="L134" s="8">
        <f>IFERROR(SUMIFS('Work Items'!O:O,'Work Items'!D:D,B134,'Work Items'!A:A,"Task"),0)</f>
        <v/>
      </c>
      <c r="M134" s="9">
        <f>IF(ISNUMBER(I134),I134-L134,"N/A")</f>
        <v/>
      </c>
      <c r="N134" s="10">
        <f>IF(AND(ISNUMBER(H134),K134&gt;0),INT(H134-K134),"TBD")</f>
        <v/>
      </c>
      <c r="O134" s="100">
        <f>TEXT(COUNTIFS('Work Items'!A:A,"Task",'Work Items'!D:D,B134,'Work Items'!L:L,"Completed"),"0")&amp;" / "&amp;TEXT(COUNTIFS('Work Items'!A:A,"Task",'Work Items'!D:D,B134),"0")&amp;" Tasks"</f>
        <v/>
      </c>
      <c r="P134" s="100">
        <f>TEXT(COUNTIFS('Work Items'!A:A,"Bug",'Work Items'!D:D,B134,'Work Items'!L:L,"Fixed"),"0")&amp;" / "&amp;TEXT(COUNTIFS('Work Items'!A:A,"Bug",'Work Items'!D:D,B134),"0")&amp;" Bugs"</f>
        <v/>
      </c>
      <c r="Q134" s="100">
        <f>TEXT(COUNTIFS('Work Items'!A:A,"Risk",'Work Items'!D:D,B134,'Work Items'!L:L,"Open"),"0")&amp;" Open"</f>
        <v/>
      </c>
      <c r="R134" s="100">
        <f>TEXT(COUNTIFS('Work Items'!A:A,"CR",'Work Items'!D:D,B134,'Work Items'!L:L,"Pending Approval"),"0")&amp;" Pending"</f>
        <v/>
      </c>
      <c r="S134" s="11">
        <f>IF(N134="TBD","Yellow",IF(ISNUMBER(N134),IF(N134&lt;0,"Red",IF(N134&lt;14,"Yellow","Green")),"Yellow"))</f>
        <v/>
      </c>
      <c r="T134" s="11">
        <f>IF(NOT(ISNUMBER(M134)),"Yellow",IF(M134&lt;0,"Red",IF(M134/I134&lt;0.05,"Yellow","Green")))</f>
        <v/>
      </c>
      <c r="U134" s="11">
        <f>IF(OR(S134="Red",T134="Red"),"Red",IF(OR(S134="Yellow",T134="Yellow"),"Yellow","Green"))</f>
        <v/>
      </c>
    </row>
    <row r="135">
      <c r="A135" s="2">
        <f>IFERROR(INDEX('Projects Master'!$A:$A,ROW()-1),"")</f>
        <v/>
      </c>
      <c r="B135" s="101">
        <f>IFERROR(VLOOKUP(A135,'Projects Master'!$A:$I,2,0),"")</f>
        <v/>
      </c>
      <c r="C135" s="101">
        <f>IFERROR(VLOOKUP(A135,'Projects Master'!$A:$I,3,0),"")</f>
        <v/>
      </c>
      <c r="D135" s="101">
        <f>IFERROR(VLOOKUP(A135,'Projects Master'!$A:$I,4,0),"")</f>
        <v/>
      </c>
      <c r="E135" s="4">
        <f>IFERROR(VLOOKUP(A135,'Projects Master'!$A:$I,5,0),"")</f>
        <v/>
      </c>
      <c r="F135" s="92">
        <f>IFERROR(VLOOKUP(A135,'Projects Master'!$A:$I,6,0),"")</f>
        <v/>
      </c>
      <c r="G135" s="6">
        <f>IFERROR(VLOOKUP(A135,'Projects Master'!$A:$I,7,0),"")</f>
        <v/>
      </c>
      <c r="H135" s="6">
        <f>IFERROR(VLOOKUP(A135,'Projects Master'!$A:$I,8,0),"")</f>
        <v/>
      </c>
      <c r="I135" s="7">
        <f>IFERROR(VLOOKUP(A135,'Projects Master'!$A:$I,9,0),"")</f>
        <v/>
      </c>
      <c r="J135" s="6">
        <f>_xlfn.LET(_xlpm.t,_xlfn.MINIFS('Work Items'!P:P,'Work Items'!D:D,B135,'Work Items'!A:A,"Task"),_xlpm.b,_xlfn.MINIFS('Work Items'!P:P,'Work Items'!D:D,B135,'Work Items'!A:A,"Bug"),_xlpm.m,IF(AND(_xlpm.t=0,_xlpm.b=0),0,IF(_xlpm.t=0,_xlpm.b,IF(_xlpm.b=0,_xlpm.t,MIN(_xlpm.t,_xlpm.b)))),IF(_xlpm.m=0,G135,_xlpm.m))</f>
        <v/>
      </c>
      <c r="K135" s="6">
        <f>_xlfn.LET(_xlpm.t,_xlfn.MAXIFS('Work Items'!Q:Q,'Work Items'!D:D,B135,'Work Items'!A:A,"Task"),_xlpm.b,_xlfn.MAXIFS('Work Items'!Q:Q,'Work Items'!D:D,B135,'Work Items'!A:A,"Bug"),_xlpm.m,MAX(_xlpm.t,_xlpm.b),IF(_xlpm.m=0,H135,_xlpm.m))</f>
        <v/>
      </c>
      <c r="L135" s="8">
        <f>IFERROR(SUMIFS('Work Items'!O:O,'Work Items'!D:D,B135,'Work Items'!A:A,"Task"),0)</f>
        <v/>
      </c>
      <c r="M135" s="9">
        <f>IF(ISNUMBER(I135),I135-L135,"N/A")</f>
        <v/>
      </c>
      <c r="N135" s="10">
        <f>IF(AND(ISNUMBER(H135),K135&gt;0),INT(H135-K135),"TBD")</f>
        <v/>
      </c>
      <c r="O135" s="100">
        <f>TEXT(COUNTIFS('Work Items'!A:A,"Task",'Work Items'!D:D,B135,'Work Items'!L:L,"Completed"),"0")&amp;" / "&amp;TEXT(COUNTIFS('Work Items'!A:A,"Task",'Work Items'!D:D,B135),"0")&amp;" Tasks"</f>
        <v/>
      </c>
      <c r="P135" s="100">
        <f>TEXT(COUNTIFS('Work Items'!A:A,"Bug",'Work Items'!D:D,B135,'Work Items'!L:L,"Fixed"),"0")&amp;" / "&amp;TEXT(COUNTIFS('Work Items'!A:A,"Bug",'Work Items'!D:D,B135),"0")&amp;" Bugs"</f>
        <v/>
      </c>
      <c r="Q135" s="100">
        <f>TEXT(COUNTIFS('Work Items'!A:A,"Risk",'Work Items'!D:D,B135,'Work Items'!L:L,"Open"),"0")&amp;" Open"</f>
        <v/>
      </c>
      <c r="R135" s="100">
        <f>TEXT(COUNTIFS('Work Items'!A:A,"CR",'Work Items'!D:D,B135,'Work Items'!L:L,"Pending Approval"),"0")&amp;" Pending"</f>
        <v/>
      </c>
      <c r="S135" s="11">
        <f>IF(N135="TBD","Yellow",IF(ISNUMBER(N135),IF(N135&lt;0,"Red",IF(N135&lt;14,"Yellow","Green")),"Yellow"))</f>
        <v/>
      </c>
      <c r="T135" s="11">
        <f>IF(NOT(ISNUMBER(M135)),"Yellow",IF(M135&lt;0,"Red",IF(M135/I135&lt;0.05,"Yellow","Green")))</f>
        <v/>
      </c>
      <c r="U135" s="11">
        <f>IF(OR(S135="Red",T135="Red"),"Red",IF(OR(S135="Yellow",T135="Yellow"),"Yellow","Green"))</f>
        <v/>
      </c>
    </row>
    <row r="136">
      <c r="A136" s="2">
        <f>IFERROR(INDEX('Projects Master'!$A:$A,ROW()-1),"")</f>
        <v/>
      </c>
      <c r="B136" s="101">
        <f>IFERROR(VLOOKUP(A136,'Projects Master'!$A:$I,2,0),"")</f>
        <v/>
      </c>
      <c r="C136" s="101">
        <f>IFERROR(VLOOKUP(A136,'Projects Master'!$A:$I,3,0),"")</f>
        <v/>
      </c>
      <c r="D136" s="101">
        <f>IFERROR(VLOOKUP(A136,'Projects Master'!$A:$I,4,0),"")</f>
        <v/>
      </c>
      <c r="E136" s="4">
        <f>IFERROR(VLOOKUP(A136,'Projects Master'!$A:$I,5,0),"")</f>
        <v/>
      </c>
      <c r="F136" s="92">
        <f>IFERROR(VLOOKUP(A136,'Projects Master'!$A:$I,6,0),"")</f>
        <v/>
      </c>
      <c r="G136" s="6">
        <f>IFERROR(VLOOKUP(A136,'Projects Master'!$A:$I,7,0),"")</f>
        <v/>
      </c>
      <c r="H136" s="6">
        <f>IFERROR(VLOOKUP(A136,'Projects Master'!$A:$I,8,0),"")</f>
        <v/>
      </c>
      <c r="I136" s="7">
        <f>IFERROR(VLOOKUP(A136,'Projects Master'!$A:$I,9,0),"")</f>
        <v/>
      </c>
      <c r="J136" s="6">
        <f>_xlfn.LET(_xlpm.t,_xlfn.MINIFS('Work Items'!P:P,'Work Items'!D:D,B136,'Work Items'!A:A,"Task"),_xlpm.b,_xlfn.MINIFS('Work Items'!P:P,'Work Items'!D:D,B136,'Work Items'!A:A,"Bug"),_xlpm.m,IF(AND(_xlpm.t=0,_xlpm.b=0),0,IF(_xlpm.t=0,_xlpm.b,IF(_xlpm.b=0,_xlpm.t,MIN(_xlpm.t,_xlpm.b)))),IF(_xlpm.m=0,G136,_xlpm.m))</f>
        <v/>
      </c>
      <c r="K136" s="6">
        <f>_xlfn.LET(_xlpm.t,_xlfn.MAXIFS('Work Items'!Q:Q,'Work Items'!D:D,B136,'Work Items'!A:A,"Task"),_xlpm.b,_xlfn.MAXIFS('Work Items'!Q:Q,'Work Items'!D:D,B136,'Work Items'!A:A,"Bug"),_xlpm.m,MAX(_xlpm.t,_xlpm.b),IF(_xlpm.m=0,H136,_xlpm.m))</f>
        <v/>
      </c>
      <c r="L136" s="8">
        <f>IFERROR(SUMIFS('Work Items'!O:O,'Work Items'!D:D,B136,'Work Items'!A:A,"Task"),0)</f>
        <v/>
      </c>
      <c r="M136" s="9">
        <f>IF(ISNUMBER(I136),I136-L136,"N/A")</f>
        <v/>
      </c>
      <c r="N136" s="10">
        <f>IF(AND(ISNUMBER(H136),K136&gt;0),INT(H136-K136),"TBD")</f>
        <v/>
      </c>
      <c r="O136" s="100">
        <f>TEXT(COUNTIFS('Work Items'!A:A,"Task",'Work Items'!D:D,B136,'Work Items'!L:L,"Completed"),"0")&amp;" / "&amp;TEXT(COUNTIFS('Work Items'!A:A,"Task",'Work Items'!D:D,B136),"0")&amp;" Tasks"</f>
        <v/>
      </c>
      <c r="P136" s="100">
        <f>TEXT(COUNTIFS('Work Items'!A:A,"Bug",'Work Items'!D:D,B136,'Work Items'!L:L,"Fixed"),"0")&amp;" / "&amp;TEXT(COUNTIFS('Work Items'!A:A,"Bug",'Work Items'!D:D,B136),"0")&amp;" Bugs"</f>
        <v/>
      </c>
      <c r="Q136" s="100">
        <f>TEXT(COUNTIFS('Work Items'!A:A,"Risk",'Work Items'!D:D,B136,'Work Items'!L:L,"Open"),"0")&amp;" Open"</f>
        <v/>
      </c>
      <c r="R136" s="100">
        <f>TEXT(COUNTIFS('Work Items'!A:A,"CR",'Work Items'!D:D,B136,'Work Items'!L:L,"Pending Approval"),"0")&amp;" Pending"</f>
        <v/>
      </c>
      <c r="S136" s="11">
        <f>IF(N136="TBD","Yellow",IF(ISNUMBER(N136),IF(N136&lt;0,"Red",IF(N136&lt;14,"Yellow","Green")),"Yellow"))</f>
        <v/>
      </c>
      <c r="T136" s="11">
        <f>IF(NOT(ISNUMBER(M136)),"Yellow",IF(M136&lt;0,"Red",IF(M136/I136&lt;0.05,"Yellow","Green")))</f>
        <v/>
      </c>
      <c r="U136" s="11">
        <f>IF(OR(S136="Red",T136="Red"),"Red",IF(OR(S136="Yellow",T136="Yellow"),"Yellow","Green"))</f>
        <v/>
      </c>
    </row>
    <row r="137">
      <c r="A137" s="2">
        <f>IFERROR(INDEX('Projects Master'!$A:$A,ROW()-1),"")</f>
        <v/>
      </c>
      <c r="B137" s="101">
        <f>IFERROR(VLOOKUP(A137,'Projects Master'!$A:$I,2,0),"")</f>
        <v/>
      </c>
      <c r="C137" s="101">
        <f>IFERROR(VLOOKUP(A137,'Projects Master'!$A:$I,3,0),"")</f>
        <v/>
      </c>
      <c r="D137" s="101">
        <f>IFERROR(VLOOKUP(A137,'Projects Master'!$A:$I,4,0),"")</f>
        <v/>
      </c>
      <c r="E137" s="4">
        <f>IFERROR(VLOOKUP(A137,'Projects Master'!$A:$I,5,0),"")</f>
        <v/>
      </c>
      <c r="F137" s="92">
        <f>IFERROR(VLOOKUP(A137,'Projects Master'!$A:$I,6,0),"")</f>
        <v/>
      </c>
      <c r="G137" s="6">
        <f>IFERROR(VLOOKUP(A137,'Projects Master'!$A:$I,7,0),"")</f>
        <v/>
      </c>
      <c r="H137" s="6">
        <f>IFERROR(VLOOKUP(A137,'Projects Master'!$A:$I,8,0),"")</f>
        <v/>
      </c>
      <c r="I137" s="7">
        <f>IFERROR(VLOOKUP(A137,'Projects Master'!$A:$I,9,0),"")</f>
        <v/>
      </c>
      <c r="J137" s="6">
        <f>_xlfn.LET(_xlpm.t,_xlfn.MINIFS('Work Items'!P:P,'Work Items'!D:D,B137,'Work Items'!A:A,"Task"),_xlpm.b,_xlfn.MINIFS('Work Items'!P:P,'Work Items'!D:D,B137,'Work Items'!A:A,"Bug"),_xlpm.m,IF(AND(_xlpm.t=0,_xlpm.b=0),0,IF(_xlpm.t=0,_xlpm.b,IF(_xlpm.b=0,_xlpm.t,MIN(_xlpm.t,_xlpm.b)))),IF(_xlpm.m=0,G137,_xlpm.m))</f>
        <v/>
      </c>
      <c r="K137" s="6">
        <f>_xlfn.LET(_xlpm.t,_xlfn.MAXIFS('Work Items'!Q:Q,'Work Items'!D:D,B137,'Work Items'!A:A,"Task"),_xlpm.b,_xlfn.MAXIFS('Work Items'!Q:Q,'Work Items'!D:D,B137,'Work Items'!A:A,"Bug"),_xlpm.m,MAX(_xlpm.t,_xlpm.b),IF(_xlpm.m=0,H137,_xlpm.m))</f>
        <v/>
      </c>
      <c r="L137" s="8">
        <f>IFERROR(SUMIFS('Work Items'!O:O,'Work Items'!D:D,B137,'Work Items'!A:A,"Task"),0)</f>
        <v/>
      </c>
      <c r="M137" s="9">
        <f>IF(ISNUMBER(I137),I137-L137,"N/A")</f>
        <v/>
      </c>
      <c r="N137" s="10">
        <f>IF(AND(ISNUMBER(H137),K137&gt;0),INT(H137-K137),"TBD")</f>
        <v/>
      </c>
      <c r="O137" s="100">
        <f>TEXT(COUNTIFS('Work Items'!A:A,"Task",'Work Items'!D:D,B137,'Work Items'!L:L,"Completed"),"0")&amp;" / "&amp;TEXT(COUNTIFS('Work Items'!A:A,"Task",'Work Items'!D:D,B137),"0")&amp;" Tasks"</f>
        <v/>
      </c>
      <c r="P137" s="100">
        <f>TEXT(COUNTIFS('Work Items'!A:A,"Bug",'Work Items'!D:D,B137,'Work Items'!L:L,"Fixed"),"0")&amp;" / "&amp;TEXT(COUNTIFS('Work Items'!A:A,"Bug",'Work Items'!D:D,B137),"0")&amp;" Bugs"</f>
        <v/>
      </c>
      <c r="Q137" s="100">
        <f>TEXT(COUNTIFS('Work Items'!A:A,"Risk",'Work Items'!D:D,B137,'Work Items'!L:L,"Open"),"0")&amp;" Open"</f>
        <v/>
      </c>
      <c r="R137" s="100">
        <f>TEXT(COUNTIFS('Work Items'!A:A,"CR",'Work Items'!D:D,B137,'Work Items'!L:L,"Pending Approval"),"0")&amp;" Pending"</f>
        <v/>
      </c>
      <c r="S137" s="11">
        <f>IF(N137="TBD","Yellow",IF(ISNUMBER(N137),IF(N137&lt;0,"Red",IF(N137&lt;14,"Yellow","Green")),"Yellow"))</f>
        <v/>
      </c>
      <c r="T137" s="11">
        <f>IF(NOT(ISNUMBER(M137)),"Yellow",IF(M137&lt;0,"Red",IF(M137/I137&lt;0.05,"Yellow","Green")))</f>
        <v/>
      </c>
      <c r="U137" s="11">
        <f>IF(OR(S137="Red",T137="Red"),"Red",IF(OR(S137="Yellow",T137="Yellow"),"Yellow","Green"))</f>
        <v/>
      </c>
    </row>
    <row r="138">
      <c r="A138" s="2">
        <f>IFERROR(INDEX('Projects Master'!$A:$A,ROW()-1),"")</f>
        <v/>
      </c>
      <c r="B138" s="101">
        <f>IFERROR(VLOOKUP(A138,'Projects Master'!$A:$I,2,0),"")</f>
        <v/>
      </c>
      <c r="C138" s="101">
        <f>IFERROR(VLOOKUP(A138,'Projects Master'!$A:$I,3,0),"")</f>
        <v/>
      </c>
      <c r="D138" s="101">
        <f>IFERROR(VLOOKUP(A138,'Projects Master'!$A:$I,4,0),"")</f>
        <v/>
      </c>
      <c r="E138" s="4">
        <f>IFERROR(VLOOKUP(A138,'Projects Master'!$A:$I,5,0),"")</f>
        <v/>
      </c>
      <c r="F138" s="92">
        <f>IFERROR(VLOOKUP(A138,'Projects Master'!$A:$I,6,0),"")</f>
        <v/>
      </c>
      <c r="G138" s="6">
        <f>IFERROR(VLOOKUP(A138,'Projects Master'!$A:$I,7,0),"")</f>
        <v/>
      </c>
      <c r="H138" s="6">
        <f>IFERROR(VLOOKUP(A138,'Projects Master'!$A:$I,8,0),"")</f>
        <v/>
      </c>
      <c r="I138" s="7">
        <f>IFERROR(VLOOKUP(A138,'Projects Master'!$A:$I,9,0),"")</f>
        <v/>
      </c>
      <c r="J138" s="6">
        <f>_xlfn.LET(_xlpm.t,_xlfn.MINIFS('Work Items'!P:P,'Work Items'!D:D,B138,'Work Items'!A:A,"Task"),_xlpm.b,_xlfn.MINIFS('Work Items'!P:P,'Work Items'!D:D,B138,'Work Items'!A:A,"Bug"),_xlpm.m,IF(AND(_xlpm.t=0,_xlpm.b=0),0,IF(_xlpm.t=0,_xlpm.b,IF(_xlpm.b=0,_xlpm.t,MIN(_xlpm.t,_xlpm.b)))),IF(_xlpm.m=0,G138,_xlpm.m))</f>
        <v/>
      </c>
      <c r="K138" s="6">
        <f>_xlfn.LET(_xlpm.t,_xlfn.MAXIFS('Work Items'!Q:Q,'Work Items'!D:D,B138,'Work Items'!A:A,"Task"),_xlpm.b,_xlfn.MAXIFS('Work Items'!Q:Q,'Work Items'!D:D,B138,'Work Items'!A:A,"Bug"),_xlpm.m,MAX(_xlpm.t,_xlpm.b),IF(_xlpm.m=0,H138,_xlpm.m))</f>
        <v/>
      </c>
      <c r="L138" s="8">
        <f>IFERROR(SUMIFS('Work Items'!O:O,'Work Items'!D:D,B138,'Work Items'!A:A,"Task"),0)</f>
        <v/>
      </c>
      <c r="M138" s="9">
        <f>IF(ISNUMBER(I138),I138-L138,"N/A")</f>
        <v/>
      </c>
      <c r="N138" s="10">
        <f>IF(AND(ISNUMBER(H138),K138&gt;0),INT(H138-K138),"TBD")</f>
        <v/>
      </c>
      <c r="O138" s="100">
        <f>TEXT(COUNTIFS('Work Items'!A:A,"Task",'Work Items'!D:D,B138,'Work Items'!L:L,"Completed"),"0")&amp;" / "&amp;TEXT(COUNTIFS('Work Items'!A:A,"Task",'Work Items'!D:D,B138),"0")&amp;" Tasks"</f>
        <v/>
      </c>
      <c r="P138" s="100">
        <f>TEXT(COUNTIFS('Work Items'!A:A,"Bug",'Work Items'!D:D,B138,'Work Items'!L:L,"Fixed"),"0")&amp;" / "&amp;TEXT(COUNTIFS('Work Items'!A:A,"Bug",'Work Items'!D:D,B138),"0")&amp;" Bugs"</f>
        <v/>
      </c>
      <c r="Q138" s="100">
        <f>TEXT(COUNTIFS('Work Items'!A:A,"Risk",'Work Items'!D:D,B138,'Work Items'!L:L,"Open"),"0")&amp;" Open"</f>
        <v/>
      </c>
      <c r="R138" s="100">
        <f>TEXT(COUNTIFS('Work Items'!A:A,"CR",'Work Items'!D:D,B138,'Work Items'!L:L,"Pending Approval"),"0")&amp;" Pending"</f>
        <v/>
      </c>
      <c r="S138" s="11">
        <f>IF(N138="TBD","Yellow",IF(ISNUMBER(N138),IF(N138&lt;0,"Red",IF(N138&lt;14,"Yellow","Green")),"Yellow"))</f>
        <v/>
      </c>
      <c r="T138" s="11">
        <f>IF(NOT(ISNUMBER(M138)),"Yellow",IF(M138&lt;0,"Red",IF(M138/I138&lt;0.05,"Yellow","Green")))</f>
        <v/>
      </c>
      <c r="U138" s="11">
        <f>IF(OR(S138="Red",T138="Red"),"Red",IF(OR(S138="Yellow",T138="Yellow"),"Yellow","Green"))</f>
        <v/>
      </c>
    </row>
    <row r="139">
      <c r="A139" s="2">
        <f>IFERROR(INDEX('Projects Master'!$A:$A,ROW()-1),"")</f>
        <v/>
      </c>
      <c r="B139" s="101">
        <f>IFERROR(VLOOKUP(A139,'Projects Master'!$A:$I,2,0),"")</f>
        <v/>
      </c>
      <c r="C139" s="101">
        <f>IFERROR(VLOOKUP(A139,'Projects Master'!$A:$I,3,0),"")</f>
        <v/>
      </c>
      <c r="D139" s="101">
        <f>IFERROR(VLOOKUP(A139,'Projects Master'!$A:$I,4,0),"")</f>
        <v/>
      </c>
      <c r="E139" s="4">
        <f>IFERROR(VLOOKUP(A139,'Projects Master'!$A:$I,5,0),"")</f>
        <v/>
      </c>
      <c r="F139" s="92">
        <f>IFERROR(VLOOKUP(A139,'Projects Master'!$A:$I,6,0),"")</f>
        <v/>
      </c>
      <c r="G139" s="6">
        <f>IFERROR(VLOOKUP(A139,'Projects Master'!$A:$I,7,0),"")</f>
        <v/>
      </c>
      <c r="H139" s="6">
        <f>IFERROR(VLOOKUP(A139,'Projects Master'!$A:$I,8,0),"")</f>
        <v/>
      </c>
      <c r="I139" s="7">
        <f>IFERROR(VLOOKUP(A139,'Projects Master'!$A:$I,9,0),"")</f>
        <v/>
      </c>
      <c r="J139" s="6">
        <f>_xlfn.LET(_xlpm.t,_xlfn.MINIFS('Work Items'!P:P,'Work Items'!D:D,B139,'Work Items'!A:A,"Task"),_xlpm.b,_xlfn.MINIFS('Work Items'!P:P,'Work Items'!D:D,B139,'Work Items'!A:A,"Bug"),_xlpm.m,IF(AND(_xlpm.t=0,_xlpm.b=0),0,IF(_xlpm.t=0,_xlpm.b,IF(_xlpm.b=0,_xlpm.t,MIN(_xlpm.t,_xlpm.b)))),IF(_xlpm.m=0,G139,_xlpm.m))</f>
        <v/>
      </c>
      <c r="K139" s="6">
        <f>_xlfn.LET(_xlpm.t,_xlfn.MAXIFS('Work Items'!Q:Q,'Work Items'!D:D,B139,'Work Items'!A:A,"Task"),_xlpm.b,_xlfn.MAXIFS('Work Items'!Q:Q,'Work Items'!D:D,B139,'Work Items'!A:A,"Bug"),_xlpm.m,MAX(_xlpm.t,_xlpm.b),IF(_xlpm.m=0,H139,_xlpm.m))</f>
        <v/>
      </c>
      <c r="L139" s="8">
        <f>IFERROR(SUMIFS('Work Items'!O:O,'Work Items'!D:D,B139,'Work Items'!A:A,"Task"),0)</f>
        <v/>
      </c>
      <c r="M139" s="9">
        <f>IF(ISNUMBER(I139),I139-L139,"N/A")</f>
        <v/>
      </c>
      <c r="N139" s="10">
        <f>IF(AND(ISNUMBER(H139),K139&gt;0),INT(H139-K139),"TBD")</f>
        <v/>
      </c>
      <c r="O139" s="100">
        <f>TEXT(COUNTIFS('Work Items'!A:A,"Task",'Work Items'!D:D,B139,'Work Items'!L:L,"Completed"),"0")&amp;" / "&amp;TEXT(COUNTIFS('Work Items'!A:A,"Task",'Work Items'!D:D,B139),"0")&amp;" Tasks"</f>
        <v/>
      </c>
      <c r="P139" s="100">
        <f>TEXT(COUNTIFS('Work Items'!A:A,"Bug",'Work Items'!D:D,B139,'Work Items'!L:L,"Fixed"),"0")&amp;" / "&amp;TEXT(COUNTIFS('Work Items'!A:A,"Bug",'Work Items'!D:D,B139),"0")&amp;" Bugs"</f>
        <v/>
      </c>
      <c r="Q139" s="100">
        <f>TEXT(COUNTIFS('Work Items'!A:A,"Risk",'Work Items'!D:D,B139,'Work Items'!L:L,"Open"),"0")&amp;" Open"</f>
        <v/>
      </c>
      <c r="R139" s="100">
        <f>TEXT(COUNTIFS('Work Items'!A:A,"CR",'Work Items'!D:D,B139,'Work Items'!L:L,"Pending Approval"),"0")&amp;" Pending"</f>
        <v/>
      </c>
      <c r="S139" s="11">
        <f>IF(N139="TBD","Yellow",IF(ISNUMBER(N139),IF(N139&lt;0,"Red",IF(N139&lt;14,"Yellow","Green")),"Yellow"))</f>
        <v/>
      </c>
      <c r="T139" s="11">
        <f>IF(NOT(ISNUMBER(M139)),"Yellow",IF(M139&lt;0,"Red",IF(M139/I139&lt;0.05,"Yellow","Green")))</f>
        <v/>
      </c>
      <c r="U139" s="11">
        <f>IF(OR(S139="Red",T139="Red"),"Red",IF(OR(S139="Yellow",T139="Yellow"),"Yellow","Green"))</f>
        <v/>
      </c>
    </row>
    <row r="140">
      <c r="A140" s="2">
        <f>IFERROR(INDEX('Projects Master'!$A:$A,ROW()-1),"")</f>
        <v/>
      </c>
      <c r="B140" s="101">
        <f>IFERROR(VLOOKUP(A140,'Projects Master'!$A:$I,2,0),"")</f>
        <v/>
      </c>
      <c r="C140" s="101">
        <f>IFERROR(VLOOKUP(A140,'Projects Master'!$A:$I,3,0),"")</f>
        <v/>
      </c>
      <c r="D140" s="101">
        <f>IFERROR(VLOOKUP(A140,'Projects Master'!$A:$I,4,0),"")</f>
        <v/>
      </c>
      <c r="E140" s="4">
        <f>IFERROR(VLOOKUP(A140,'Projects Master'!$A:$I,5,0),"")</f>
        <v/>
      </c>
      <c r="F140" s="92">
        <f>IFERROR(VLOOKUP(A140,'Projects Master'!$A:$I,6,0),"")</f>
        <v/>
      </c>
      <c r="G140" s="6">
        <f>IFERROR(VLOOKUP(A140,'Projects Master'!$A:$I,7,0),"")</f>
        <v/>
      </c>
      <c r="H140" s="6">
        <f>IFERROR(VLOOKUP(A140,'Projects Master'!$A:$I,8,0),"")</f>
        <v/>
      </c>
      <c r="I140" s="7">
        <f>IFERROR(VLOOKUP(A140,'Projects Master'!$A:$I,9,0),"")</f>
        <v/>
      </c>
      <c r="J140" s="6">
        <f>_xlfn.LET(_xlpm.t,_xlfn.MINIFS('Work Items'!P:P,'Work Items'!D:D,B140,'Work Items'!A:A,"Task"),_xlpm.b,_xlfn.MINIFS('Work Items'!P:P,'Work Items'!D:D,B140,'Work Items'!A:A,"Bug"),_xlpm.m,IF(AND(_xlpm.t=0,_xlpm.b=0),0,IF(_xlpm.t=0,_xlpm.b,IF(_xlpm.b=0,_xlpm.t,MIN(_xlpm.t,_xlpm.b)))),IF(_xlpm.m=0,G140,_xlpm.m))</f>
        <v/>
      </c>
      <c r="K140" s="6">
        <f>_xlfn.LET(_xlpm.t,_xlfn.MAXIFS('Work Items'!Q:Q,'Work Items'!D:D,B140,'Work Items'!A:A,"Task"),_xlpm.b,_xlfn.MAXIFS('Work Items'!Q:Q,'Work Items'!D:D,B140,'Work Items'!A:A,"Bug"),_xlpm.m,MAX(_xlpm.t,_xlpm.b),IF(_xlpm.m=0,H140,_xlpm.m))</f>
        <v/>
      </c>
      <c r="L140" s="8">
        <f>IFERROR(SUMIFS('Work Items'!O:O,'Work Items'!D:D,B140,'Work Items'!A:A,"Task"),0)</f>
        <v/>
      </c>
      <c r="M140" s="9">
        <f>IF(ISNUMBER(I140),I140-L140,"N/A")</f>
        <v/>
      </c>
      <c r="N140" s="10">
        <f>IF(AND(ISNUMBER(H140),K140&gt;0),INT(H140-K140),"TBD")</f>
        <v/>
      </c>
      <c r="O140" s="100">
        <f>TEXT(COUNTIFS('Work Items'!A:A,"Task",'Work Items'!D:D,B140,'Work Items'!L:L,"Completed"),"0")&amp;" / "&amp;TEXT(COUNTIFS('Work Items'!A:A,"Task",'Work Items'!D:D,B140),"0")&amp;" Tasks"</f>
        <v/>
      </c>
      <c r="P140" s="100">
        <f>TEXT(COUNTIFS('Work Items'!A:A,"Bug",'Work Items'!D:D,B140,'Work Items'!L:L,"Fixed"),"0")&amp;" / "&amp;TEXT(COUNTIFS('Work Items'!A:A,"Bug",'Work Items'!D:D,B140),"0")&amp;" Bugs"</f>
        <v/>
      </c>
      <c r="Q140" s="100">
        <f>TEXT(COUNTIFS('Work Items'!A:A,"Risk",'Work Items'!D:D,B140,'Work Items'!L:L,"Open"),"0")&amp;" Open"</f>
        <v/>
      </c>
      <c r="R140" s="100">
        <f>TEXT(COUNTIFS('Work Items'!A:A,"CR",'Work Items'!D:D,B140,'Work Items'!L:L,"Pending Approval"),"0")&amp;" Pending"</f>
        <v/>
      </c>
      <c r="S140" s="11">
        <f>IF(N140="TBD","Yellow",IF(ISNUMBER(N140),IF(N140&lt;0,"Red",IF(N140&lt;14,"Yellow","Green")),"Yellow"))</f>
        <v/>
      </c>
      <c r="T140" s="11">
        <f>IF(NOT(ISNUMBER(M140)),"Yellow",IF(M140&lt;0,"Red",IF(M140/I140&lt;0.05,"Yellow","Green")))</f>
        <v/>
      </c>
      <c r="U140" s="11">
        <f>IF(OR(S140="Red",T140="Red"),"Red",IF(OR(S140="Yellow",T140="Yellow"),"Yellow","Green"))</f>
        <v/>
      </c>
    </row>
    <row r="141">
      <c r="A141" s="2">
        <f>IFERROR(INDEX('Projects Master'!$A:$A,ROW()-1),"")</f>
        <v/>
      </c>
      <c r="B141" s="101">
        <f>IFERROR(VLOOKUP(A141,'Projects Master'!$A:$I,2,0),"")</f>
        <v/>
      </c>
      <c r="C141" s="101">
        <f>IFERROR(VLOOKUP(A141,'Projects Master'!$A:$I,3,0),"")</f>
        <v/>
      </c>
      <c r="D141" s="101">
        <f>IFERROR(VLOOKUP(A141,'Projects Master'!$A:$I,4,0),"")</f>
        <v/>
      </c>
      <c r="E141" s="4">
        <f>IFERROR(VLOOKUP(A141,'Projects Master'!$A:$I,5,0),"")</f>
        <v/>
      </c>
      <c r="F141" s="92">
        <f>IFERROR(VLOOKUP(A141,'Projects Master'!$A:$I,6,0),"")</f>
        <v/>
      </c>
      <c r="G141" s="6">
        <f>IFERROR(VLOOKUP(A141,'Projects Master'!$A:$I,7,0),"")</f>
        <v/>
      </c>
      <c r="H141" s="6">
        <f>IFERROR(VLOOKUP(A141,'Projects Master'!$A:$I,8,0),"")</f>
        <v/>
      </c>
      <c r="I141" s="7">
        <f>IFERROR(VLOOKUP(A141,'Projects Master'!$A:$I,9,0),"")</f>
        <v/>
      </c>
      <c r="J141" s="6">
        <f>_xlfn.LET(_xlpm.t,_xlfn.MINIFS('Work Items'!P:P,'Work Items'!D:D,B141,'Work Items'!A:A,"Task"),_xlpm.b,_xlfn.MINIFS('Work Items'!P:P,'Work Items'!D:D,B141,'Work Items'!A:A,"Bug"),_xlpm.m,IF(AND(_xlpm.t=0,_xlpm.b=0),0,IF(_xlpm.t=0,_xlpm.b,IF(_xlpm.b=0,_xlpm.t,MIN(_xlpm.t,_xlpm.b)))),IF(_xlpm.m=0,G141,_xlpm.m))</f>
        <v/>
      </c>
      <c r="K141" s="6">
        <f>_xlfn.LET(_xlpm.t,_xlfn.MAXIFS('Work Items'!Q:Q,'Work Items'!D:D,B141,'Work Items'!A:A,"Task"),_xlpm.b,_xlfn.MAXIFS('Work Items'!Q:Q,'Work Items'!D:D,B141,'Work Items'!A:A,"Bug"),_xlpm.m,MAX(_xlpm.t,_xlpm.b),IF(_xlpm.m=0,H141,_xlpm.m))</f>
        <v/>
      </c>
      <c r="L141" s="8">
        <f>IFERROR(SUMIFS('Work Items'!O:O,'Work Items'!D:D,B141,'Work Items'!A:A,"Task"),0)</f>
        <v/>
      </c>
      <c r="M141" s="9">
        <f>IF(ISNUMBER(I141),I141-L141,"N/A")</f>
        <v/>
      </c>
      <c r="N141" s="10">
        <f>IF(AND(ISNUMBER(H141),K141&gt;0),INT(H141-K141),"TBD")</f>
        <v/>
      </c>
      <c r="O141" s="100">
        <f>TEXT(COUNTIFS('Work Items'!A:A,"Task",'Work Items'!D:D,B141,'Work Items'!L:L,"Completed"),"0")&amp;" / "&amp;TEXT(COUNTIFS('Work Items'!A:A,"Task",'Work Items'!D:D,B141),"0")&amp;" Tasks"</f>
        <v/>
      </c>
      <c r="P141" s="100">
        <f>TEXT(COUNTIFS('Work Items'!A:A,"Bug",'Work Items'!D:D,B141,'Work Items'!L:L,"Fixed"),"0")&amp;" / "&amp;TEXT(COUNTIFS('Work Items'!A:A,"Bug",'Work Items'!D:D,B141),"0")&amp;" Bugs"</f>
        <v/>
      </c>
      <c r="Q141" s="100">
        <f>TEXT(COUNTIFS('Work Items'!A:A,"Risk",'Work Items'!D:D,B141,'Work Items'!L:L,"Open"),"0")&amp;" Open"</f>
        <v/>
      </c>
      <c r="R141" s="100">
        <f>TEXT(COUNTIFS('Work Items'!A:A,"CR",'Work Items'!D:D,B141,'Work Items'!L:L,"Pending Approval"),"0")&amp;" Pending"</f>
        <v/>
      </c>
      <c r="S141" s="11">
        <f>IF(N141="TBD","Yellow",IF(ISNUMBER(N141),IF(N141&lt;0,"Red",IF(N141&lt;14,"Yellow","Green")),"Yellow"))</f>
        <v/>
      </c>
      <c r="T141" s="11">
        <f>IF(NOT(ISNUMBER(M141)),"Yellow",IF(M141&lt;0,"Red",IF(M141/I141&lt;0.05,"Yellow","Green")))</f>
        <v/>
      </c>
      <c r="U141" s="11">
        <f>IF(OR(S141="Red",T141="Red"),"Red",IF(OR(S141="Yellow",T141="Yellow"),"Yellow","Green"))</f>
        <v/>
      </c>
    </row>
    <row r="142">
      <c r="A142" s="2">
        <f>IFERROR(INDEX('Projects Master'!$A:$A,ROW()-1),"")</f>
        <v/>
      </c>
      <c r="B142" s="101">
        <f>IFERROR(VLOOKUP(A142,'Projects Master'!$A:$I,2,0),"")</f>
        <v/>
      </c>
      <c r="C142" s="101">
        <f>IFERROR(VLOOKUP(A142,'Projects Master'!$A:$I,3,0),"")</f>
        <v/>
      </c>
      <c r="D142" s="101">
        <f>IFERROR(VLOOKUP(A142,'Projects Master'!$A:$I,4,0),"")</f>
        <v/>
      </c>
      <c r="E142" s="4">
        <f>IFERROR(VLOOKUP(A142,'Projects Master'!$A:$I,5,0),"")</f>
        <v/>
      </c>
      <c r="F142" s="92">
        <f>IFERROR(VLOOKUP(A142,'Projects Master'!$A:$I,6,0),"")</f>
        <v/>
      </c>
      <c r="G142" s="6">
        <f>IFERROR(VLOOKUP(A142,'Projects Master'!$A:$I,7,0),"")</f>
        <v/>
      </c>
      <c r="H142" s="6">
        <f>IFERROR(VLOOKUP(A142,'Projects Master'!$A:$I,8,0),"")</f>
        <v/>
      </c>
      <c r="I142" s="7">
        <f>IFERROR(VLOOKUP(A142,'Projects Master'!$A:$I,9,0),"")</f>
        <v/>
      </c>
      <c r="J142" s="6">
        <f>_xlfn.LET(_xlpm.t,_xlfn.MINIFS('Work Items'!P:P,'Work Items'!D:D,B142,'Work Items'!A:A,"Task"),_xlpm.b,_xlfn.MINIFS('Work Items'!P:P,'Work Items'!D:D,B142,'Work Items'!A:A,"Bug"),_xlpm.m,IF(AND(_xlpm.t=0,_xlpm.b=0),0,IF(_xlpm.t=0,_xlpm.b,IF(_xlpm.b=0,_xlpm.t,MIN(_xlpm.t,_xlpm.b)))),IF(_xlpm.m=0,G142,_xlpm.m))</f>
        <v/>
      </c>
      <c r="K142" s="6">
        <f>_xlfn.LET(_xlpm.t,_xlfn.MAXIFS('Work Items'!Q:Q,'Work Items'!D:D,B142,'Work Items'!A:A,"Task"),_xlpm.b,_xlfn.MAXIFS('Work Items'!Q:Q,'Work Items'!D:D,B142,'Work Items'!A:A,"Bug"),_xlpm.m,MAX(_xlpm.t,_xlpm.b),IF(_xlpm.m=0,H142,_xlpm.m))</f>
        <v/>
      </c>
      <c r="L142" s="8">
        <f>IFERROR(SUMIFS('Work Items'!O:O,'Work Items'!D:D,B142,'Work Items'!A:A,"Task"),0)</f>
        <v/>
      </c>
      <c r="M142" s="9">
        <f>IF(ISNUMBER(I142),I142-L142,"N/A")</f>
        <v/>
      </c>
      <c r="N142" s="10">
        <f>IF(AND(ISNUMBER(H142),K142&gt;0),INT(H142-K142),"TBD")</f>
        <v/>
      </c>
      <c r="O142" s="100">
        <f>TEXT(COUNTIFS('Work Items'!A:A,"Task",'Work Items'!D:D,B142,'Work Items'!L:L,"Completed"),"0")&amp;" / "&amp;TEXT(COUNTIFS('Work Items'!A:A,"Task",'Work Items'!D:D,B142),"0")&amp;" Tasks"</f>
        <v/>
      </c>
      <c r="P142" s="100">
        <f>TEXT(COUNTIFS('Work Items'!A:A,"Bug",'Work Items'!D:D,B142,'Work Items'!L:L,"Fixed"),"0")&amp;" / "&amp;TEXT(COUNTIFS('Work Items'!A:A,"Bug",'Work Items'!D:D,B142),"0")&amp;" Bugs"</f>
        <v/>
      </c>
      <c r="Q142" s="100">
        <f>TEXT(COUNTIFS('Work Items'!A:A,"Risk",'Work Items'!D:D,B142,'Work Items'!L:L,"Open"),"0")&amp;" Open"</f>
        <v/>
      </c>
      <c r="R142" s="100">
        <f>TEXT(COUNTIFS('Work Items'!A:A,"CR",'Work Items'!D:D,B142,'Work Items'!L:L,"Pending Approval"),"0")&amp;" Pending"</f>
        <v/>
      </c>
      <c r="S142" s="11">
        <f>IF(N142="TBD","Yellow",IF(ISNUMBER(N142),IF(N142&lt;0,"Red",IF(N142&lt;14,"Yellow","Green")),"Yellow"))</f>
        <v/>
      </c>
      <c r="T142" s="11">
        <f>IF(NOT(ISNUMBER(M142)),"Yellow",IF(M142&lt;0,"Red",IF(M142/I142&lt;0.05,"Yellow","Green")))</f>
        <v/>
      </c>
      <c r="U142" s="11">
        <f>IF(OR(S142="Red",T142="Red"),"Red",IF(OR(S142="Yellow",T142="Yellow"),"Yellow","Green"))</f>
        <v/>
      </c>
    </row>
    <row r="143">
      <c r="A143" s="2">
        <f>IFERROR(INDEX('Projects Master'!$A:$A,ROW()-1),"")</f>
        <v/>
      </c>
      <c r="B143" s="101">
        <f>IFERROR(VLOOKUP(A143,'Projects Master'!$A:$I,2,0),"")</f>
        <v/>
      </c>
      <c r="C143" s="101">
        <f>IFERROR(VLOOKUP(A143,'Projects Master'!$A:$I,3,0),"")</f>
        <v/>
      </c>
      <c r="D143" s="101">
        <f>IFERROR(VLOOKUP(A143,'Projects Master'!$A:$I,4,0),"")</f>
        <v/>
      </c>
      <c r="E143" s="4">
        <f>IFERROR(VLOOKUP(A143,'Projects Master'!$A:$I,5,0),"")</f>
        <v/>
      </c>
      <c r="F143" s="92">
        <f>IFERROR(VLOOKUP(A143,'Projects Master'!$A:$I,6,0),"")</f>
        <v/>
      </c>
      <c r="G143" s="6">
        <f>IFERROR(VLOOKUP(A143,'Projects Master'!$A:$I,7,0),"")</f>
        <v/>
      </c>
      <c r="H143" s="6">
        <f>IFERROR(VLOOKUP(A143,'Projects Master'!$A:$I,8,0),"")</f>
        <v/>
      </c>
      <c r="I143" s="7">
        <f>IFERROR(VLOOKUP(A143,'Projects Master'!$A:$I,9,0),"")</f>
        <v/>
      </c>
      <c r="J143" s="6">
        <f>_xlfn.LET(_xlpm.t,_xlfn.MINIFS('Work Items'!P:P,'Work Items'!D:D,B143,'Work Items'!A:A,"Task"),_xlpm.b,_xlfn.MINIFS('Work Items'!P:P,'Work Items'!D:D,B143,'Work Items'!A:A,"Bug"),_xlpm.m,IF(AND(_xlpm.t=0,_xlpm.b=0),0,IF(_xlpm.t=0,_xlpm.b,IF(_xlpm.b=0,_xlpm.t,MIN(_xlpm.t,_xlpm.b)))),IF(_xlpm.m=0,G143,_xlpm.m))</f>
        <v/>
      </c>
      <c r="K143" s="6">
        <f>_xlfn.LET(_xlpm.t,_xlfn.MAXIFS('Work Items'!Q:Q,'Work Items'!D:D,B143,'Work Items'!A:A,"Task"),_xlpm.b,_xlfn.MAXIFS('Work Items'!Q:Q,'Work Items'!D:D,B143,'Work Items'!A:A,"Bug"),_xlpm.m,MAX(_xlpm.t,_xlpm.b),IF(_xlpm.m=0,H143,_xlpm.m))</f>
        <v/>
      </c>
      <c r="L143" s="8">
        <f>IFERROR(SUMIFS('Work Items'!O:O,'Work Items'!D:D,B143,'Work Items'!A:A,"Task"),0)</f>
        <v/>
      </c>
      <c r="M143" s="9">
        <f>IF(ISNUMBER(I143),I143-L143,"N/A")</f>
        <v/>
      </c>
      <c r="N143" s="10">
        <f>IF(AND(ISNUMBER(H143),K143&gt;0),INT(H143-K143),"TBD")</f>
        <v/>
      </c>
      <c r="O143" s="100">
        <f>TEXT(COUNTIFS('Work Items'!A:A,"Task",'Work Items'!D:D,B143,'Work Items'!L:L,"Completed"),"0")&amp;" / "&amp;TEXT(COUNTIFS('Work Items'!A:A,"Task",'Work Items'!D:D,B143),"0")&amp;" Tasks"</f>
        <v/>
      </c>
      <c r="P143" s="100">
        <f>TEXT(COUNTIFS('Work Items'!A:A,"Bug",'Work Items'!D:D,B143,'Work Items'!L:L,"Fixed"),"0")&amp;" / "&amp;TEXT(COUNTIFS('Work Items'!A:A,"Bug",'Work Items'!D:D,B143),"0")&amp;" Bugs"</f>
        <v/>
      </c>
      <c r="Q143" s="100">
        <f>TEXT(COUNTIFS('Work Items'!A:A,"Risk",'Work Items'!D:D,B143,'Work Items'!L:L,"Open"),"0")&amp;" Open"</f>
        <v/>
      </c>
      <c r="R143" s="100">
        <f>TEXT(COUNTIFS('Work Items'!A:A,"CR",'Work Items'!D:D,B143,'Work Items'!L:L,"Pending Approval"),"0")&amp;" Pending"</f>
        <v/>
      </c>
      <c r="S143" s="11">
        <f>IF(N143="TBD","Yellow",IF(ISNUMBER(N143),IF(N143&lt;0,"Red",IF(N143&lt;14,"Yellow","Green")),"Yellow"))</f>
        <v/>
      </c>
      <c r="T143" s="11">
        <f>IF(NOT(ISNUMBER(M143)),"Yellow",IF(M143&lt;0,"Red",IF(M143/I143&lt;0.05,"Yellow","Green")))</f>
        <v/>
      </c>
      <c r="U143" s="11">
        <f>IF(OR(S143="Red",T143="Red"),"Red",IF(OR(S143="Yellow",T143="Yellow"),"Yellow","Green"))</f>
        <v/>
      </c>
    </row>
    <row r="144">
      <c r="A144" s="2">
        <f>IFERROR(INDEX('Projects Master'!$A:$A,ROW()-1),"")</f>
        <v/>
      </c>
      <c r="B144" s="101">
        <f>IFERROR(VLOOKUP(A144,'Projects Master'!$A:$I,2,0),"")</f>
        <v/>
      </c>
      <c r="C144" s="101">
        <f>IFERROR(VLOOKUP(A144,'Projects Master'!$A:$I,3,0),"")</f>
        <v/>
      </c>
      <c r="D144" s="101">
        <f>IFERROR(VLOOKUP(A144,'Projects Master'!$A:$I,4,0),"")</f>
        <v/>
      </c>
      <c r="E144" s="4">
        <f>IFERROR(VLOOKUP(A144,'Projects Master'!$A:$I,5,0),"")</f>
        <v/>
      </c>
      <c r="F144" s="92">
        <f>IFERROR(VLOOKUP(A144,'Projects Master'!$A:$I,6,0),"")</f>
        <v/>
      </c>
      <c r="G144" s="6">
        <f>IFERROR(VLOOKUP(A144,'Projects Master'!$A:$I,7,0),"")</f>
        <v/>
      </c>
      <c r="H144" s="6">
        <f>IFERROR(VLOOKUP(A144,'Projects Master'!$A:$I,8,0),"")</f>
        <v/>
      </c>
      <c r="I144" s="7">
        <f>IFERROR(VLOOKUP(A144,'Projects Master'!$A:$I,9,0),"")</f>
        <v/>
      </c>
      <c r="J144" s="6">
        <f>_xlfn.LET(_xlpm.t,_xlfn.MINIFS('Work Items'!P:P,'Work Items'!D:D,B144,'Work Items'!A:A,"Task"),_xlpm.b,_xlfn.MINIFS('Work Items'!P:P,'Work Items'!D:D,B144,'Work Items'!A:A,"Bug"),_xlpm.m,IF(AND(_xlpm.t=0,_xlpm.b=0),0,IF(_xlpm.t=0,_xlpm.b,IF(_xlpm.b=0,_xlpm.t,MIN(_xlpm.t,_xlpm.b)))),IF(_xlpm.m=0,G144,_xlpm.m))</f>
        <v/>
      </c>
      <c r="K144" s="6">
        <f>_xlfn.LET(_xlpm.t,_xlfn.MAXIFS('Work Items'!Q:Q,'Work Items'!D:D,B144,'Work Items'!A:A,"Task"),_xlpm.b,_xlfn.MAXIFS('Work Items'!Q:Q,'Work Items'!D:D,B144,'Work Items'!A:A,"Bug"),_xlpm.m,MAX(_xlpm.t,_xlpm.b),IF(_xlpm.m=0,H144,_xlpm.m))</f>
        <v/>
      </c>
      <c r="L144" s="8">
        <f>IFERROR(SUMIFS('Work Items'!O:O,'Work Items'!D:D,B144,'Work Items'!A:A,"Task"),0)</f>
        <v/>
      </c>
      <c r="M144" s="9">
        <f>IF(ISNUMBER(I144),I144-L144,"N/A")</f>
        <v/>
      </c>
      <c r="N144" s="10">
        <f>IF(AND(ISNUMBER(H144),K144&gt;0),INT(H144-K144),"TBD")</f>
        <v/>
      </c>
      <c r="O144" s="100">
        <f>TEXT(COUNTIFS('Work Items'!A:A,"Task",'Work Items'!D:D,B144,'Work Items'!L:L,"Completed"),"0")&amp;" / "&amp;TEXT(COUNTIFS('Work Items'!A:A,"Task",'Work Items'!D:D,B144),"0")&amp;" Tasks"</f>
        <v/>
      </c>
      <c r="P144" s="100">
        <f>TEXT(COUNTIFS('Work Items'!A:A,"Bug",'Work Items'!D:D,B144,'Work Items'!L:L,"Fixed"),"0")&amp;" / "&amp;TEXT(COUNTIFS('Work Items'!A:A,"Bug",'Work Items'!D:D,B144),"0")&amp;" Bugs"</f>
        <v/>
      </c>
      <c r="Q144" s="100">
        <f>TEXT(COUNTIFS('Work Items'!A:A,"Risk",'Work Items'!D:D,B144,'Work Items'!L:L,"Open"),"0")&amp;" Open"</f>
        <v/>
      </c>
      <c r="R144" s="100">
        <f>TEXT(COUNTIFS('Work Items'!A:A,"CR",'Work Items'!D:D,B144,'Work Items'!L:L,"Pending Approval"),"0")&amp;" Pending"</f>
        <v/>
      </c>
      <c r="S144" s="11">
        <f>IF(N144="TBD","Yellow",IF(ISNUMBER(N144),IF(N144&lt;0,"Red",IF(N144&lt;14,"Yellow","Green")),"Yellow"))</f>
        <v/>
      </c>
      <c r="T144" s="11">
        <f>IF(NOT(ISNUMBER(M144)),"Yellow",IF(M144&lt;0,"Red",IF(M144/I144&lt;0.05,"Yellow","Green")))</f>
        <v/>
      </c>
      <c r="U144" s="11">
        <f>IF(OR(S144="Red",T144="Red"),"Red",IF(OR(S144="Yellow",T144="Yellow"),"Yellow","Green"))</f>
        <v/>
      </c>
    </row>
    <row r="145">
      <c r="A145" s="2">
        <f>IFERROR(INDEX('Projects Master'!$A:$A,ROW()-1),"")</f>
        <v/>
      </c>
      <c r="B145" s="101">
        <f>IFERROR(VLOOKUP(A145,'Projects Master'!$A:$I,2,0),"")</f>
        <v/>
      </c>
      <c r="C145" s="101">
        <f>IFERROR(VLOOKUP(A145,'Projects Master'!$A:$I,3,0),"")</f>
        <v/>
      </c>
      <c r="D145" s="101">
        <f>IFERROR(VLOOKUP(A145,'Projects Master'!$A:$I,4,0),"")</f>
        <v/>
      </c>
      <c r="E145" s="4">
        <f>IFERROR(VLOOKUP(A145,'Projects Master'!$A:$I,5,0),"")</f>
        <v/>
      </c>
      <c r="F145" s="92">
        <f>IFERROR(VLOOKUP(A145,'Projects Master'!$A:$I,6,0),"")</f>
        <v/>
      </c>
      <c r="G145" s="6">
        <f>IFERROR(VLOOKUP(A145,'Projects Master'!$A:$I,7,0),"")</f>
        <v/>
      </c>
      <c r="H145" s="6">
        <f>IFERROR(VLOOKUP(A145,'Projects Master'!$A:$I,8,0),"")</f>
        <v/>
      </c>
      <c r="I145" s="7">
        <f>IFERROR(VLOOKUP(A145,'Projects Master'!$A:$I,9,0),"")</f>
        <v/>
      </c>
      <c r="J145" s="6">
        <f>_xlfn.LET(_xlpm.t,_xlfn.MINIFS('Work Items'!P:P,'Work Items'!D:D,B145,'Work Items'!A:A,"Task"),_xlpm.b,_xlfn.MINIFS('Work Items'!P:P,'Work Items'!D:D,B145,'Work Items'!A:A,"Bug"),_xlpm.m,IF(AND(_xlpm.t=0,_xlpm.b=0),0,IF(_xlpm.t=0,_xlpm.b,IF(_xlpm.b=0,_xlpm.t,MIN(_xlpm.t,_xlpm.b)))),IF(_xlpm.m=0,G145,_xlpm.m))</f>
        <v/>
      </c>
      <c r="K145" s="6">
        <f>_xlfn.LET(_xlpm.t,_xlfn.MAXIFS('Work Items'!Q:Q,'Work Items'!D:D,B145,'Work Items'!A:A,"Task"),_xlpm.b,_xlfn.MAXIFS('Work Items'!Q:Q,'Work Items'!D:D,B145,'Work Items'!A:A,"Bug"),_xlpm.m,MAX(_xlpm.t,_xlpm.b),IF(_xlpm.m=0,H145,_xlpm.m))</f>
        <v/>
      </c>
      <c r="L145" s="8">
        <f>IFERROR(SUMIFS('Work Items'!O:O,'Work Items'!D:D,B145,'Work Items'!A:A,"Task"),0)</f>
        <v/>
      </c>
      <c r="M145" s="9">
        <f>IF(ISNUMBER(I145),I145-L145,"N/A")</f>
        <v/>
      </c>
      <c r="N145" s="10">
        <f>IF(AND(ISNUMBER(H145),K145&gt;0),INT(H145-K145),"TBD")</f>
        <v/>
      </c>
      <c r="O145" s="100">
        <f>TEXT(COUNTIFS('Work Items'!A:A,"Task",'Work Items'!D:D,B145,'Work Items'!L:L,"Completed"),"0")&amp;" / "&amp;TEXT(COUNTIFS('Work Items'!A:A,"Task",'Work Items'!D:D,B145),"0")&amp;" Tasks"</f>
        <v/>
      </c>
      <c r="P145" s="100">
        <f>TEXT(COUNTIFS('Work Items'!A:A,"Bug",'Work Items'!D:D,B145,'Work Items'!L:L,"Fixed"),"0")&amp;" / "&amp;TEXT(COUNTIFS('Work Items'!A:A,"Bug",'Work Items'!D:D,B145),"0")&amp;" Bugs"</f>
        <v/>
      </c>
      <c r="Q145" s="100">
        <f>TEXT(COUNTIFS('Work Items'!A:A,"Risk",'Work Items'!D:D,B145,'Work Items'!L:L,"Open"),"0")&amp;" Open"</f>
        <v/>
      </c>
      <c r="R145" s="100">
        <f>TEXT(COUNTIFS('Work Items'!A:A,"CR",'Work Items'!D:D,B145,'Work Items'!L:L,"Pending Approval"),"0")&amp;" Pending"</f>
        <v/>
      </c>
      <c r="S145" s="11">
        <f>IF(N145="TBD","Yellow",IF(ISNUMBER(N145),IF(N145&lt;0,"Red",IF(N145&lt;14,"Yellow","Green")),"Yellow"))</f>
        <v/>
      </c>
      <c r="T145" s="11">
        <f>IF(NOT(ISNUMBER(M145)),"Yellow",IF(M145&lt;0,"Red",IF(M145/I145&lt;0.05,"Yellow","Green")))</f>
        <v/>
      </c>
      <c r="U145" s="11">
        <f>IF(OR(S145="Red",T145="Red"),"Red",IF(OR(S145="Yellow",T145="Yellow"),"Yellow","Green"))</f>
        <v/>
      </c>
    </row>
    <row r="146">
      <c r="A146" s="2">
        <f>IFERROR(INDEX('Projects Master'!$A:$A,ROW()-1),"")</f>
        <v/>
      </c>
      <c r="B146" s="101">
        <f>IFERROR(VLOOKUP(A146,'Projects Master'!$A:$I,2,0),"")</f>
        <v/>
      </c>
      <c r="C146" s="101">
        <f>IFERROR(VLOOKUP(A146,'Projects Master'!$A:$I,3,0),"")</f>
        <v/>
      </c>
      <c r="D146" s="101">
        <f>IFERROR(VLOOKUP(A146,'Projects Master'!$A:$I,4,0),"")</f>
        <v/>
      </c>
      <c r="E146" s="4">
        <f>IFERROR(VLOOKUP(A146,'Projects Master'!$A:$I,5,0),"")</f>
        <v/>
      </c>
      <c r="F146" s="92">
        <f>IFERROR(VLOOKUP(A146,'Projects Master'!$A:$I,6,0),"")</f>
        <v/>
      </c>
      <c r="G146" s="6">
        <f>IFERROR(VLOOKUP(A146,'Projects Master'!$A:$I,7,0),"")</f>
        <v/>
      </c>
      <c r="H146" s="6">
        <f>IFERROR(VLOOKUP(A146,'Projects Master'!$A:$I,8,0),"")</f>
        <v/>
      </c>
      <c r="I146" s="7">
        <f>IFERROR(VLOOKUP(A146,'Projects Master'!$A:$I,9,0),"")</f>
        <v/>
      </c>
      <c r="J146" s="6">
        <f>_xlfn.LET(_xlpm.t,_xlfn.MINIFS('Work Items'!P:P,'Work Items'!D:D,B146,'Work Items'!A:A,"Task"),_xlpm.b,_xlfn.MINIFS('Work Items'!P:P,'Work Items'!D:D,B146,'Work Items'!A:A,"Bug"),_xlpm.m,IF(AND(_xlpm.t=0,_xlpm.b=0),0,IF(_xlpm.t=0,_xlpm.b,IF(_xlpm.b=0,_xlpm.t,MIN(_xlpm.t,_xlpm.b)))),IF(_xlpm.m=0,G146,_xlpm.m))</f>
        <v/>
      </c>
      <c r="K146" s="6">
        <f>_xlfn.LET(_xlpm.t,_xlfn.MAXIFS('Work Items'!Q:Q,'Work Items'!D:D,B146,'Work Items'!A:A,"Task"),_xlpm.b,_xlfn.MAXIFS('Work Items'!Q:Q,'Work Items'!D:D,B146,'Work Items'!A:A,"Bug"),_xlpm.m,MAX(_xlpm.t,_xlpm.b),IF(_xlpm.m=0,H146,_xlpm.m))</f>
        <v/>
      </c>
      <c r="L146" s="8">
        <f>IFERROR(SUMIFS('Work Items'!O:O,'Work Items'!D:D,B146,'Work Items'!A:A,"Task"),0)</f>
        <v/>
      </c>
      <c r="M146" s="9">
        <f>IF(ISNUMBER(I146),I146-L146,"N/A")</f>
        <v/>
      </c>
      <c r="N146" s="10">
        <f>IF(AND(ISNUMBER(H146),K146&gt;0),INT(H146-K146),"TBD")</f>
        <v/>
      </c>
      <c r="O146" s="100">
        <f>TEXT(COUNTIFS('Work Items'!A:A,"Task",'Work Items'!D:D,B146,'Work Items'!L:L,"Completed"),"0")&amp;" / "&amp;TEXT(COUNTIFS('Work Items'!A:A,"Task",'Work Items'!D:D,B146),"0")&amp;" Tasks"</f>
        <v/>
      </c>
      <c r="P146" s="100">
        <f>TEXT(COUNTIFS('Work Items'!A:A,"Bug",'Work Items'!D:D,B146,'Work Items'!L:L,"Fixed"),"0")&amp;" / "&amp;TEXT(COUNTIFS('Work Items'!A:A,"Bug",'Work Items'!D:D,B146),"0")&amp;" Bugs"</f>
        <v/>
      </c>
      <c r="Q146" s="100">
        <f>TEXT(COUNTIFS('Work Items'!A:A,"Risk",'Work Items'!D:D,B146,'Work Items'!L:L,"Open"),"0")&amp;" Open"</f>
        <v/>
      </c>
      <c r="R146" s="100">
        <f>TEXT(COUNTIFS('Work Items'!A:A,"CR",'Work Items'!D:D,B146,'Work Items'!L:L,"Pending Approval"),"0")&amp;" Pending"</f>
        <v/>
      </c>
      <c r="S146" s="11">
        <f>IF(N146="TBD","Yellow",IF(ISNUMBER(N146),IF(N146&lt;0,"Red",IF(N146&lt;14,"Yellow","Green")),"Yellow"))</f>
        <v/>
      </c>
      <c r="T146" s="11">
        <f>IF(NOT(ISNUMBER(M146)),"Yellow",IF(M146&lt;0,"Red",IF(M146/I146&lt;0.05,"Yellow","Green")))</f>
        <v/>
      </c>
      <c r="U146" s="11">
        <f>IF(OR(S146="Red",T146="Red"),"Red",IF(OR(S146="Yellow",T146="Yellow"),"Yellow","Green"))</f>
        <v/>
      </c>
    </row>
    <row r="147">
      <c r="A147" s="2">
        <f>IFERROR(INDEX('Projects Master'!$A:$A,ROW()-1),"")</f>
        <v/>
      </c>
      <c r="B147" s="101">
        <f>IFERROR(VLOOKUP(A147,'Projects Master'!$A:$I,2,0),"")</f>
        <v/>
      </c>
      <c r="C147" s="101">
        <f>IFERROR(VLOOKUP(A147,'Projects Master'!$A:$I,3,0),"")</f>
        <v/>
      </c>
      <c r="D147" s="101">
        <f>IFERROR(VLOOKUP(A147,'Projects Master'!$A:$I,4,0),"")</f>
        <v/>
      </c>
      <c r="E147" s="4">
        <f>IFERROR(VLOOKUP(A147,'Projects Master'!$A:$I,5,0),"")</f>
        <v/>
      </c>
      <c r="F147" s="92">
        <f>IFERROR(VLOOKUP(A147,'Projects Master'!$A:$I,6,0),"")</f>
        <v/>
      </c>
      <c r="G147" s="6">
        <f>IFERROR(VLOOKUP(A147,'Projects Master'!$A:$I,7,0),"")</f>
        <v/>
      </c>
      <c r="H147" s="6">
        <f>IFERROR(VLOOKUP(A147,'Projects Master'!$A:$I,8,0),"")</f>
        <v/>
      </c>
      <c r="I147" s="7">
        <f>IFERROR(VLOOKUP(A147,'Projects Master'!$A:$I,9,0),"")</f>
        <v/>
      </c>
      <c r="J147" s="6">
        <f>_xlfn.LET(_xlpm.t,_xlfn.MINIFS('Work Items'!P:P,'Work Items'!D:D,B147,'Work Items'!A:A,"Task"),_xlpm.b,_xlfn.MINIFS('Work Items'!P:P,'Work Items'!D:D,B147,'Work Items'!A:A,"Bug"),_xlpm.m,IF(AND(_xlpm.t=0,_xlpm.b=0),0,IF(_xlpm.t=0,_xlpm.b,IF(_xlpm.b=0,_xlpm.t,MIN(_xlpm.t,_xlpm.b)))),IF(_xlpm.m=0,G147,_xlpm.m))</f>
        <v/>
      </c>
      <c r="K147" s="6">
        <f>_xlfn.LET(_xlpm.t,_xlfn.MAXIFS('Work Items'!Q:Q,'Work Items'!D:D,B147,'Work Items'!A:A,"Task"),_xlpm.b,_xlfn.MAXIFS('Work Items'!Q:Q,'Work Items'!D:D,B147,'Work Items'!A:A,"Bug"),_xlpm.m,MAX(_xlpm.t,_xlpm.b),IF(_xlpm.m=0,H147,_xlpm.m))</f>
        <v/>
      </c>
      <c r="L147" s="8">
        <f>IFERROR(SUMIFS('Work Items'!O:O,'Work Items'!D:D,B147,'Work Items'!A:A,"Task"),0)</f>
        <v/>
      </c>
      <c r="M147" s="9">
        <f>IF(ISNUMBER(I147),I147-L147,"N/A")</f>
        <v/>
      </c>
      <c r="N147" s="10">
        <f>IF(AND(ISNUMBER(H147),K147&gt;0),INT(H147-K147),"TBD")</f>
        <v/>
      </c>
      <c r="O147" s="100">
        <f>TEXT(COUNTIFS('Work Items'!A:A,"Task",'Work Items'!D:D,B147,'Work Items'!L:L,"Completed"),"0")&amp;" / "&amp;TEXT(COUNTIFS('Work Items'!A:A,"Task",'Work Items'!D:D,B147),"0")&amp;" Tasks"</f>
        <v/>
      </c>
      <c r="P147" s="100">
        <f>TEXT(COUNTIFS('Work Items'!A:A,"Bug",'Work Items'!D:D,B147,'Work Items'!L:L,"Fixed"),"0")&amp;" / "&amp;TEXT(COUNTIFS('Work Items'!A:A,"Bug",'Work Items'!D:D,B147),"0")&amp;" Bugs"</f>
        <v/>
      </c>
      <c r="Q147" s="100">
        <f>TEXT(COUNTIFS('Work Items'!A:A,"Risk",'Work Items'!D:D,B147,'Work Items'!L:L,"Open"),"0")&amp;" Open"</f>
        <v/>
      </c>
      <c r="R147" s="100">
        <f>TEXT(COUNTIFS('Work Items'!A:A,"CR",'Work Items'!D:D,B147,'Work Items'!L:L,"Pending Approval"),"0")&amp;" Pending"</f>
        <v/>
      </c>
      <c r="S147" s="11">
        <f>IF(N147="TBD","Yellow",IF(ISNUMBER(N147),IF(N147&lt;0,"Red",IF(N147&lt;14,"Yellow","Green")),"Yellow"))</f>
        <v/>
      </c>
      <c r="T147" s="11">
        <f>IF(NOT(ISNUMBER(M147)),"Yellow",IF(M147&lt;0,"Red",IF(M147/I147&lt;0.05,"Yellow","Green")))</f>
        <v/>
      </c>
      <c r="U147" s="11">
        <f>IF(OR(S147="Red",T147="Red"),"Red",IF(OR(S147="Yellow",T147="Yellow"),"Yellow","Green"))</f>
        <v/>
      </c>
    </row>
    <row r="148">
      <c r="A148" s="2">
        <f>IFERROR(INDEX('Projects Master'!$A:$A,ROW()-1),"")</f>
        <v/>
      </c>
      <c r="B148" s="101">
        <f>IFERROR(VLOOKUP(A148,'Projects Master'!$A:$I,2,0),"")</f>
        <v/>
      </c>
      <c r="C148" s="101">
        <f>IFERROR(VLOOKUP(A148,'Projects Master'!$A:$I,3,0),"")</f>
        <v/>
      </c>
      <c r="D148" s="101">
        <f>IFERROR(VLOOKUP(A148,'Projects Master'!$A:$I,4,0),"")</f>
        <v/>
      </c>
      <c r="E148" s="4">
        <f>IFERROR(VLOOKUP(A148,'Projects Master'!$A:$I,5,0),"")</f>
        <v/>
      </c>
      <c r="F148" s="92">
        <f>IFERROR(VLOOKUP(A148,'Projects Master'!$A:$I,6,0),"")</f>
        <v/>
      </c>
      <c r="G148" s="6">
        <f>IFERROR(VLOOKUP(A148,'Projects Master'!$A:$I,7,0),"")</f>
        <v/>
      </c>
      <c r="H148" s="6">
        <f>IFERROR(VLOOKUP(A148,'Projects Master'!$A:$I,8,0),"")</f>
        <v/>
      </c>
      <c r="I148" s="7">
        <f>IFERROR(VLOOKUP(A148,'Projects Master'!$A:$I,9,0),"")</f>
        <v/>
      </c>
      <c r="J148" s="6">
        <f>_xlfn.LET(_xlpm.t,_xlfn.MINIFS('Work Items'!P:P,'Work Items'!D:D,B148,'Work Items'!A:A,"Task"),_xlpm.b,_xlfn.MINIFS('Work Items'!P:P,'Work Items'!D:D,B148,'Work Items'!A:A,"Bug"),_xlpm.m,IF(AND(_xlpm.t=0,_xlpm.b=0),0,IF(_xlpm.t=0,_xlpm.b,IF(_xlpm.b=0,_xlpm.t,MIN(_xlpm.t,_xlpm.b)))),IF(_xlpm.m=0,G148,_xlpm.m))</f>
        <v/>
      </c>
      <c r="K148" s="6">
        <f>_xlfn.LET(_xlpm.t,_xlfn.MAXIFS('Work Items'!Q:Q,'Work Items'!D:D,B148,'Work Items'!A:A,"Task"),_xlpm.b,_xlfn.MAXIFS('Work Items'!Q:Q,'Work Items'!D:D,B148,'Work Items'!A:A,"Bug"),_xlpm.m,MAX(_xlpm.t,_xlpm.b),IF(_xlpm.m=0,H148,_xlpm.m))</f>
        <v/>
      </c>
      <c r="L148" s="8">
        <f>IFERROR(SUMIFS('Work Items'!O:O,'Work Items'!D:D,B148,'Work Items'!A:A,"Task"),0)</f>
        <v/>
      </c>
      <c r="M148" s="9">
        <f>IF(ISNUMBER(I148),I148-L148,"N/A")</f>
        <v/>
      </c>
      <c r="N148" s="10">
        <f>IF(AND(ISNUMBER(H148),K148&gt;0),INT(H148-K148),"TBD")</f>
        <v/>
      </c>
      <c r="O148" s="100">
        <f>TEXT(COUNTIFS('Work Items'!A:A,"Task",'Work Items'!D:D,B148,'Work Items'!L:L,"Completed"),"0")&amp;" / "&amp;TEXT(COUNTIFS('Work Items'!A:A,"Task",'Work Items'!D:D,B148),"0")&amp;" Tasks"</f>
        <v/>
      </c>
      <c r="P148" s="100">
        <f>TEXT(COUNTIFS('Work Items'!A:A,"Bug",'Work Items'!D:D,B148,'Work Items'!L:L,"Fixed"),"0")&amp;" / "&amp;TEXT(COUNTIFS('Work Items'!A:A,"Bug",'Work Items'!D:D,B148),"0")&amp;" Bugs"</f>
        <v/>
      </c>
      <c r="Q148" s="100">
        <f>TEXT(COUNTIFS('Work Items'!A:A,"Risk",'Work Items'!D:D,B148,'Work Items'!L:L,"Open"),"0")&amp;" Open"</f>
        <v/>
      </c>
      <c r="R148" s="100">
        <f>TEXT(COUNTIFS('Work Items'!A:A,"CR",'Work Items'!D:D,B148,'Work Items'!L:L,"Pending Approval"),"0")&amp;" Pending"</f>
        <v/>
      </c>
      <c r="S148" s="11">
        <f>IF(N148="TBD","Yellow",IF(ISNUMBER(N148),IF(N148&lt;0,"Red",IF(N148&lt;14,"Yellow","Green")),"Yellow"))</f>
        <v/>
      </c>
      <c r="T148" s="11">
        <f>IF(NOT(ISNUMBER(M148)),"Yellow",IF(M148&lt;0,"Red",IF(M148/I148&lt;0.05,"Yellow","Green")))</f>
        <v/>
      </c>
      <c r="U148" s="11">
        <f>IF(OR(S148="Red",T148="Red"),"Red",IF(OR(S148="Yellow",T148="Yellow"),"Yellow","Green"))</f>
        <v/>
      </c>
    </row>
    <row r="149">
      <c r="A149" s="2">
        <f>IFERROR(INDEX('Projects Master'!$A:$A,ROW()-1),"")</f>
        <v/>
      </c>
      <c r="B149" s="101">
        <f>IFERROR(VLOOKUP(A149,'Projects Master'!$A:$I,2,0),"")</f>
        <v/>
      </c>
      <c r="C149" s="101">
        <f>IFERROR(VLOOKUP(A149,'Projects Master'!$A:$I,3,0),"")</f>
        <v/>
      </c>
      <c r="D149" s="101">
        <f>IFERROR(VLOOKUP(A149,'Projects Master'!$A:$I,4,0),"")</f>
        <v/>
      </c>
      <c r="E149" s="4">
        <f>IFERROR(VLOOKUP(A149,'Projects Master'!$A:$I,5,0),"")</f>
        <v/>
      </c>
      <c r="F149" s="92">
        <f>IFERROR(VLOOKUP(A149,'Projects Master'!$A:$I,6,0),"")</f>
        <v/>
      </c>
      <c r="G149" s="6">
        <f>IFERROR(VLOOKUP(A149,'Projects Master'!$A:$I,7,0),"")</f>
        <v/>
      </c>
      <c r="H149" s="6">
        <f>IFERROR(VLOOKUP(A149,'Projects Master'!$A:$I,8,0),"")</f>
        <v/>
      </c>
      <c r="I149" s="7">
        <f>IFERROR(VLOOKUP(A149,'Projects Master'!$A:$I,9,0),"")</f>
        <v/>
      </c>
      <c r="J149" s="6">
        <f>_xlfn.LET(_xlpm.t,_xlfn.MINIFS('Work Items'!P:P,'Work Items'!D:D,B149,'Work Items'!A:A,"Task"),_xlpm.b,_xlfn.MINIFS('Work Items'!P:P,'Work Items'!D:D,B149,'Work Items'!A:A,"Bug"),_xlpm.m,IF(AND(_xlpm.t=0,_xlpm.b=0),0,IF(_xlpm.t=0,_xlpm.b,IF(_xlpm.b=0,_xlpm.t,MIN(_xlpm.t,_xlpm.b)))),IF(_xlpm.m=0,G149,_xlpm.m))</f>
        <v/>
      </c>
      <c r="K149" s="6">
        <f>_xlfn.LET(_xlpm.t,_xlfn.MAXIFS('Work Items'!Q:Q,'Work Items'!D:D,B149,'Work Items'!A:A,"Task"),_xlpm.b,_xlfn.MAXIFS('Work Items'!Q:Q,'Work Items'!D:D,B149,'Work Items'!A:A,"Bug"),_xlpm.m,MAX(_xlpm.t,_xlpm.b),IF(_xlpm.m=0,H149,_xlpm.m))</f>
        <v/>
      </c>
      <c r="L149" s="8">
        <f>IFERROR(SUMIFS('Work Items'!O:O,'Work Items'!D:D,B149,'Work Items'!A:A,"Task"),0)</f>
        <v/>
      </c>
      <c r="M149" s="9">
        <f>IF(ISNUMBER(I149),I149-L149,"N/A")</f>
        <v/>
      </c>
      <c r="N149" s="10">
        <f>IF(AND(ISNUMBER(H149),K149&gt;0),INT(H149-K149),"TBD")</f>
        <v/>
      </c>
      <c r="O149" s="100">
        <f>TEXT(COUNTIFS('Work Items'!A:A,"Task",'Work Items'!D:D,B149,'Work Items'!L:L,"Completed"),"0")&amp;" / "&amp;TEXT(COUNTIFS('Work Items'!A:A,"Task",'Work Items'!D:D,B149),"0")&amp;" Tasks"</f>
        <v/>
      </c>
      <c r="P149" s="100">
        <f>TEXT(COUNTIFS('Work Items'!A:A,"Bug",'Work Items'!D:D,B149,'Work Items'!L:L,"Fixed"),"0")&amp;" / "&amp;TEXT(COUNTIFS('Work Items'!A:A,"Bug",'Work Items'!D:D,B149),"0")&amp;" Bugs"</f>
        <v/>
      </c>
      <c r="Q149" s="100">
        <f>TEXT(COUNTIFS('Work Items'!A:A,"Risk",'Work Items'!D:D,B149,'Work Items'!L:L,"Open"),"0")&amp;" Open"</f>
        <v/>
      </c>
      <c r="R149" s="100">
        <f>TEXT(COUNTIFS('Work Items'!A:A,"CR",'Work Items'!D:D,B149,'Work Items'!L:L,"Pending Approval"),"0")&amp;" Pending"</f>
        <v/>
      </c>
      <c r="S149" s="11">
        <f>IF(N149="TBD","Yellow",IF(ISNUMBER(N149),IF(N149&lt;0,"Red",IF(N149&lt;14,"Yellow","Green")),"Yellow"))</f>
        <v/>
      </c>
      <c r="T149" s="11">
        <f>IF(NOT(ISNUMBER(M149)),"Yellow",IF(M149&lt;0,"Red",IF(M149/I149&lt;0.05,"Yellow","Green")))</f>
        <v/>
      </c>
      <c r="U149" s="11">
        <f>IF(OR(S149="Red",T149="Red"),"Red",IF(OR(S149="Yellow",T149="Yellow"),"Yellow","Green"))</f>
        <v/>
      </c>
    </row>
    <row r="150">
      <c r="A150" s="2">
        <f>IFERROR(INDEX('Projects Master'!$A:$A,ROW()-1),"")</f>
        <v/>
      </c>
      <c r="B150" s="101">
        <f>IFERROR(VLOOKUP(A150,'Projects Master'!$A:$I,2,0),"")</f>
        <v/>
      </c>
      <c r="C150" s="101">
        <f>IFERROR(VLOOKUP(A150,'Projects Master'!$A:$I,3,0),"")</f>
        <v/>
      </c>
      <c r="D150" s="101">
        <f>IFERROR(VLOOKUP(A150,'Projects Master'!$A:$I,4,0),"")</f>
        <v/>
      </c>
      <c r="E150" s="4">
        <f>IFERROR(VLOOKUP(A150,'Projects Master'!$A:$I,5,0),"")</f>
        <v/>
      </c>
      <c r="F150" s="92">
        <f>IFERROR(VLOOKUP(A150,'Projects Master'!$A:$I,6,0),"")</f>
        <v/>
      </c>
      <c r="G150" s="6">
        <f>IFERROR(VLOOKUP(A150,'Projects Master'!$A:$I,7,0),"")</f>
        <v/>
      </c>
      <c r="H150" s="6">
        <f>IFERROR(VLOOKUP(A150,'Projects Master'!$A:$I,8,0),"")</f>
        <v/>
      </c>
      <c r="I150" s="7">
        <f>IFERROR(VLOOKUP(A150,'Projects Master'!$A:$I,9,0),"")</f>
        <v/>
      </c>
      <c r="J150" s="6">
        <f>_xlfn.LET(_xlpm.t,_xlfn.MINIFS('Work Items'!P:P,'Work Items'!D:D,B150,'Work Items'!A:A,"Task"),_xlpm.b,_xlfn.MINIFS('Work Items'!P:P,'Work Items'!D:D,B150,'Work Items'!A:A,"Bug"),_xlpm.m,IF(AND(_xlpm.t=0,_xlpm.b=0),0,IF(_xlpm.t=0,_xlpm.b,IF(_xlpm.b=0,_xlpm.t,MIN(_xlpm.t,_xlpm.b)))),IF(_xlpm.m=0,G150,_xlpm.m))</f>
        <v/>
      </c>
      <c r="K150" s="6">
        <f>_xlfn.LET(_xlpm.t,_xlfn.MAXIFS('Work Items'!Q:Q,'Work Items'!D:D,B150,'Work Items'!A:A,"Task"),_xlpm.b,_xlfn.MAXIFS('Work Items'!Q:Q,'Work Items'!D:D,B150,'Work Items'!A:A,"Bug"),_xlpm.m,MAX(_xlpm.t,_xlpm.b),IF(_xlpm.m=0,H150,_xlpm.m))</f>
        <v/>
      </c>
      <c r="L150" s="8">
        <f>IFERROR(SUMIFS('Work Items'!O:O,'Work Items'!D:D,B150,'Work Items'!A:A,"Task"),0)</f>
        <v/>
      </c>
      <c r="M150" s="9">
        <f>IF(ISNUMBER(I150),I150-L150,"N/A")</f>
        <v/>
      </c>
      <c r="N150" s="10">
        <f>IF(AND(ISNUMBER(H150),K150&gt;0),INT(H150-K150),"TBD")</f>
        <v/>
      </c>
      <c r="O150" s="100">
        <f>TEXT(COUNTIFS('Work Items'!A:A,"Task",'Work Items'!D:D,B150,'Work Items'!L:L,"Completed"),"0")&amp;" / "&amp;TEXT(COUNTIFS('Work Items'!A:A,"Task",'Work Items'!D:D,B150),"0")&amp;" Tasks"</f>
        <v/>
      </c>
      <c r="P150" s="100">
        <f>TEXT(COUNTIFS('Work Items'!A:A,"Bug",'Work Items'!D:D,B150,'Work Items'!L:L,"Fixed"),"0")&amp;" / "&amp;TEXT(COUNTIFS('Work Items'!A:A,"Bug",'Work Items'!D:D,B150),"0")&amp;" Bugs"</f>
        <v/>
      </c>
      <c r="Q150" s="100">
        <f>TEXT(COUNTIFS('Work Items'!A:A,"Risk",'Work Items'!D:D,B150,'Work Items'!L:L,"Open"),"0")&amp;" Open"</f>
        <v/>
      </c>
      <c r="R150" s="100">
        <f>TEXT(COUNTIFS('Work Items'!A:A,"CR",'Work Items'!D:D,B150,'Work Items'!L:L,"Pending Approval"),"0")&amp;" Pending"</f>
        <v/>
      </c>
      <c r="S150" s="11">
        <f>IF(N150="TBD","Yellow",IF(ISNUMBER(N150),IF(N150&lt;0,"Red",IF(N150&lt;14,"Yellow","Green")),"Yellow"))</f>
        <v/>
      </c>
      <c r="T150" s="11">
        <f>IF(NOT(ISNUMBER(M150)),"Yellow",IF(M150&lt;0,"Red",IF(M150/I150&lt;0.05,"Yellow","Green")))</f>
        <v/>
      </c>
      <c r="U150" s="11">
        <f>IF(OR(S150="Red",T150="Red"),"Red",IF(OR(S150="Yellow",T150="Yellow"),"Yellow","Green"))</f>
        <v/>
      </c>
    </row>
    <row r="151">
      <c r="A151" s="2">
        <f>IFERROR(INDEX('Projects Master'!$A:$A,ROW()-1),"")</f>
        <v/>
      </c>
      <c r="B151" s="101">
        <f>IFERROR(VLOOKUP(A151,'Projects Master'!$A:$I,2,0),"")</f>
        <v/>
      </c>
      <c r="C151" s="101">
        <f>IFERROR(VLOOKUP(A151,'Projects Master'!$A:$I,3,0),"")</f>
        <v/>
      </c>
      <c r="D151" s="101">
        <f>IFERROR(VLOOKUP(A151,'Projects Master'!$A:$I,4,0),"")</f>
        <v/>
      </c>
      <c r="E151" s="4">
        <f>IFERROR(VLOOKUP(A151,'Projects Master'!$A:$I,5,0),"")</f>
        <v/>
      </c>
      <c r="F151" s="92">
        <f>IFERROR(VLOOKUP(A151,'Projects Master'!$A:$I,6,0),"")</f>
        <v/>
      </c>
      <c r="G151" s="6">
        <f>IFERROR(VLOOKUP(A151,'Projects Master'!$A:$I,7,0),"")</f>
        <v/>
      </c>
      <c r="H151" s="6">
        <f>IFERROR(VLOOKUP(A151,'Projects Master'!$A:$I,8,0),"")</f>
        <v/>
      </c>
      <c r="I151" s="7">
        <f>IFERROR(VLOOKUP(A151,'Projects Master'!$A:$I,9,0),"")</f>
        <v/>
      </c>
      <c r="J151" s="6">
        <f>_xlfn.LET(_xlpm.t,_xlfn.MINIFS('Work Items'!P:P,'Work Items'!D:D,B151,'Work Items'!A:A,"Task"),_xlpm.b,_xlfn.MINIFS('Work Items'!P:P,'Work Items'!D:D,B151,'Work Items'!A:A,"Bug"),_xlpm.m,IF(AND(_xlpm.t=0,_xlpm.b=0),0,IF(_xlpm.t=0,_xlpm.b,IF(_xlpm.b=0,_xlpm.t,MIN(_xlpm.t,_xlpm.b)))),IF(_xlpm.m=0,G151,_xlpm.m))</f>
        <v/>
      </c>
      <c r="K151" s="6">
        <f>_xlfn.LET(_xlpm.t,_xlfn.MAXIFS('Work Items'!Q:Q,'Work Items'!D:D,B151,'Work Items'!A:A,"Task"),_xlpm.b,_xlfn.MAXIFS('Work Items'!Q:Q,'Work Items'!D:D,B151,'Work Items'!A:A,"Bug"),_xlpm.m,MAX(_xlpm.t,_xlpm.b),IF(_xlpm.m=0,H151,_xlpm.m))</f>
        <v/>
      </c>
      <c r="L151" s="8">
        <f>IFERROR(SUMIFS('Work Items'!O:O,'Work Items'!D:D,B151,'Work Items'!A:A,"Task"),0)</f>
        <v/>
      </c>
      <c r="M151" s="9">
        <f>IF(ISNUMBER(I151),I151-L151,"N/A")</f>
        <v/>
      </c>
      <c r="N151" s="10">
        <f>IF(AND(ISNUMBER(H151),K151&gt;0),INT(H151-K151),"TBD")</f>
        <v/>
      </c>
      <c r="O151" s="100">
        <f>TEXT(COUNTIFS('Work Items'!A:A,"Task",'Work Items'!D:D,B151,'Work Items'!L:L,"Completed"),"0")&amp;" / "&amp;TEXT(COUNTIFS('Work Items'!A:A,"Task",'Work Items'!D:D,B151),"0")&amp;" Tasks"</f>
        <v/>
      </c>
      <c r="P151" s="100">
        <f>TEXT(COUNTIFS('Work Items'!A:A,"Bug",'Work Items'!D:D,B151,'Work Items'!L:L,"Fixed"),"0")&amp;" / "&amp;TEXT(COUNTIFS('Work Items'!A:A,"Bug",'Work Items'!D:D,B151),"0")&amp;" Bugs"</f>
        <v/>
      </c>
      <c r="Q151" s="100">
        <f>TEXT(COUNTIFS('Work Items'!A:A,"Risk",'Work Items'!D:D,B151,'Work Items'!L:L,"Open"),"0")&amp;" Open"</f>
        <v/>
      </c>
      <c r="R151" s="100">
        <f>TEXT(COUNTIFS('Work Items'!A:A,"CR",'Work Items'!D:D,B151,'Work Items'!L:L,"Pending Approval"),"0")&amp;" Pending"</f>
        <v/>
      </c>
      <c r="S151" s="11">
        <f>IF(N151="TBD","Yellow",IF(ISNUMBER(N151),IF(N151&lt;0,"Red",IF(N151&lt;14,"Yellow","Green")),"Yellow"))</f>
        <v/>
      </c>
      <c r="T151" s="11">
        <f>IF(NOT(ISNUMBER(M151)),"Yellow",IF(M151&lt;0,"Red",IF(M151/I151&lt;0.05,"Yellow","Green")))</f>
        <v/>
      </c>
      <c r="U151" s="11">
        <f>IF(OR(S151="Red",T151="Red"),"Red",IF(OR(S151="Yellow",T151="Yellow"),"Yellow","Green"))</f>
        <v/>
      </c>
    </row>
    <row r="152">
      <c r="A152" s="2">
        <f>IFERROR(INDEX('Projects Master'!$A:$A,ROW()-1),"")</f>
        <v/>
      </c>
      <c r="B152" s="101">
        <f>IFERROR(VLOOKUP(A152,'Projects Master'!$A:$I,2,0),"")</f>
        <v/>
      </c>
      <c r="C152" s="101">
        <f>IFERROR(VLOOKUP(A152,'Projects Master'!$A:$I,3,0),"")</f>
        <v/>
      </c>
      <c r="D152" s="101">
        <f>IFERROR(VLOOKUP(A152,'Projects Master'!$A:$I,4,0),"")</f>
        <v/>
      </c>
      <c r="E152" s="4">
        <f>IFERROR(VLOOKUP(A152,'Projects Master'!$A:$I,5,0),"")</f>
        <v/>
      </c>
      <c r="F152" s="92">
        <f>IFERROR(VLOOKUP(A152,'Projects Master'!$A:$I,6,0),"")</f>
        <v/>
      </c>
      <c r="G152" s="6">
        <f>IFERROR(VLOOKUP(A152,'Projects Master'!$A:$I,7,0),"")</f>
        <v/>
      </c>
      <c r="H152" s="6">
        <f>IFERROR(VLOOKUP(A152,'Projects Master'!$A:$I,8,0),"")</f>
        <v/>
      </c>
      <c r="I152" s="7">
        <f>IFERROR(VLOOKUP(A152,'Projects Master'!$A:$I,9,0),"")</f>
        <v/>
      </c>
      <c r="J152" s="6">
        <f>_xlfn.LET(_xlpm.t,_xlfn.MINIFS('Work Items'!P:P,'Work Items'!D:D,B152,'Work Items'!A:A,"Task"),_xlpm.b,_xlfn.MINIFS('Work Items'!P:P,'Work Items'!D:D,B152,'Work Items'!A:A,"Bug"),_xlpm.m,IF(AND(_xlpm.t=0,_xlpm.b=0),0,IF(_xlpm.t=0,_xlpm.b,IF(_xlpm.b=0,_xlpm.t,MIN(_xlpm.t,_xlpm.b)))),IF(_xlpm.m=0,G152,_xlpm.m))</f>
        <v/>
      </c>
      <c r="K152" s="6">
        <f>_xlfn.LET(_xlpm.t,_xlfn.MAXIFS('Work Items'!Q:Q,'Work Items'!D:D,B152,'Work Items'!A:A,"Task"),_xlpm.b,_xlfn.MAXIFS('Work Items'!Q:Q,'Work Items'!D:D,B152,'Work Items'!A:A,"Bug"),_xlpm.m,MAX(_xlpm.t,_xlpm.b),IF(_xlpm.m=0,H152,_xlpm.m))</f>
        <v/>
      </c>
      <c r="L152" s="8">
        <f>IFERROR(SUMIFS('Work Items'!O:O,'Work Items'!D:D,B152,'Work Items'!A:A,"Task"),0)</f>
        <v/>
      </c>
      <c r="M152" s="9">
        <f>IF(ISNUMBER(I152),I152-L152,"N/A")</f>
        <v/>
      </c>
      <c r="N152" s="10">
        <f>IF(AND(ISNUMBER(H152),K152&gt;0),INT(H152-K152),"TBD")</f>
        <v/>
      </c>
      <c r="O152" s="100">
        <f>TEXT(COUNTIFS('Work Items'!A:A,"Task",'Work Items'!D:D,B152,'Work Items'!L:L,"Completed"),"0")&amp;" / "&amp;TEXT(COUNTIFS('Work Items'!A:A,"Task",'Work Items'!D:D,B152),"0")&amp;" Tasks"</f>
        <v/>
      </c>
      <c r="P152" s="100">
        <f>TEXT(COUNTIFS('Work Items'!A:A,"Bug",'Work Items'!D:D,B152,'Work Items'!L:L,"Fixed"),"0")&amp;" / "&amp;TEXT(COUNTIFS('Work Items'!A:A,"Bug",'Work Items'!D:D,B152),"0")&amp;" Bugs"</f>
        <v/>
      </c>
      <c r="Q152" s="100">
        <f>TEXT(COUNTIFS('Work Items'!A:A,"Risk",'Work Items'!D:D,B152,'Work Items'!L:L,"Open"),"0")&amp;" Open"</f>
        <v/>
      </c>
      <c r="R152" s="100">
        <f>TEXT(COUNTIFS('Work Items'!A:A,"CR",'Work Items'!D:D,B152,'Work Items'!L:L,"Pending Approval"),"0")&amp;" Pending"</f>
        <v/>
      </c>
      <c r="S152" s="11">
        <f>IF(N152="TBD","Yellow",IF(ISNUMBER(N152),IF(N152&lt;0,"Red",IF(N152&lt;14,"Yellow","Green")),"Yellow"))</f>
        <v/>
      </c>
      <c r="T152" s="11">
        <f>IF(NOT(ISNUMBER(M152)),"Yellow",IF(M152&lt;0,"Red",IF(M152/I152&lt;0.05,"Yellow","Green")))</f>
        <v/>
      </c>
      <c r="U152" s="11">
        <f>IF(OR(S152="Red",T152="Red"),"Red",IF(OR(S152="Yellow",T152="Yellow"),"Yellow","Green"))</f>
        <v/>
      </c>
    </row>
    <row r="153">
      <c r="A153" s="2">
        <f>IFERROR(INDEX('Projects Master'!$A:$A,ROW()-1),"")</f>
        <v/>
      </c>
      <c r="B153" s="101">
        <f>IFERROR(VLOOKUP(A153,'Projects Master'!$A:$I,2,0),"")</f>
        <v/>
      </c>
      <c r="C153" s="101">
        <f>IFERROR(VLOOKUP(A153,'Projects Master'!$A:$I,3,0),"")</f>
        <v/>
      </c>
      <c r="D153" s="101">
        <f>IFERROR(VLOOKUP(A153,'Projects Master'!$A:$I,4,0),"")</f>
        <v/>
      </c>
      <c r="E153" s="4">
        <f>IFERROR(VLOOKUP(A153,'Projects Master'!$A:$I,5,0),"")</f>
        <v/>
      </c>
      <c r="F153" s="92">
        <f>IFERROR(VLOOKUP(A153,'Projects Master'!$A:$I,6,0),"")</f>
        <v/>
      </c>
      <c r="G153" s="6">
        <f>IFERROR(VLOOKUP(A153,'Projects Master'!$A:$I,7,0),"")</f>
        <v/>
      </c>
      <c r="H153" s="6">
        <f>IFERROR(VLOOKUP(A153,'Projects Master'!$A:$I,8,0),"")</f>
        <v/>
      </c>
      <c r="I153" s="7">
        <f>IFERROR(VLOOKUP(A153,'Projects Master'!$A:$I,9,0),"")</f>
        <v/>
      </c>
      <c r="J153" s="6">
        <f>_xlfn.LET(_xlpm.t,_xlfn.MINIFS('Work Items'!P:P,'Work Items'!D:D,B153,'Work Items'!A:A,"Task"),_xlpm.b,_xlfn.MINIFS('Work Items'!P:P,'Work Items'!D:D,B153,'Work Items'!A:A,"Bug"),_xlpm.m,IF(AND(_xlpm.t=0,_xlpm.b=0),0,IF(_xlpm.t=0,_xlpm.b,IF(_xlpm.b=0,_xlpm.t,MIN(_xlpm.t,_xlpm.b)))),IF(_xlpm.m=0,G153,_xlpm.m))</f>
        <v/>
      </c>
      <c r="K153" s="6">
        <f>_xlfn.LET(_xlpm.t,_xlfn.MAXIFS('Work Items'!Q:Q,'Work Items'!D:D,B153,'Work Items'!A:A,"Task"),_xlpm.b,_xlfn.MAXIFS('Work Items'!Q:Q,'Work Items'!D:D,B153,'Work Items'!A:A,"Bug"),_xlpm.m,MAX(_xlpm.t,_xlpm.b),IF(_xlpm.m=0,H153,_xlpm.m))</f>
        <v/>
      </c>
      <c r="L153" s="8">
        <f>IFERROR(SUMIFS('Work Items'!O:O,'Work Items'!D:D,B153,'Work Items'!A:A,"Task"),0)</f>
        <v/>
      </c>
      <c r="M153" s="9">
        <f>IF(ISNUMBER(I153),I153-L153,"N/A")</f>
        <v/>
      </c>
      <c r="N153" s="10">
        <f>IF(AND(ISNUMBER(H153),K153&gt;0),INT(H153-K153),"TBD")</f>
        <v/>
      </c>
      <c r="O153" s="100">
        <f>TEXT(COUNTIFS('Work Items'!A:A,"Task",'Work Items'!D:D,B153,'Work Items'!L:L,"Completed"),"0")&amp;" / "&amp;TEXT(COUNTIFS('Work Items'!A:A,"Task",'Work Items'!D:D,B153),"0")&amp;" Tasks"</f>
        <v/>
      </c>
      <c r="P153" s="100">
        <f>TEXT(COUNTIFS('Work Items'!A:A,"Bug",'Work Items'!D:D,B153,'Work Items'!L:L,"Fixed"),"0")&amp;" / "&amp;TEXT(COUNTIFS('Work Items'!A:A,"Bug",'Work Items'!D:D,B153),"0")&amp;" Bugs"</f>
        <v/>
      </c>
      <c r="Q153" s="100">
        <f>TEXT(COUNTIFS('Work Items'!A:A,"Risk",'Work Items'!D:D,B153,'Work Items'!L:L,"Open"),"0")&amp;" Open"</f>
        <v/>
      </c>
      <c r="R153" s="100">
        <f>TEXT(COUNTIFS('Work Items'!A:A,"CR",'Work Items'!D:D,B153,'Work Items'!L:L,"Pending Approval"),"0")&amp;" Pending"</f>
        <v/>
      </c>
      <c r="S153" s="11">
        <f>IF(N153="TBD","Yellow",IF(ISNUMBER(N153),IF(N153&lt;0,"Red",IF(N153&lt;14,"Yellow","Green")),"Yellow"))</f>
        <v/>
      </c>
      <c r="T153" s="11">
        <f>IF(NOT(ISNUMBER(M153)),"Yellow",IF(M153&lt;0,"Red",IF(M153/I153&lt;0.05,"Yellow","Green")))</f>
        <v/>
      </c>
      <c r="U153" s="11">
        <f>IF(OR(S153="Red",T153="Red"),"Red",IF(OR(S153="Yellow",T153="Yellow"),"Yellow","Green"))</f>
        <v/>
      </c>
    </row>
    <row r="154">
      <c r="A154" s="2">
        <f>IFERROR(INDEX('Projects Master'!$A:$A,ROW()-1),"")</f>
        <v/>
      </c>
      <c r="B154" s="101">
        <f>IFERROR(VLOOKUP(A154,'Projects Master'!$A:$I,2,0),"")</f>
        <v/>
      </c>
      <c r="C154" s="101">
        <f>IFERROR(VLOOKUP(A154,'Projects Master'!$A:$I,3,0),"")</f>
        <v/>
      </c>
      <c r="D154" s="101">
        <f>IFERROR(VLOOKUP(A154,'Projects Master'!$A:$I,4,0),"")</f>
        <v/>
      </c>
      <c r="E154" s="4">
        <f>IFERROR(VLOOKUP(A154,'Projects Master'!$A:$I,5,0),"")</f>
        <v/>
      </c>
      <c r="F154" s="92">
        <f>IFERROR(VLOOKUP(A154,'Projects Master'!$A:$I,6,0),"")</f>
        <v/>
      </c>
      <c r="G154" s="6">
        <f>IFERROR(VLOOKUP(A154,'Projects Master'!$A:$I,7,0),"")</f>
        <v/>
      </c>
      <c r="H154" s="6">
        <f>IFERROR(VLOOKUP(A154,'Projects Master'!$A:$I,8,0),"")</f>
        <v/>
      </c>
      <c r="I154" s="7">
        <f>IFERROR(VLOOKUP(A154,'Projects Master'!$A:$I,9,0),"")</f>
        <v/>
      </c>
      <c r="J154" s="6">
        <f>_xlfn.LET(_xlpm.t,_xlfn.MINIFS('Work Items'!P:P,'Work Items'!D:D,B154,'Work Items'!A:A,"Task"),_xlpm.b,_xlfn.MINIFS('Work Items'!P:P,'Work Items'!D:D,B154,'Work Items'!A:A,"Bug"),_xlpm.m,IF(AND(_xlpm.t=0,_xlpm.b=0),0,IF(_xlpm.t=0,_xlpm.b,IF(_xlpm.b=0,_xlpm.t,MIN(_xlpm.t,_xlpm.b)))),IF(_xlpm.m=0,G154,_xlpm.m))</f>
        <v/>
      </c>
      <c r="K154" s="6">
        <f>_xlfn.LET(_xlpm.t,_xlfn.MAXIFS('Work Items'!Q:Q,'Work Items'!D:D,B154,'Work Items'!A:A,"Task"),_xlpm.b,_xlfn.MAXIFS('Work Items'!Q:Q,'Work Items'!D:D,B154,'Work Items'!A:A,"Bug"),_xlpm.m,MAX(_xlpm.t,_xlpm.b),IF(_xlpm.m=0,H154,_xlpm.m))</f>
        <v/>
      </c>
      <c r="L154" s="8">
        <f>IFERROR(SUMIFS('Work Items'!O:O,'Work Items'!D:D,B154,'Work Items'!A:A,"Task"),0)</f>
        <v/>
      </c>
      <c r="M154" s="9">
        <f>IF(ISNUMBER(I154),I154-L154,"N/A")</f>
        <v/>
      </c>
      <c r="N154" s="10">
        <f>IF(AND(ISNUMBER(H154),K154&gt;0),INT(H154-K154),"TBD")</f>
        <v/>
      </c>
      <c r="O154" s="100">
        <f>TEXT(COUNTIFS('Work Items'!A:A,"Task",'Work Items'!D:D,B154,'Work Items'!L:L,"Completed"),"0")&amp;" / "&amp;TEXT(COUNTIFS('Work Items'!A:A,"Task",'Work Items'!D:D,B154),"0")&amp;" Tasks"</f>
        <v/>
      </c>
      <c r="P154" s="100">
        <f>TEXT(COUNTIFS('Work Items'!A:A,"Bug",'Work Items'!D:D,B154,'Work Items'!L:L,"Fixed"),"0")&amp;" / "&amp;TEXT(COUNTIFS('Work Items'!A:A,"Bug",'Work Items'!D:D,B154),"0")&amp;" Bugs"</f>
        <v/>
      </c>
      <c r="Q154" s="100">
        <f>TEXT(COUNTIFS('Work Items'!A:A,"Risk",'Work Items'!D:D,B154,'Work Items'!L:L,"Open"),"0")&amp;" Open"</f>
        <v/>
      </c>
      <c r="R154" s="100">
        <f>TEXT(COUNTIFS('Work Items'!A:A,"CR",'Work Items'!D:D,B154,'Work Items'!L:L,"Pending Approval"),"0")&amp;" Pending"</f>
        <v/>
      </c>
      <c r="S154" s="11">
        <f>IF(N154="TBD","Yellow",IF(ISNUMBER(N154),IF(N154&lt;0,"Red",IF(N154&lt;14,"Yellow","Green")),"Yellow"))</f>
        <v/>
      </c>
      <c r="T154" s="11">
        <f>IF(NOT(ISNUMBER(M154)),"Yellow",IF(M154&lt;0,"Red",IF(M154/I154&lt;0.05,"Yellow","Green")))</f>
        <v/>
      </c>
      <c r="U154" s="11">
        <f>IF(OR(S154="Red",T154="Red"),"Red",IF(OR(S154="Yellow",T154="Yellow"),"Yellow","Green"))</f>
        <v/>
      </c>
    </row>
    <row r="155">
      <c r="A155" s="2">
        <f>IFERROR(INDEX('Projects Master'!$A:$A,ROW()-1),"")</f>
        <v/>
      </c>
      <c r="B155" s="101">
        <f>IFERROR(VLOOKUP(A155,'Projects Master'!$A:$I,2,0),"")</f>
        <v/>
      </c>
      <c r="C155" s="101">
        <f>IFERROR(VLOOKUP(A155,'Projects Master'!$A:$I,3,0),"")</f>
        <v/>
      </c>
      <c r="D155" s="101">
        <f>IFERROR(VLOOKUP(A155,'Projects Master'!$A:$I,4,0),"")</f>
        <v/>
      </c>
      <c r="E155" s="4">
        <f>IFERROR(VLOOKUP(A155,'Projects Master'!$A:$I,5,0),"")</f>
        <v/>
      </c>
      <c r="F155" s="92">
        <f>IFERROR(VLOOKUP(A155,'Projects Master'!$A:$I,6,0),"")</f>
        <v/>
      </c>
      <c r="G155" s="6">
        <f>IFERROR(VLOOKUP(A155,'Projects Master'!$A:$I,7,0),"")</f>
        <v/>
      </c>
      <c r="H155" s="6">
        <f>IFERROR(VLOOKUP(A155,'Projects Master'!$A:$I,8,0),"")</f>
        <v/>
      </c>
      <c r="I155" s="7">
        <f>IFERROR(VLOOKUP(A155,'Projects Master'!$A:$I,9,0),"")</f>
        <v/>
      </c>
      <c r="J155" s="6">
        <f>_xlfn.LET(_xlpm.t,_xlfn.MINIFS('Work Items'!P:P,'Work Items'!D:D,B155,'Work Items'!A:A,"Task"),_xlpm.b,_xlfn.MINIFS('Work Items'!P:P,'Work Items'!D:D,B155,'Work Items'!A:A,"Bug"),_xlpm.m,IF(AND(_xlpm.t=0,_xlpm.b=0),0,IF(_xlpm.t=0,_xlpm.b,IF(_xlpm.b=0,_xlpm.t,MIN(_xlpm.t,_xlpm.b)))),IF(_xlpm.m=0,G155,_xlpm.m))</f>
        <v/>
      </c>
      <c r="K155" s="6">
        <f>_xlfn.LET(_xlpm.t,_xlfn.MAXIFS('Work Items'!Q:Q,'Work Items'!D:D,B155,'Work Items'!A:A,"Task"),_xlpm.b,_xlfn.MAXIFS('Work Items'!Q:Q,'Work Items'!D:D,B155,'Work Items'!A:A,"Bug"),_xlpm.m,MAX(_xlpm.t,_xlpm.b),IF(_xlpm.m=0,H155,_xlpm.m))</f>
        <v/>
      </c>
      <c r="L155" s="8">
        <f>IFERROR(SUMIFS('Work Items'!O:O,'Work Items'!D:D,B155,'Work Items'!A:A,"Task"),0)</f>
        <v/>
      </c>
      <c r="M155" s="9">
        <f>IF(ISNUMBER(I155),I155-L155,"N/A")</f>
        <v/>
      </c>
      <c r="N155" s="10">
        <f>IF(AND(ISNUMBER(H155),K155&gt;0),INT(H155-K155),"TBD")</f>
        <v/>
      </c>
      <c r="O155" s="100">
        <f>TEXT(COUNTIFS('Work Items'!A:A,"Task",'Work Items'!D:D,B155,'Work Items'!L:L,"Completed"),"0")&amp;" / "&amp;TEXT(COUNTIFS('Work Items'!A:A,"Task",'Work Items'!D:D,B155),"0")&amp;" Tasks"</f>
        <v/>
      </c>
      <c r="P155" s="100">
        <f>TEXT(COUNTIFS('Work Items'!A:A,"Bug",'Work Items'!D:D,B155,'Work Items'!L:L,"Fixed"),"0")&amp;" / "&amp;TEXT(COUNTIFS('Work Items'!A:A,"Bug",'Work Items'!D:D,B155),"0")&amp;" Bugs"</f>
        <v/>
      </c>
      <c r="Q155" s="100">
        <f>TEXT(COUNTIFS('Work Items'!A:A,"Risk",'Work Items'!D:D,B155,'Work Items'!L:L,"Open"),"0")&amp;" Open"</f>
        <v/>
      </c>
      <c r="R155" s="100">
        <f>TEXT(COUNTIFS('Work Items'!A:A,"CR",'Work Items'!D:D,B155,'Work Items'!L:L,"Pending Approval"),"0")&amp;" Pending"</f>
        <v/>
      </c>
      <c r="S155" s="11">
        <f>IF(N155="TBD","Yellow",IF(ISNUMBER(N155),IF(N155&lt;0,"Red",IF(N155&lt;14,"Yellow","Green")),"Yellow"))</f>
        <v/>
      </c>
      <c r="T155" s="11">
        <f>IF(NOT(ISNUMBER(M155)),"Yellow",IF(M155&lt;0,"Red",IF(M155/I155&lt;0.05,"Yellow","Green")))</f>
        <v/>
      </c>
      <c r="U155" s="11">
        <f>IF(OR(S155="Red",T155="Red"),"Red",IF(OR(S155="Yellow",T155="Yellow"),"Yellow","Green"))</f>
        <v/>
      </c>
    </row>
    <row r="157">
      <c r="A157" s="2" t="inlineStr">
        <is>
          <t>TOTALS</t>
        </is>
      </c>
      <c r="B157" s="210" t="n"/>
      <c r="C157" s="210" t="n"/>
      <c r="D157" s="210" t="n"/>
      <c r="E157" s="210" t="n"/>
      <c r="F157" s="210" t="n"/>
      <c r="G157" s="210" t="n"/>
      <c r="H157" s="211" t="n"/>
      <c r="I157" s="7">
        <f>SUM(I6:I155)</f>
        <v/>
      </c>
      <c r="J157" s="6" t="n"/>
      <c r="K157" s="6" t="n"/>
      <c r="L157" s="8">
        <f>SUM(L6:L155)</f>
        <v/>
      </c>
      <c r="M157" s="9">
        <f>SUM(M6:M155)</f>
        <v/>
      </c>
      <c r="N157" s="10" t="n"/>
      <c r="O157" s="100" t="n"/>
      <c r="P157" s="100" t="n"/>
      <c r="Q157" s="100" t="n"/>
      <c r="R157" s="100" t="n"/>
      <c r="S157" s="11" t="n"/>
      <c r="T157" s="11" t="n"/>
      <c r="U157" s="11" t="n"/>
    </row>
  </sheetData>
  <mergeCells count="9">
    <mergeCell ref="J4:N4"/>
    <mergeCell ref="O4:R4"/>
    <mergeCell ref="A2:U2"/>
    <mergeCell ref="A157:H157"/>
    <mergeCell ref="S4:U4"/>
    <mergeCell ref="G4:I4"/>
    <mergeCell ref="A4:F4"/>
    <mergeCell ref="A1:U1"/>
    <mergeCell ref="A3:U3"/>
  </mergeCells>
  <conditionalFormatting sqref="M6:M155">
    <cfRule type="expression" priority="10" dxfId="0">
      <formula>M6&lt;0</formula>
    </cfRule>
  </conditionalFormatting>
  <conditionalFormatting sqref="N6:N155">
    <cfRule type="expression" priority="11" dxfId="0">
      <formula>AND(ISNUMBER(N6),N6&lt;0)</formula>
    </cfRule>
  </conditionalFormatting>
  <conditionalFormatting sqref="S6:S155">
    <cfRule type="expression" priority="1" dxfId="0">
      <formula>$S6="Red"</formula>
    </cfRule>
    <cfRule type="expression" priority="2" dxfId="7">
      <formula>$S6="Yellow"</formula>
    </cfRule>
    <cfRule type="expression" priority="3" dxfId="1">
      <formula>$S6="Green"</formula>
    </cfRule>
  </conditionalFormatting>
  <conditionalFormatting sqref="T6:T155">
    <cfRule type="expression" priority="4" dxfId="0">
      <formula>$T6="Red"</formula>
    </cfRule>
    <cfRule type="expression" priority="5" dxfId="7">
      <formula>$T6="Yellow"</formula>
    </cfRule>
    <cfRule type="expression" priority="6" dxfId="1">
      <formula>$T6="Green"</formula>
    </cfRule>
  </conditionalFormatting>
  <conditionalFormatting sqref="U6:U155">
    <cfRule type="expression" priority="7" dxfId="0">
      <formula>$U6="Red"</formula>
    </cfRule>
    <cfRule type="expression" priority="8" dxfId="7">
      <formula>$U6="Yellow"</formula>
    </cfRule>
    <cfRule type="expression" priority="9" dxfId="1">
      <formula>$U6="Green"</formula>
    </cfRule>
  </conditionalFormatting>
  <hyperlinks>
    <hyperlink ref="O6" location="'Drill-Down'!A2" display="'Drill-Down'!A2"/>
    <hyperlink ref="P6" location="'Drill-Down'!A32" display="'Drill-Down'!A32"/>
    <hyperlink ref="Q6" location="'Drill-Down'!A62" display="'Drill-Down'!A62"/>
    <hyperlink ref="R6" location="'Drill-Down'!A92" display="'Drill-Down'!A92"/>
    <hyperlink ref="O7" location="'Drill-Down'!A122" display="'Drill-Down'!A122"/>
    <hyperlink ref="P7" location="'Drill-Down'!A152" display="'Drill-Down'!A152"/>
    <hyperlink ref="Q7" location="'Drill-Down'!A182" display="'Drill-Down'!A182"/>
    <hyperlink ref="R7" location="'Drill-Down'!A212" display="'Drill-Down'!A212"/>
    <hyperlink ref="O8" location="'Drill-Down'!A242" display="'Drill-Down'!A242"/>
    <hyperlink ref="P8" location="'Drill-Down'!A272" display="'Drill-Down'!A272"/>
    <hyperlink ref="Q8" location="'Drill-Down'!A302" display="'Drill-Down'!A302"/>
    <hyperlink ref="R8" location="'Drill-Down'!A332" display="'Drill-Down'!A332"/>
    <hyperlink ref="O9" location="'Drill-Down'!A362" display="'Drill-Down'!A362"/>
    <hyperlink ref="P9" location="'Drill-Down'!A392" display="'Drill-Down'!A392"/>
    <hyperlink ref="Q9" location="'Drill-Down'!A422" display="'Drill-Down'!A422"/>
    <hyperlink ref="R9" location="'Drill-Down'!A452" display="'Drill-Down'!A452"/>
    <hyperlink ref="O10" location="'Drill-Down'!A482" display="'Drill-Down'!A482"/>
    <hyperlink ref="P10" location="'Drill-Down'!A512" display="'Drill-Down'!A512"/>
    <hyperlink ref="Q10" location="'Drill-Down'!A542" display="'Drill-Down'!A542"/>
    <hyperlink ref="R10" location="'Drill-Down'!A572" display="'Drill-Down'!A5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Y64"/>
  <sheetViews>
    <sheetView workbookViewId="0">
      <pane ySplit="5" topLeftCell="A6" activePane="bottomLeft" state="frozen"/>
      <selection pane="bottomLeft" activeCell="J16" sqref="J16"/>
    </sheetView>
  </sheetViews>
  <sheetFormatPr baseColWidth="10" defaultColWidth="8.83203125" defaultRowHeight="15"/>
  <cols>
    <col width="12" customWidth="1" style="66" min="1" max="1"/>
    <col width="14" customWidth="1" style="66" min="2" max="2"/>
    <col width="48" customWidth="1" style="66" min="3" max="3"/>
    <col width="22" customWidth="1" style="66" min="4" max="5"/>
    <col width="18" customWidth="1" style="66" min="6" max="7"/>
    <col width="18.33203125" customWidth="1" style="66" min="8" max="8"/>
    <col width="21.6640625" customWidth="1" style="66" min="9" max="9"/>
    <col width="26" customWidth="1" style="66" min="10" max="10"/>
    <col width="10" customWidth="1" style="66" min="11" max="11"/>
    <col width="18" customWidth="1" style="66" min="12" max="12"/>
    <col width="14" customWidth="1" style="66" min="13" max="13"/>
    <col width="18" customWidth="1" style="66" min="14" max="14"/>
    <col width="16" customWidth="1" style="66" min="15" max="15"/>
    <col width="13" customWidth="1" style="66" min="16" max="17"/>
  </cols>
  <sheetData>
    <row r="1" ht="28" customHeight="1" s="66">
      <c r="A1" s="75" t="inlineStr">
        <is>
          <t>OrbitFlow — Work Items (Tasks · Bugs · CRs · Risks)</t>
        </is>
      </c>
    </row>
    <row r="2" ht="24" customHeight="1" s="66">
      <c r="A2" s="14" t="inlineStr">
        <is>
          <t>🔍  Filter by Project:</t>
        </is>
      </c>
      <c r="B2" s="212" t="inlineStr">
        <is>
          <t>— All Projects —</t>
        </is>
      </c>
      <c r="C2" s="78" t="n"/>
      <c r="D2" s="78" t="n"/>
      <c r="E2" s="79" t="n"/>
      <c r="F2" s="74" t="inlineStr">
        <is>
          <t>← Select project to highlight rows  |  Use column filters (▼) to filter data</t>
        </is>
      </c>
    </row>
    <row r="3" ht="22" customHeight="1" s="66">
      <c r="A3" s="80" t="inlineStr">
        <is>
          <t>Quick Stats  ▶</t>
        </is>
      </c>
      <c r="C3" s="15" t="inlineStr">
        <is>
          <t>Tasks</t>
        </is>
      </c>
      <c r="D3" s="16">
        <f>COUNTIFS(A6:A5000,"Task",D6:D5000,IF(B2="— All Projects —","*",B2))</f>
        <v/>
      </c>
      <c r="E3" s="15" t="inlineStr">
        <is>
          <t>Bugs</t>
        </is>
      </c>
      <c r="F3" s="16">
        <f>COUNTIFS(A6:A5000,"Bug",D6:D5000,IF(B2="— All Projects —","*",B2))</f>
        <v/>
      </c>
      <c r="G3" s="15" t="inlineStr">
        <is>
          <t>Risks</t>
        </is>
      </c>
      <c r="H3" s="108">
        <f>COUNTIFS(A6:A5000,"Risk",D6:D5000,IF(B2="— All Projects —","*",B2))</f>
        <v/>
      </c>
      <c r="I3" s="109" t="inlineStr">
        <is>
          <t>CRs</t>
        </is>
      </c>
      <c r="J3" s="108">
        <f>COUNTIFS(A6:A5000,"CR",D6:D5000,IF(B2="— All Projects —","*",B2))</f>
        <v/>
      </c>
      <c r="K3" s="109" t="inlineStr">
        <is>
          <t>Orig Hrs</t>
        </is>
      </c>
      <c r="L3" s="108">
        <f>SUMIFS(N6:N5000,D6:D5000,IF(B2="— All Projects —","*",B2))</f>
        <v/>
      </c>
      <c r="M3" s="109" t="inlineStr">
        <is>
          <t>Act Hrs</t>
        </is>
      </c>
      <c r="N3" s="108">
        <f>SUMIFS(O6:O5000,D6:D5000,IF(B2="— All Projects —","*",B2))</f>
        <v/>
      </c>
    </row>
    <row r="4" ht="4" customHeight="1" s="66">
      <c r="A4" s="76" t="n"/>
    </row>
    <row r="5" ht="32" customHeight="1" s="66">
      <c r="A5" s="17" t="inlineStr">
        <is>
          <t>Type</t>
        </is>
      </c>
      <c r="B5" s="17" t="inlineStr">
        <is>
          <t>ID</t>
        </is>
      </c>
      <c r="C5" s="17" t="inlineStr">
        <is>
          <t>Summary</t>
        </is>
      </c>
      <c r="D5" s="17" t="inlineStr">
        <is>
          <t>Module</t>
        </is>
      </c>
      <c r="E5" s="17" t="inlineStr">
        <is>
          <t>SubModule</t>
        </is>
      </c>
      <c r="F5" s="17" t="inlineStr">
        <is>
          <t>Event / BugType</t>
        </is>
      </c>
      <c r="G5" s="17" t="inlineStr">
        <is>
          <t>Category</t>
        </is>
      </c>
      <c r="H5" s="106" t="inlineStr">
        <is>
          <t>Activity</t>
        </is>
      </c>
      <c r="I5" s="106" t="inlineStr">
        <is>
          <t>Sub-Activity</t>
        </is>
      </c>
      <c r="J5" s="17" t="inlineStr">
        <is>
          <t>Assigned To</t>
        </is>
      </c>
      <c r="K5" s="17" t="inlineStr">
        <is>
          <t>Priority</t>
        </is>
      </c>
      <c r="L5" s="17" t="inlineStr">
        <is>
          <t>Status</t>
        </is>
      </c>
      <c r="M5" s="17" t="inlineStr">
        <is>
          <t>Worked Date</t>
        </is>
      </c>
      <c r="N5" s="17" t="inlineStr">
        <is>
          <t>Original Effort (hrs)</t>
        </is>
      </c>
      <c r="O5" s="17" t="inlineStr">
        <is>
          <t>Actual Effort (hrs)</t>
        </is>
      </c>
      <c r="P5" s="17" t="inlineStr">
        <is>
          <t>Start Date</t>
        </is>
      </c>
      <c r="Q5" s="17" t="inlineStr">
        <is>
          <t>End Date</t>
        </is>
      </c>
      <c r="R5" s="17" t="inlineStr">
        <is>
          <t>Probability (1-5)</t>
        </is>
      </c>
      <c r="S5" s="17" t="inlineStr">
        <is>
          <t>Impact (1-5)</t>
        </is>
      </c>
      <c r="T5" s="17" t="inlineStr">
        <is>
          <t>Mitigation Hrs</t>
        </is>
      </c>
      <c r="U5" s="17" t="inlineStr">
        <is>
          <t>Legacy Risk Score</t>
        </is>
      </c>
      <c r="V5" s="17" t="inlineStr">
        <is>
          <t>Description</t>
        </is>
      </c>
      <c r="W5" s="17" t="inlineStr">
        <is>
          <t>Story Points</t>
        </is>
      </c>
      <c r="X5" s="17" t="inlineStr">
        <is>
          <t>Remarks</t>
        </is>
      </c>
      <c r="Y5" s="17" t="inlineStr">
        <is>
          <t>Completed Date</t>
        </is>
      </c>
    </row>
    <row r="6" ht="18" customHeight="1" s="66">
      <c r="A6" s="18" t="inlineStr">
        <is>
          <t>Task</t>
        </is>
      </c>
      <c r="B6" s="19" t="inlineStr">
        <is>
          <t>GCI-T001</t>
        </is>
      </c>
      <c r="C6" s="20" t="inlineStr">
        <is>
          <t>Monthly Support - Case Management &amp; Config</t>
        </is>
      </c>
      <c r="D6" s="21" t="inlineStr">
        <is>
          <t>GCI Phase 1</t>
        </is>
      </c>
      <c r="E6" s="22" t="inlineStr">
        <is>
          <t>Case Management</t>
        </is>
      </c>
      <c r="F6" s="22" t="inlineStr">
        <is>
          <t>Configure</t>
        </is>
      </c>
      <c r="G6" s="102" t="inlineStr">
        <is>
          <t>Support</t>
        </is>
      </c>
      <c r="H6" s="107" t="inlineStr">
        <is>
          <t>Development</t>
        </is>
      </c>
      <c r="I6" s="107" t="inlineStr">
        <is>
          <t>Coding</t>
        </is>
      </c>
      <c r="J6" s="104" t="inlineStr">
        <is>
          <t>Prateek Shinde</t>
        </is>
      </c>
      <c r="K6" s="23" t="inlineStr">
        <is>
          <t>P2</t>
        </is>
      </c>
      <c r="L6" s="24" t="inlineStr">
        <is>
          <t>Completed</t>
        </is>
      </c>
      <c r="M6" s="6" t="n">
        <v>46204</v>
      </c>
      <c r="N6" s="25" t="n">
        <v>80</v>
      </c>
      <c r="O6" s="25" t="n">
        <v>80</v>
      </c>
      <c r="P6" s="6" t="n">
        <v>46204</v>
      </c>
      <c r="Q6" s="6" t="n">
        <v>46218</v>
      </c>
    </row>
    <row r="7" ht="18" customHeight="1" s="66">
      <c r="A7" s="18" t="inlineStr">
        <is>
          <t>Task</t>
        </is>
      </c>
      <c r="B7" s="19" t="inlineStr">
        <is>
          <t>GCI-T002</t>
        </is>
      </c>
      <c r="C7" s="4" t="inlineStr">
        <is>
          <t>Monthly Support - Field Service Optimization</t>
        </is>
      </c>
      <c r="D7" s="26" t="inlineStr">
        <is>
          <t>GCI Phase 1</t>
        </is>
      </c>
      <c r="E7" s="101" t="inlineStr">
        <is>
          <t>Field Service</t>
        </is>
      </c>
      <c r="F7" s="101" t="inlineStr">
        <is>
          <t>Amend</t>
        </is>
      </c>
      <c r="G7" s="103" t="inlineStr">
        <is>
          <t>Support</t>
        </is>
      </c>
      <c r="H7" s="101" t="inlineStr">
        <is>
          <t>Development</t>
        </is>
      </c>
      <c r="I7" s="101" t="inlineStr">
        <is>
          <t>Coding</t>
        </is>
      </c>
      <c r="J7" s="105" t="inlineStr">
        <is>
          <t>Sudhakar Reddy Lekkala</t>
        </is>
      </c>
      <c r="K7" s="23" t="inlineStr">
        <is>
          <t>P2</t>
        </is>
      </c>
      <c r="L7" s="24" t="inlineStr">
        <is>
          <t>Completed</t>
        </is>
      </c>
      <c r="M7" s="6" t="n">
        <v>46219</v>
      </c>
      <c r="N7" s="25" t="n">
        <v>80</v>
      </c>
      <c r="O7" s="25" t="n">
        <v>80</v>
      </c>
      <c r="P7" s="6" t="n">
        <v>46219</v>
      </c>
      <c r="Q7" s="6" t="n">
        <v>46234</v>
      </c>
    </row>
    <row r="8" ht="18" customHeight="1" s="66">
      <c r="A8" s="18" t="inlineStr">
        <is>
          <t>Task</t>
        </is>
      </c>
      <c r="B8" s="19" t="inlineStr">
        <is>
          <t>GCI-T003</t>
        </is>
      </c>
      <c r="C8" s="20" t="inlineStr">
        <is>
          <t>Monthly Support - API Integration Review</t>
        </is>
      </c>
      <c r="D8" s="21" t="inlineStr">
        <is>
          <t>GCI Phase 1</t>
        </is>
      </c>
      <c r="E8" s="22" t="inlineStr">
        <is>
          <t>API Integration</t>
        </is>
      </c>
      <c r="F8" s="22" t="inlineStr">
        <is>
          <t>Amend</t>
        </is>
      </c>
      <c r="G8" s="102" t="inlineStr">
        <is>
          <t>Support</t>
        </is>
      </c>
      <c r="H8" s="107" t="inlineStr">
        <is>
          <t>Development</t>
        </is>
      </c>
      <c r="I8" s="107" t="inlineStr">
        <is>
          <t>Coding</t>
        </is>
      </c>
      <c r="J8" s="104" t="inlineStr">
        <is>
          <t>Sudhakar Reddy Lekkala</t>
        </is>
      </c>
      <c r="K8" s="23" t="inlineStr">
        <is>
          <t>P2</t>
        </is>
      </c>
      <c r="L8" s="27" t="inlineStr">
        <is>
          <t>In Progress</t>
        </is>
      </c>
      <c r="M8" s="6" t="n">
        <v>46235</v>
      </c>
      <c r="N8" s="25" t="n">
        <v>80</v>
      </c>
      <c r="O8" s="25" t="n">
        <v>60</v>
      </c>
      <c r="P8" s="6" t="n">
        <v>46235</v>
      </c>
      <c r="Q8" s="6" t="n">
        <v>46265</v>
      </c>
    </row>
    <row r="9" ht="18" customHeight="1" s="66">
      <c r="A9" s="18" t="inlineStr">
        <is>
          <t>Task</t>
        </is>
      </c>
      <c r="B9" s="19" t="inlineStr">
        <is>
          <t>GCI-T004</t>
        </is>
      </c>
      <c r="C9" s="4" t="inlineStr">
        <is>
          <t>Canada Holiday Buffer - Aug Support Hours</t>
        </is>
      </c>
      <c r="D9" s="26" t="inlineStr">
        <is>
          <t>GCI Phase 1</t>
        </is>
      </c>
      <c r="E9" s="101" t="inlineStr">
        <is>
          <t>Support Block</t>
        </is>
      </c>
      <c r="F9" s="101" t="inlineStr">
        <is>
          <t>Configure</t>
        </is>
      </c>
      <c r="G9" s="103" t="inlineStr">
        <is>
          <t>Support</t>
        </is>
      </c>
      <c r="H9" s="101" t="inlineStr">
        <is>
          <t>Development</t>
        </is>
      </c>
      <c r="I9" s="101" t="inlineStr">
        <is>
          <t>Coding</t>
        </is>
      </c>
      <c r="J9" s="105" t="inlineStr">
        <is>
          <t>Prateek Shinde</t>
        </is>
      </c>
      <c r="K9" s="28" t="inlineStr">
        <is>
          <t>P3</t>
        </is>
      </c>
      <c r="L9" s="27" t="inlineStr">
        <is>
          <t>In Progress</t>
        </is>
      </c>
      <c r="M9" s="6" t="n">
        <v>46249</v>
      </c>
      <c r="N9" s="25" t="n">
        <v>40</v>
      </c>
      <c r="O9" s="25" t="n">
        <v>20</v>
      </c>
      <c r="P9" s="6" t="n">
        <v>46249</v>
      </c>
      <c r="Q9" s="6" t="n">
        <v>46265</v>
      </c>
    </row>
    <row r="10" ht="18" customHeight="1" s="66">
      <c r="A10" s="29" t="inlineStr">
        <is>
          <t>Bug</t>
        </is>
      </c>
      <c r="B10" s="19" t="inlineStr">
        <is>
          <t>GCI-B001</t>
        </is>
      </c>
      <c r="C10" s="20" t="inlineStr">
        <is>
          <t>API timeout on bulk sync over 5000 records</t>
        </is>
      </c>
      <c r="D10" s="21" t="inlineStr">
        <is>
          <t>GCI Phase 1</t>
        </is>
      </c>
      <c r="E10" s="22" t="inlineStr">
        <is>
          <t>API Integration</t>
        </is>
      </c>
      <c r="F10" s="22" t="inlineStr">
        <is>
          <t>Functional</t>
        </is>
      </c>
      <c r="G10" s="102" t="inlineStr">
        <is>
          <t>Bug Fix</t>
        </is>
      </c>
      <c r="H10" s="107" t="inlineStr">
        <is>
          <t>Resolution</t>
        </is>
      </c>
      <c r="I10" s="107" t="inlineStr">
        <is>
          <t>Code Fix</t>
        </is>
      </c>
      <c r="J10" s="104" t="inlineStr">
        <is>
          <t>Sudhakar Reddy Lekkala</t>
        </is>
      </c>
      <c r="K10" s="23" t="inlineStr">
        <is>
          <t>P2</t>
        </is>
      </c>
      <c r="L10" s="27" t="inlineStr">
        <is>
          <t>Monitoring</t>
        </is>
      </c>
      <c r="M10" s="6" t="n">
        <v>46223</v>
      </c>
      <c r="N10" s="25" t="n">
        <v>8</v>
      </c>
      <c r="O10" s="25" t="n">
        <v>4</v>
      </c>
      <c r="P10" s="6" t="n">
        <v>46223</v>
      </c>
      <c r="Q10" s="6" t="n">
        <v>46265</v>
      </c>
    </row>
    <row r="11" ht="18" customHeight="1" s="66">
      <c r="A11" s="30" t="inlineStr">
        <is>
          <t>Risk</t>
        </is>
      </c>
      <c r="B11" s="19" t="inlineStr">
        <is>
          <t>GCI-RK001</t>
        </is>
      </c>
      <c r="C11" s="4" t="inlineStr">
        <is>
          <t>Timezone Coordination Gap - Canada Team</t>
        </is>
      </c>
      <c r="D11" s="26" t="inlineStr">
        <is>
          <t>GCI Phase 1</t>
        </is>
      </c>
      <c r="E11" s="101" t="inlineStr">
        <is>
          <t>Resource Management</t>
        </is>
      </c>
      <c r="F11" s="101" t="inlineStr">
        <is>
          <t>Resource Risk</t>
        </is>
      </c>
      <c r="G11" s="103" t="inlineStr">
        <is>
          <t>Risk Management</t>
        </is>
      </c>
      <c r="H11" s="101" t="inlineStr">
        <is>
          <t>Identification</t>
        </is>
      </c>
      <c r="I11" s="101" t="inlineStr">
        <is>
          <t>Risk Logging</t>
        </is>
      </c>
      <c r="J11" s="105" t="inlineStr">
        <is>
          <t>Gopikrishna Vemuri</t>
        </is>
      </c>
      <c r="K11" s="23" t="inlineStr">
        <is>
          <t>P2</t>
        </is>
      </c>
      <c r="L11" s="31" t="inlineStr">
        <is>
          <t>Open</t>
        </is>
      </c>
      <c r="M11" s="6" t="n">
        <v>46204</v>
      </c>
      <c r="N11" s="25" t="n">
        <v>8</v>
      </c>
      <c r="O11" s="25" t="n">
        <v>2</v>
      </c>
      <c r="P11" s="6" t="n">
        <v>46204</v>
      </c>
      <c r="Q11" s="6" t="n">
        <v>46295</v>
      </c>
      <c r="T11" t="n">
        <v>8</v>
      </c>
      <c r="U11" t="n">
        <v>9</v>
      </c>
    </row>
    <row r="12" ht="18" customHeight="1" s="66">
      <c r="A12" s="30" t="inlineStr">
        <is>
          <t>Risk</t>
        </is>
      </c>
      <c r="B12" s="19" t="inlineStr">
        <is>
          <t>GCI-RK002</t>
        </is>
      </c>
      <c r="C12" s="20" t="inlineStr">
        <is>
          <t>New Client Requirements Mid-Engagement</t>
        </is>
      </c>
      <c r="D12" s="21" t="inlineStr">
        <is>
          <t>GCI Phase 1</t>
        </is>
      </c>
      <c r="E12" s="22" t="inlineStr">
        <is>
          <t>Scope Management</t>
        </is>
      </c>
      <c r="F12" s="22" t="inlineStr">
        <is>
          <t>Scope Risk</t>
        </is>
      </c>
      <c r="G12" s="102" t="inlineStr">
        <is>
          <t>Risk Management</t>
        </is>
      </c>
      <c r="H12" s="107" t="inlineStr">
        <is>
          <t>Identification</t>
        </is>
      </c>
      <c r="I12" s="107" t="inlineStr">
        <is>
          <t>Risk Logging</t>
        </is>
      </c>
      <c r="J12" s="104" t="inlineStr">
        <is>
          <t>Gopikrishna Vemuri</t>
        </is>
      </c>
      <c r="K12" s="28" t="inlineStr">
        <is>
          <t>P3</t>
        </is>
      </c>
      <c r="L12" s="31" t="inlineStr">
        <is>
          <t>Open</t>
        </is>
      </c>
      <c r="M12" s="6" t="n">
        <v>46204</v>
      </c>
      <c r="N12" s="25" t="n">
        <v>4</v>
      </c>
      <c r="O12" s="25" t="n">
        <v>1</v>
      </c>
      <c r="P12" s="6" t="n">
        <v>46204</v>
      </c>
      <c r="Q12" s="6" t="n">
        <v>46387</v>
      </c>
      <c r="T12" t="n">
        <v>4</v>
      </c>
      <c r="U12" t="n">
        <v>8</v>
      </c>
    </row>
    <row r="13" ht="18" customHeight="1" s="66">
      <c r="A13" s="32" t="inlineStr">
        <is>
          <t>CR</t>
        </is>
      </c>
      <c r="B13" s="19" t="inlineStr">
        <is>
          <t>GCI-CR001</t>
        </is>
      </c>
      <c r="C13" s="4" t="inlineStr">
        <is>
          <t>Canada Holiday Buffer Hours</t>
        </is>
      </c>
      <c r="D13" s="26" t="inlineStr">
        <is>
          <t>GCI Phase 1</t>
        </is>
      </c>
      <c r="E13" s="101" t="inlineStr">
        <is>
          <t>Support Block</t>
        </is>
      </c>
      <c r="F13" s="101" t="inlineStr">
        <is>
          <t>Scope Addition</t>
        </is>
      </c>
      <c r="G13" s="103" t="inlineStr">
        <is>
          <t>Change Request</t>
        </is>
      </c>
      <c r="H13" s="101" t="inlineStr">
        <is>
          <t>Analysis</t>
        </is>
      </c>
      <c r="I13" s="101" t="inlineStr">
        <is>
          <t>Impact Analysis</t>
        </is>
      </c>
      <c r="J13" s="105" t="inlineStr">
        <is>
          <t>Gopikrishna Vemuri</t>
        </is>
      </c>
      <c r="K13" s="28" t="inlineStr">
        <is>
          <t>P3</t>
        </is>
      </c>
      <c r="L13" s="24" t="inlineStr">
        <is>
          <t>Approved</t>
        </is>
      </c>
      <c r="M13" s="6" t="n">
        <v>46204</v>
      </c>
      <c r="N13" s="25" t="n">
        <v>40</v>
      </c>
      <c r="O13" s="25" t="n">
        <v>20</v>
      </c>
      <c r="P13" s="6" t="n">
        <v>46235</v>
      </c>
      <c r="Q13" s="6" t="n">
        <v>46265</v>
      </c>
    </row>
    <row r="14" ht="18" customHeight="1" s="66">
      <c r="A14" s="18" t="inlineStr">
        <is>
          <t>Task</t>
        </is>
      </c>
      <c r="B14" s="19" t="inlineStr">
        <is>
          <t>CTRL-T001</t>
        </is>
      </c>
      <c r="C14" s="20" t="inlineStr">
        <is>
          <t>Requirements &amp; BRD Review</t>
        </is>
      </c>
      <c r="D14" s="21" t="inlineStr">
        <is>
          <t>Control Solutions</t>
        </is>
      </c>
      <c r="E14" s="22" t="inlineStr">
        <is>
          <t>Sales Cloud</t>
        </is>
      </c>
      <c r="F14" s="22" t="inlineStr">
        <is>
          <t>Analyze</t>
        </is>
      </c>
      <c r="G14" s="102" t="inlineStr">
        <is>
          <t>Project Management</t>
        </is>
      </c>
      <c r="H14" s="107" t="inlineStr">
        <is>
          <t>Development</t>
        </is>
      </c>
      <c r="I14" s="107" t="inlineStr">
        <is>
          <t>Coding</t>
        </is>
      </c>
      <c r="J14" s="104" t="inlineStr">
        <is>
          <t>Ester Rani Ganji</t>
        </is>
      </c>
      <c r="K14" s="33" t="inlineStr">
        <is>
          <t>P1</t>
        </is>
      </c>
      <c r="L14" s="24" t="inlineStr">
        <is>
          <t>Completed</t>
        </is>
      </c>
      <c r="M14" s="6" t="n">
        <v>46174</v>
      </c>
      <c r="N14" s="25" t="n">
        <v>12</v>
      </c>
      <c r="O14" s="25" t="n">
        <v>12</v>
      </c>
      <c r="P14" s="6" t="n">
        <v>46174</v>
      </c>
      <c r="Q14" s="6" t="n">
        <v>46176</v>
      </c>
    </row>
    <row r="15" ht="18" customHeight="1" s="66">
      <c r="A15" s="18" t="inlineStr">
        <is>
          <t>Task</t>
        </is>
      </c>
      <c r="B15" s="19" t="inlineStr">
        <is>
          <t>CTRL-T002</t>
        </is>
      </c>
      <c r="C15" s="4" t="inlineStr">
        <is>
          <t>Salesforce Org Setup &amp; Config</t>
        </is>
      </c>
      <c r="D15" s="26" t="inlineStr">
        <is>
          <t>Control Solutions</t>
        </is>
      </c>
      <c r="E15" s="101" t="inlineStr">
        <is>
          <t>Sales Cloud</t>
        </is>
      </c>
      <c r="F15" s="101" t="inlineStr">
        <is>
          <t>Configure</t>
        </is>
      </c>
      <c r="G15" s="103" t="inlineStr">
        <is>
          <t>Development</t>
        </is>
      </c>
      <c r="H15" s="101" t="inlineStr">
        <is>
          <t>Development</t>
        </is>
      </c>
      <c r="I15" s="101" t="inlineStr">
        <is>
          <t>Coding</t>
        </is>
      </c>
      <c r="J15" s="105" t="inlineStr">
        <is>
          <t>Jeevan Babu Paruchuri</t>
        </is>
      </c>
      <c r="K15" s="33" t="inlineStr">
        <is>
          <t>P1</t>
        </is>
      </c>
      <c r="L15" s="24" t="inlineStr">
        <is>
          <t>Completed</t>
        </is>
      </c>
      <c r="M15" s="6" t="n">
        <v>46177</v>
      </c>
      <c r="N15" s="25" t="n">
        <v>20</v>
      </c>
      <c r="O15" s="25" t="n">
        <v>22</v>
      </c>
      <c r="P15" s="6" t="n">
        <v>46177</v>
      </c>
      <c r="Q15" s="6" t="n">
        <v>46183</v>
      </c>
    </row>
    <row r="16" ht="18" customHeight="1" s="66">
      <c r="A16" s="18" t="inlineStr">
        <is>
          <t>Task</t>
        </is>
      </c>
      <c r="B16" s="19" t="inlineStr">
        <is>
          <t>CTRL-T003</t>
        </is>
      </c>
      <c r="C16" s="20" t="inlineStr">
        <is>
          <t>Data Model Design - Custom Objects</t>
        </is>
      </c>
      <c r="D16" s="21" t="inlineStr">
        <is>
          <t>Control Solutions</t>
        </is>
      </c>
      <c r="E16" s="22" t="inlineStr">
        <is>
          <t>Sales Cloud</t>
        </is>
      </c>
      <c r="F16" s="22" t="inlineStr">
        <is>
          <t>Create</t>
        </is>
      </c>
      <c r="G16" s="102" t="inlineStr">
        <is>
          <t>Development</t>
        </is>
      </c>
      <c r="H16" s="107" t="inlineStr">
        <is>
          <t>Development</t>
        </is>
      </c>
      <c r="I16" s="107" t="inlineStr">
        <is>
          <t>Coding</t>
        </is>
      </c>
      <c r="J16" s="104" t="inlineStr">
        <is>
          <t>Akhil Kotagiri</t>
        </is>
      </c>
      <c r="K16" s="33" t="inlineStr">
        <is>
          <t>P1</t>
        </is>
      </c>
      <c r="L16" s="24" t="inlineStr">
        <is>
          <t>Completed</t>
        </is>
      </c>
      <c r="M16" s="6" t="n">
        <v>46177</v>
      </c>
      <c r="N16" s="25" t="n">
        <v>32</v>
      </c>
      <c r="O16" s="25" t="n">
        <v>35</v>
      </c>
      <c r="P16" s="6" t="n">
        <v>46177</v>
      </c>
      <c r="Q16" s="6" t="n">
        <v>46184</v>
      </c>
    </row>
    <row r="17" ht="18" customHeight="1" s="66">
      <c r="A17" s="18" t="inlineStr">
        <is>
          <t>Task</t>
        </is>
      </c>
      <c r="B17" s="19" t="inlineStr">
        <is>
          <t>CTRL-T004</t>
        </is>
      </c>
      <c r="C17" s="4" t="inlineStr">
        <is>
          <t>Integration Architecture Blueprint</t>
        </is>
      </c>
      <c r="D17" s="26" t="inlineStr">
        <is>
          <t>Control Solutions</t>
        </is>
      </c>
      <c r="E17" s="101" t="inlineStr">
        <is>
          <t>QB Integration</t>
        </is>
      </c>
      <c r="F17" s="101" t="inlineStr">
        <is>
          <t>Analyze</t>
        </is>
      </c>
      <c r="G17" s="103" t="inlineStr">
        <is>
          <t>Development</t>
        </is>
      </c>
      <c r="H17" s="101" t="inlineStr">
        <is>
          <t>Development</t>
        </is>
      </c>
      <c r="I17" s="101" t="inlineStr">
        <is>
          <t>Coding</t>
        </is>
      </c>
      <c r="J17" s="105" t="inlineStr">
        <is>
          <t>Sureshkumar Gidugu</t>
        </is>
      </c>
      <c r="K17" s="23" t="inlineStr">
        <is>
          <t>P2</t>
        </is>
      </c>
      <c r="L17" s="24" t="inlineStr">
        <is>
          <t>Completed</t>
        </is>
      </c>
      <c r="M17" s="6" t="n">
        <v>46180</v>
      </c>
      <c r="N17" s="25" t="n">
        <v>20</v>
      </c>
      <c r="O17" s="25" t="n">
        <v>18</v>
      </c>
      <c r="P17" s="6" t="n">
        <v>46180</v>
      </c>
      <c r="Q17" s="6" t="n">
        <v>46186</v>
      </c>
    </row>
    <row r="18" ht="18" customHeight="1" s="66">
      <c r="A18" s="18" t="inlineStr">
        <is>
          <t>Task</t>
        </is>
      </c>
      <c r="B18" s="19" t="inlineStr">
        <is>
          <t>CTRL-T005</t>
        </is>
      </c>
      <c r="C18" s="20" t="inlineStr">
        <is>
          <t>Security &amp; Permission Set Design</t>
        </is>
      </c>
      <c r="D18" s="21" t="inlineStr">
        <is>
          <t>Control Solutions</t>
        </is>
      </c>
      <c r="E18" s="22" t="inlineStr">
        <is>
          <t>Sales Cloud</t>
        </is>
      </c>
      <c r="F18" s="22" t="inlineStr">
        <is>
          <t>Configure</t>
        </is>
      </c>
      <c r="G18" s="102" t="inlineStr">
        <is>
          <t>Development</t>
        </is>
      </c>
      <c r="H18" s="107" t="inlineStr">
        <is>
          <t>Development</t>
        </is>
      </c>
      <c r="I18" s="107" t="inlineStr">
        <is>
          <t>Coding</t>
        </is>
      </c>
      <c r="J18" s="104" t="inlineStr">
        <is>
          <t>Nagarjuna Reddy Sadhu</t>
        </is>
      </c>
      <c r="K18" s="23" t="inlineStr">
        <is>
          <t>P2</t>
        </is>
      </c>
      <c r="L18" s="24" t="inlineStr">
        <is>
          <t>Completed</t>
        </is>
      </c>
      <c r="M18" s="6" t="n">
        <v>46180</v>
      </c>
      <c r="N18" s="25" t="n">
        <v>12</v>
      </c>
      <c r="O18" s="25" t="n">
        <v>12</v>
      </c>
      <c r="P18" s="6" t="n">
        <v>46180</v>
      </c>
      <c r="Q18" s="6" t="n">
        <v>46183</v>
      </c>
    </row>
    <row r="19" ht="18" customHeight="1" s="66">
      <c r="A19" s="18" t="inlineStr">
        <is>
          <t>Task</t>
        </is>
      </c>
      <c r="B19" s="19" t="inlineStr">
        <is>
          <t>CTRL-T006</t>
        </is>
      </c>
      <c r="C19" s="4" t="inlineStr">
        <is>
          <t>FSL Work Orders &amp; Service Appointments</t>
        </is>
      </c>
      <c r="D19" s="26" t="inlineStr">
        <is>
          <t>Control Solutions</t>
        </is>
      </c>
      <c r="E19" s="101" t="inlineStr">
        <is>
          <t>FSL</t>
        </is>
      </c>
      <c r="F19" s="101" t="inlineStr">
        <is>
          <t>Create</t>
        </is>
      </c>
      <c r="G19" s="103" t="inlineStr">
        <is>
          <t>Development</t>
        </is>
      </c>
      <c r="H19" s="101" t="inlineStr">
        <is>
          <t>Development</t>
        </is>
      </c>
      <c r="I19" s="101" t="inlineStr">
        <is>
          <t>Coding</t>
        </is>
      </c>
      <c r="J19" s="105" t="inlineStr">
        <is>
          <t>Vishnudeep</t>
        </is>
      </c>
      <c r="K19" s="33" t="inlineStr">
        <is>
          <t>P1</t>
        </is>
      </c>
      <c r="L19" s="24" t="inlineStr">
        <is>
          <t>Completed</t>
        </is>
      </c>
      <c r="M19" s="6" t="n">
        <v>46184</v>
      </c>
      <c r="N19" s="25" t="n">
        <v>32</v>
      </c>
      <c r="O19" s="25" t="n">
        <v>36</v>
      </c>
      <c r="P19" s="6" t="n">
        <v>46184</v>
      </c>
      <c r="Q19" s="6" t="n">
        <v>46193</v>
      </c>
    </row>
    <row r="20" ht="18" customHeight="1" s="66">
      <c r="A20" s="18" t="inlineStr">
        <is>
          <t>Task</t>
        </is>
      </c>
      <c r="B20" s="19" t="inlineStr">
        <is>
          <t>CTRL-T007</t>
        </is>
      </c>
      <c r="C20" s="20" t="inlineStr">
        <is>
          <t>Service Cloud Case Management</t>
        </is>
      </c>
      <c r="D20" s="21" t="inlineStr">
        <is>
          <t>Control Solutions</t>
        </is>
      </c>
      <c r="E20" s="22" t="inlineStr">
        <is>
          <t>Service Cloud</t>
        </is>
      </c>
      <c r="F20" s="22" t="inlineStr">
        <is>
          <t>Create</t>
        </is>
      </c>
      <c r="G20" s="102" t="inlineStr">
        <is>
          <t>Development</t>
        </is>
      </c>
      <c r="H20" s="107" t="inlineStr">
        <is>
          <t>Development</t>
        </is>
      </c>
      <c r="I20" s="107" t="inlineStr">
        <is>
          <t>Coding</t>
        </is>
      </c>
      <c r="J20" s="104" t="inlineStr">
        <is>
          <t>Seeham Saber Hussain</t>
        </is>
      </c>
      <c r="K20" s="33" t="inlineStr">
        <is>
          <t>P1</t>
        </is>
      </c>
      <c r="L20" s="24" t="inlineStr">
        <is>
          <t>Completed</t>
        </is>
      </c>
      <c r="M20" s="6" t="n">
        <v>46184</v>
      </c>
      <c r="N20" s="25" t="n">
        <v>20</v>
      </c>
      <c r="O20" s="25" t="n">
        <v>20</v>
      </c>
      <c r="P20" s="6" t="n">
        <v>46184</v>
      </c>
      <c r="Q20" s="6" t="n">
        <v>46190</v>
      </c>
    </row>
    <row r="21" ht="18" customHeight="1" s="66">
      <c r="A21" s="18" t="inlineStr">
        <is>
          <t>Task</t>
        </is>
      </c>
      <c r="B21" s="19" t="inlineStr">
        <is>
          <t>CTRL-T008</t>
        </is>
      </c>
      <c r="C21" s="4" t="inlineStr">
        <is>
          <t>QB Integration - Design Phase</t>
        </is>
      </c>
      <c r="D21" s="26" t="inlineStr">
        <is>
          <t>Control Solutions</t>
        </is>
      </c>
      <c r="E21" s="101" t="inlineStr">
        <is>
          <t>QB Integration</t>
        </is>
      </c>
      <c r="F21" s="101" t="inlineStr">
        <is>
          <t>Create</t>
        </is>
      </c>
      <c r="G21" s="103" t="inlineStr">
        <is>
          <t>Development</t>
        </is>
      </c>
      <c r="H21" s="101" t="inlineStr">
        <is>
          <t>Development</t>
        </is>
      </c>
      <c r="I21" s="101" t="inlineStr">
        <is>
          <t>Coding</t>
        </is>
      </c>
      <c r="J21" s="105" t="inlineStr">
        <is>
          <t>Sureshkumar Gidugu</t>
        </is>
      </c>
      <c r="K21" s="33" t="inlineStr">
        <is>
          <t>P1</t>
        </is>
      </c>
      <c r="L21" s="27" t="inlineStr">
        <is>
          <t>In Progress</t>
        </is>
      </c>
      <c r="M21" s="6" t="n">
        <v>46191</v>
      </c>
      <c r="N21" s="25" t="n">
        <v>32</v>
      </c>
      <c r="O21" s="25" t="n">
        <v>20</v>
      </c>
      <c r="P21" s="6" t="n">
        <v>46191</v>
      </c>
      <c r="Q21" s="6" t="n">
        <v>46214</v>
      </c>
    </row>
    <row r="22" ht="18" customHeight="1" s="66">
      <c r="A22" s="18" t="inlineStr">
        <is>
          <t>Task</t>
        </is>
      </c>
      <c r="B22" s="19" t="inlineStr">
        <is>
          <t>CTRL-T009</t>
        </is>
      </c>
      <c r="C22" s="20" t="inlineStr">
        <is>
          <t>UAT Test Plan Creation</t>
        </is>
      </c>
      <c r="D22" s="21" t="inlineStr">
        <is>
          <t>Control Solutions</t>
        </is>
      </c>
      <c r="E22" s="22" t="inlineStr">
        <is>
          <t>UAT</t>
        </is>
      </c>
      <c r="F22" s="22" t="inlineStr">
        <is>
          <t>Create</t>
        </is>
      </c>
      <c r="G22" s="102" t="inlineStr">
        <is>
          <t>QA - Testing</t>
        </is>
      </c>
      <c r="H22" s="107" t="inlineStr">
        <is>
          <t>Development</t>
        </is>
      </c>
      <c r="I22" s="107" t="inlineStr">
        <is>
          <t>Coding</t>
        </is>
      </c>
      <c r="J22" s="104" t="inlineStr">
        <is>
          <t>Tejaswini Reddy Tamma</t>
        </is>
      </c>
      <c r="K22" s="23" t="inlineStr">
        <is>
          <t>P2</t>
        </is>
      </c>
      <c r="L22" s="24" t="inlineStr">
        <is>
          <t>Completed</t>
        </is>
      </c>
      <c r="M22" s="6" t="n">
        <v>46188</v>
      </c>
      <c r="N22" s="25" t="n">
        <v>12</v>
      </c>
      <c r="O22" s="25" t="n">
        <v>12</v>
      </c>
      <c r="P22" s="6" t="n">
        <v>46188</v>
      </c>
      <c r="Q22" s="6" t="n">
        <v>46191</v>
      </c>
    </row>
    <row r="23" ht="18" customHeight="1" s="66">
      <c r="A23" s="18" t="inlineStr">
        <is>
          <t>Task</t>
        </is>
      </c>
      <c r="B23" s="19" t="inlineStr">
        <is>
          <t>CTRL-T010</t>
        </is>
      </c>
      <c r="C23" s="4" t="inlineStr">
        <is>
          <t>Custom Report Development - 40 hrs</t>
        </is>
      </c>
      <c r="D23" s="26" t="inlineStr">
        <is>
          <t>Control Solutions</t>
        </is>
      </c>
      <c r="E23" s="101" t="inlineStr">
        <is>
          <t>Reports</t>
        </is>
      </c>
      <c r="F23" s="101" t="inlineStr">
        <is>
          <t>Create</t>
        </is>
      </c>
      <c r="G23" s="103" t="inlineStr">
        <is>
          <t>Development</t>
        </is>
      </c>
      <c r="H23" s="101" t="inlineStr">
        <is>
          <t>Development</t>
        </is>
      </c>
      <c r="I23" s="101" t="inlineStr">
        <is>
          <t>Coding</t>
        </is>
      </c>
      <c r="J23" s="105" t="inlineStr">
        <is>
          <t>Nagarjuna Reddy Sadhu</t>
        </is>
      </c>
      <c r="K23" s="28" t="inlineStr">
        <is>
          <t>P3</t>
        </is>
      </c>
      <c r="L23" s="24" t="inlineStr">
        <is>
          <t>Completed</t>
        </is>
      </c>
      <c r="M23" s="6" t="n">
        <v>46193</v>
      </c>
      <c r="N23" s="25" t="n">
        <v>40</v>
      </c>
      <c r="O23" s="25" t="n">
        <v>42</v>
      </c>
      <c r="P23" s="6" t="n">
        <v>46193</v>
      </c>
      <c r="Q23" s="6" t="n">
        <v>46203</v>
      </c>
    </row>
    <row r="24" ht="18" customHeight="1" s="66">
      <c r="A24" s="18" t="inlineStr">
        <is>
          <t>Task</t>
        </is>
      </c>
      <c r="B24" s="19" t="inlineStr">
        <is>
          <t>CTRL-T011</t>
        </is>
      </c>
      <c r="C24" s="20" t="inlineStr">
        <is>
          <t>UAT Execution &amp; Client Sign-off</t>
        </is>
      </c>
      <c r="D24" s="21" t="inlineStr">
        <is>
          <t>Control Solutions</t>
        </is>
      </c>
      <c r="E24" s="22" t="inlineStr">
        <is>
          <t>UAT</t>
        </is>
      </c>
      <c r="F24" s="22" t="inlineStr">
        <is>
          <t>Test</t>
        </is>
      </c>
      <c r="G24" s="102" t="inlineStr">
        <is>
          <t>QA - Testing</t>
        </is>
      </c>
      <c r="H24" s="107" t="inlineStr">
        <is>
          <t>Development</t>
        </is>
      </c>
      <c r="I24" s="107" t="inlineStr">
        <is>
          <t>Coding</t>
        </is>
      </c>
      <c r="J24" s="104" t="inlineStr">
        <is>
          <t>Tejaswini Reddy Tamma</t>
        </is>
      </c>
      <c r="K24" s="33" t="inlineStr">
        <is>
          <t>P1</t>
        </is>
      </c>
      <c r="L24" s="27" t="inlineStr">
        <is>
          <t>In Progress</t>
        </is>
      </c>
      <c r="M24" s="6" t="n">
        <v>46203</v>
      </c>
      <c r="N24" s="25" t="n">
        <v>20</v>
      </c>
      <c r="O24" s="25" t="n">
        <v>10</v>
      </c>
      <c r="P24" s="6" t="n">
        <v>46203</v>
      </c>
      <c r="Q24" s="6" t="n">
        <v>46214</v>
      </c>
    </row>
    <row r="25" ht="18" customHeight="1" s="66">
      <c r="A25" s="18" t="inlineStr">
        <is>
          <t>Task</t>
        </is>
      </c>
      <c r="B25" s="19" t="inlineStr">
        <is>
          <t>CTRL-T012</t>
        </is>
      </c>
      <c r="C25" s="4" t="inlineStr">
        <is>
          <t>QB Integration - Development</t>
        </is>
      </c>
      <c r="D25" s="26" t="inlineStr">
        <is>
          <t>Control Solutions</t>
        </is>
      </c>
      <c r="E25" s="101" t="inlineStr">
        <is>
          <t>QB Integration</t>
        </is>
      </c>
      <c r="F25" s="101" t="inlineStr">
        <is>
          <t>Create</t>
        </is>
      </c>
      <c r="G25" s="103" t="inlineStr">
        <is>
          <t>Development</t>
        </is>
      </c>
      <c r="H25" s="101" t="inlineStr">
        <is>
          <t>Development</t>
        </is>
      </c>
      <c r="I25" s="101" t="inlineStr">
        <is>
          <t>Coding</t>
        </is>
      </c>
      <c r="J25" s="105" t="inlineStr">
        <is>
          <t>Sureshkumar Gidugu</t>
        </is>
      </c>
      <c r="K25" s="33" t="inlineStr">
        <is>
          <t>P1</t>
        </is>
      </c>
      <c r="L25" s="31" t="inlineStr">
        <is>
          <t>Blocked</t>
        </is>
      </c>
      <c r="M25" s="6" t="n">
        <v>46198</v>
      </c>
      <c r="N25" s="25" t="n">
        <v>52</v>
      </c>
      <c r="O25" s="25" t="n">
        <v>0</v>
      </c>
      <c r="P25" s="6" t="n">
        <v>46198</v>
      </c>
      <c r="Q25" s="6" t="n">
        <v>46229</v>
      </c>
    </row>
    <row r="26" ht="18" customHeight="1" s="66">
      <c r="A26" s="18" t="inlineStr">
        <is>
          <t>Task</t>
        </is>
      </c>
      <c r="B26" s="19" t="inlineStr">
        <is>
          <t>CTRL-T013</t>
        </is>
      </c>
      <c r="C26" s="20" t="inlineStr">
        <is>
          <t>Bug Fixes Round 1</t>
        </is>
      </c>
      <c r="D26" s="21" t="inlineStr">
        <is>
          <t>Control Solutions</t>
        </is>
      </c>
      <c r="E26" s="22" t="inlineStr">
        <is>
          <t>Sales Cloud</t>
        </is>
      </c>
      <c r="F26" s="22" t="inlineStr">
        <is>
          <t>Amend</t>
        </is>
      </c>
      <c r="G26" s="102" t="inlineStr">
        <is>
          <t>Development</t>
        </is>
      </c>
      <c r="H26" s="107" t="inlineStr">
        <is>
          <t>Development</t>
        </is>
      </c>
      <c r="I26" s="107" t="inlineStr">
        <is>
          <t>Coding</t>
        </is>
      </c>
      <c r="J26" s="104" t="inlineStr">
        <is>
          <t>Jeevan Babu Paruchuri</t>
        </is>
      </c>
      <c r="K26" s="33" t="inlineStr">
        <is>
          <t>P1</t>
        </is>
      </c>
      <c r="L26" s="27" t="inlineStr">
        <is>
          <t>In Progress</t>
        </is>
      </c>
      <c r="M26" s="6" t="n">
        <v>46203</v>
      </c>
      <c r="N26" s="25" t="n">
        <v>20</v>
      </c>
      <c r="O26" s="25" t="n">
        <v>8</v>
      </c>
      <c r="P26" s="6" t="n">
        <v>46203</v>
      </c>
      <c r="Q26" s="6" t="n">
        <v>46214</v>
      </c>
    </row>
    <row r="27" ht="18" customHeight="1" s="66">
      <c r="A27" s="18" t="inlineStr">
        <is>
          <t>Task</t>
        </is>
      </c>
      <c r="B27" s="19" t="inlineStr">
        <is>
          <t>CTRL-T014</t>
        </is>
      </c>
      <c r="C27" s="4" t="inlineStr">
        <is>
          <t>Go-Live Preparation &amp; Checklist</t>
        </is>
      </c>
      <c r="D27" s="26" t="inlineStr">
        <is>
          <t>Control Solutions</t>
        </is>
      </c>
      <c r="E27" s="101" t="inlineStr">
        <is>
          <t>Deployment</t>
        </is>
      </c>
      <c r="F27" s="101" t="inlineStr">
        <is>
          <t>Create</t>
        </is>
      </c>
      <c r="G27" s="103" t="inlineStr">
        <is>
          <t>Project Management</t>
        </is>
      </c>
      <c r="H27" s="101" t="inlineStr">
        <is>
          <t>Development</t>
        </is>
      </c>
      <c r="I27" s="101" t="inlineStr">
        <is>
          <t>Coding</t>
        </is>
      </c>
      <c r="J27" s="105" t="inlineStr">
        <is>
          <t>Ester Rani Ganji</t>
        </is>
      </c>
      <c r="K27" s="33" t="inlineStr">
        <is>
          <t>P1</t>
        </is>
      </c>
      <c r="L27" s="34" t="inlineStr">
        <is>
          <t>To Do</t>
        </is>
      </c>
      <c r="M27" s="6" t="n"/>
      <c r="N27" s="25" t="n">
        <v>12</v>
      </c>
      <c r="O27" s="25" t="n">
        <v>0</v>
      </c>
      <c r="P27" s="6" t="n">
        <v>46215</v>
      </c>
      <c r="Q27" s="6" t="n">
        <v>46221</v>
      </c>
    </row>
    <row r="28" ht="18" customHeight="1" s="66">
      <c r="A28" s="18" t="inlineStr">
        <is>
          <t>Task</t>
        </is>
      </c>
      <c r="B28" s="19" t="inlineStr">
        <is>
          <t>CTRL-T015</t>
        </is>
      </c>
      <c r="C28" s="20" t="inlineStr">
        <is>
          <t>Production Deployment</t>
        </is>
      </c>
      <c r="D28" s="21" t="inlineStr">
        <is>
          <t>Control Solutions</t>
        </is>
      </c>
      <c r="E28" s="22" t="inlineStr">
        <is>
          <t>Deployment</t>
        </is>
      </c>
      <c r="F28" s="22" t="inlineStr">
        <is>
          <t>Deploy</t>
        </is>
      </c>
      <c r="G28" s="102" t="inlineStr">
        <is>
          <t>Development</t>
        </is>
      </c>
      <c r="H28" s="107" t="inlineStr">
        <is>
          <t>Development</t>
        </is>
      </c>
      <c r="I28" s="107" t="inlineStr">
        <is>
          <t>Coding</t>
        </is>
      </c>
      <c r="J28" s="104" t="inlineStr">
        <is>
          <t>Akhil Kotagiri</t>
        </is>
      </c>
      <c r="K28" s="33" t="inlineStr">
        <is>
          <t>P1</t>
        </is>
      </c>
      <c r="L28" s="34" t="inlineStr">
        <is>
          <t>To Do</t>
        </is>
      </c>
      <c r="M28" s="6" t="n"/>
      <c r="N28" s="25" t="n">
        <v>12</v>
      </c>
      <c r="O28" s="25" t="n">
        <v>0</v>
      </c>
      <c r="P28" s="6" t="n">
        <v>46221</v>
      </c>
      <c r="Q28" s="6" t="n">
        <v>46224</v>
      </c>
    </row>
    <row r="29" ht="18" customHeight="1" s="66">
      <c r="A29" s="29" t="inlineStr">
        <is>
          <t>Bug</t>
        </is>
      </c>
      <c r="B29" s="19" t="inlineStr">
        <is>
          <t>CTRL-B001</t>
        </is>
      </c>
      <c r="C29" s="4" t="inlineStr">
        <is>
          <t>FSL Work Order not auto-creating Service Appointment</t>
        </is>
      </c>
      <c r="D29" s="26" t="inlineStr">
        <is>
          <t>Control Solutions</t>
        </is>
      </c>
      <c r="E29" s="101" t="inlineStr">
        <is>
          <t>FSL</t>
        </is>
      </c>
      <c r="F29" s="101" t="inlineStr">
        <is>
          <t>Functional</t>
        </is>
      </c>
      <c r="G29" s="103" t="inlineStr">
        <is>
          <t>Bug Fix</t>
        </is>
      </c>
      <c r="H29" s="101" t="inlineStr">
        <is>
          <t>Resolution</t>
        </is>
      </c>
      <c r="I29" s="101" t="inlineStr">
        <is>
          <t>Code Fix</t>
        </is>
      </c>
      <c r="J29" s="105" t="inlineStr">
        <is>
          <t>Vishnudeep</t>
        </is>
      </c>
      <c r="K29" s="33" t="inlineStr">
        <is>
          <t>P1</t>
        </is>
      </c>
      <c r="L29" s="24" t="inlineStr">
        <is>
          <t>Fixed</t>
        </is>
      </c>
      <c r="M29" s="6" t="n">
        <v>46191</v>
      </c>
      <c r="N29" s="25" t="n">
        <v>6</v>
      </c>
      <c r="O29" s="25" t="n">
        <v>4</v>
      </c>
      <c r="P29" s="6" t="n">
        <v>46191</v>
      </c>
      <c r="Q29" s="6" t="n">
        <v>46194</v>
      </c>
    </row>
    <row r="30" ht="18" customHeight="1" s="66">
      <c r="A30" s="29" t="inlineStr">
        <is>
          <t>Bug</t>
        </is>
      </c>
      <c r="B30" s="19" t="inlineStr">
        <is>
          <t>CTRL-B002</t>
        </is>
      </c>
      <c r="C30" s="20" t="inlineStr">
        <is>
          <t>QB sync creating duplicate invoice records</t>
        </is>
      </c>
      <c r="D30" s="21" t="inlineStr">
        <is>
          <t>Control Solutions</t>
        </is>
      </c>
      <c r="E30" s="22" t="inlineStr">
        <is>
          <t>QB Integration</t>
        </is>
      </c>
      <c r="F30" s="22" t="inlineStr">
        <is>
          <t>Integration Bug</t>
        </is>
      </c>
      <c r="G30" s="102" t="inlineStr">
        <is>
          <t>Bug Fix</t>
        </is>
      </c>
      <c r="H30" s="107" t="inlineStr">
        <is>
          <t>Resolution</t>
        </is>
      </c>
      <c r="I30" s="107" t="inlineStr">
        <is>
          <t>Code Fix</t>
        </is>
      </c>
      <c r="J30" s="104" t="inlineStr">
        <is>
          <t>Sureshkumar Gidugu</t>
        </is>
      </c>
      <c r="K30" s="33" t="inlineStr">
        <is>
          <t>P1</t>
        </is>
      </c>
      <c r="L30" s="27" t="inlineStr">
        <is>
          <t>In Progress</t>
        </is>
      </c>
      <c r="M30" s="6" t="n">
        <v>46195</v>
      </c>
      <c r="N30" s="25" t="n">
        <v>8</v>
      </c>
      <c r="O30" s="25" t="n">
        <v>4</v>
      </c>
      <c r="P30" s="6" t="n">
        <v>46195</v>
      </c>
      <c r="Q30" s="6" t="n">
        <v>46214</v>
      </c>
    </row>
    <row r="31" ht="18" customHeight="1" s="66">
      <c r="A31" s="29" t="inlineStr">
        <is>
          <t>Bug</t>
        </is>
      </c>
      <c r="B31" s="19" t="inlineStr">
        <is>
          <t>CTRL-B003</t>
        </is>
      </c>
      <c r="C31" s="4" t="inlineStr">
        <is>
          <t>Custom report date filter ignoring timezone offset</t>
        </is>
      </c>
      <c r="D31" s="26" t="inlineStr">
        <is>
          <t>Control Solutions</t>
        </is>
      </c>
      <c r="E31" s="101" t="inlineStr">
        <is>
          <t>Reports</t>
        </is>
      </c>
      <c r="F31" s="101" t="inlineStr">
        <is>
          <t>Functional</t>
        </is>
      </c>
      <c r="G31" s="103" t="inlineStr">
        <is>
          <t>Bug Fix</t>
        </is>
      </c>
      <c r="H31" s="101" t="inlineStr">
        <is>
          <t>Resolution</t>
        </is>
      </c>
      <c r="I31" s="101" t="inlineStr">
        <is>
          <t>Code Fix</t>
        </is>
      </c>
      <c r="J31" s="105" t="inlineStr">
        <is>
          <t>Nagarjuna Reddy Sadhu</t>
        </is>
      </c>
      <c r="K31" s="28" t="inlineStr">
        <is>
          <t>P3</t>
        </is>
      </c>
      <c r="L31" s="31" t="inlineStr">
        <is>
          <t>Open</t>
        </is>
      </c>
      <c r="M31" s="6" t="n">
        <v>46201</v>
      </c>
      <c r="N31" s="25" t="n">
        <v>4</v>
      </c>
      <c r="O31" s="25" t="n">
        <v>0</v>
      </c>
      <c r="P31" s="6" t="n">
        <v>46201</v>
      </c>
      <c r="Q31" s="6" t="n">
        <v>46214</v>
      </c>
    </row>
    <row r="32" ht="18" customHeight="1" s="66">
      <c r="A32" s="29" t="inlineStr">
        <is>
          <t>Bug</t>
        </is>
      </c>
      <c r="B32" s="19" t="inlineStr">
        <is>
          <t>CTRL-B004</t>
        </is>
      </c>
      <c r="C32" s="20" t="inlineStr">
        <is>
          <t>Permission set missing field access for Service Manager</t>
        </is>
      </c>
      <c r="D32" s="21" t="inlineStr">
        <is>
          <t>Control Solutions</t>
        </is>
      </c>
      <c r="E32" s="22" t="inlineStr">
        <is>
          <t>Sales Cloud</t>
        </is>
      </c>
      <c r="F32" s="22" t="inlineStr">
        <is>
          <t>Config Bug</t>
        </is>
      </c>
      <c r="G32" s="102" t="inlineStr">
        <is>
          <t>Bug Fix</t>
        </is>
      </c>
      <c r="H32" s="107" t="inlineStr">
        <is>
          <t>Resolution</t>
        </is>
      </c>
      <c r="I32" s="107" t="inlineStr">
        <is>
          <t>Code Fix</t>
        </is>
      </c>
      <c r="J32" s="104" t="inlineStr">
        <is>
          <t>Akhil Kotagiri</t>
        </is>
      </c>
      <c r="K32" s="23" t="inlineStr">
        <is>
          <t>P2</t>
        </is>
      </c>
      <c r="L32" s="24" t="inlineStr">
        <is>
          <t>Fixed</t>
        </is>
      </c>
      <c r="M32" s="6" t="n">
        <v>46202</v>
      </c>
      <c r="N32" s="25" t="n">
        <v>4</v>
      </c>
      <c r="O32" s="25" t="n">
        <v>3</v>
      </c>
      <c r="P32" s="6" t="n">
        <v>46202</v>
      </c>
      <c r="Q32" s="6" t="n">
        <v>46203</v>
      </c>
    </row>
    <row r="33" ht="18" customHeight="1" s="66">
      <c r="A33" s="30" t="inlineStr">
        <is>
          <t>Risk</t>
        </is>
      </c>
      <c r="B33" s="19" t="inlineStr">
        <is>
          <t>CTRL-RK001</t>
        </is>
      </c>
      <c r="C33" s="4" t="inlineStr">
        <is>
          <t>Effort Overrun - 107 Hours</t>
        </is>
      </c>
      <c r="D33" s="26" t="inlineStr">
        <is>
          <t>Control Solutions</t>
        </is>
      </c>
      <c r="E33" s="101" t="inlineStr">
        <is>
          <t>Financial Management</t>
        </is>
      </c>
      <c r="F33" s="101" t="inlineStr">
        <is>
          <t>Financial Risk</t>
        </is>
      </c>
      <c r="G33" s="103" t="inlineStr">
        <is>
          <t>Risk Management</t>
        </is>
      </c>
      <c r="H33" s="101" t="inlineStr">
        <is>
          <t>Identification</t>
        </is>
      </c>
      <c r="I33" s="101" t="inlineStr">
        <is>
          <t>Risk Logging</t>
        </is>
      </c>
      <c r="J33" s="105" t="inlineStr">
        <is>
          <t>Ester Rani Ganji</t>
        </is>
      </c>
      <c r="K33" s="33" t="inlineStr">
        <is>
          <t>P1</t>
        </is>
      </c>
      <c r="L33" s="31" t="inlineStr">
        <is>
          <t>Open</t>
        </is>
      </c>
      <c r="M33" s="6" t="n">
        <v>46203</v>
      </c>
      <c r="N33" s="25" t="n">
        <v>16</v>
      </c>
      <c r="O33" s="25" t="n">
        <v>8</v>
      </c>
      <c r="P33" s="6" t="n">
        <v>46203</v>
      </c>
      <c r="Q33" s="6" t="n">
        <v>46229</v>
      </c>
      <c r="T33" t="n">
        <v>16</v>
      </c>
      <c r="U33" t="n">
        <v>25</v>
      </c>
    </row>
    <row r="34" ht="18" customHeight="1" s="66">
      <c r="A34" s="30" t="inlineStr">
        <is>
          <t>Risk</t>
        </is>
      </c>
      <c r="B34" s="19" t="inlineStr">
        <is>
          <t>CTRL-RK002</t>
        </is>
      </c>
      <c r="C34" s="20" t="inlineStr">
        <is>
          <t>QB Integration - Unscoped Requirement</t>
        </is>
      </c>
      <c r="D34" s="21" t="inlineStr">
        <is>
          <t>Control Solutions</t>
        </is>
      </c>
      <c r="E34" s="22" t="inlineStr">
        <is>
          <t>QB Integration</t>
        </is>
      </c>
      <c r="F34" s="22" t="inlineStr">
        <is>
          <t>Technical Risk</t>
        </is>
      </c>
      <c r="G34" s="102" t="inlineStr">
        <is>
          <t>Risk Management</t>
        </is>
      </c>
      <c r="H34" s="107" t="inlineStr">
        <is>
          <t>Identification</t>
        </is>
      </c>
      <c r="I34" s="107" t="inlineStr">
        <is>
          <t>Risk Logging</t>
        </is>
      </c>
      <c r="J34" s="104" t="inlineStr">
        <is>
          <t>Ester Rani Ganji</t>
        </is>
      </c>
      <c r="K34" s="33" t="inlineStr">
        <is>
          <t>P1</t>
        </is>
      </c>
      <c r="L34" s="31" t="inlineStr">
        <is>
          <t>Open</t>
        </is>
      </c>
      <c r="M34" s="6" t="n">
        <v>46193</v>
      </c>
      <c r="N34" s="25" t="n">
        <v>8</v>
      </c>
      <c r="O34" s="25" t="n">
        <v>4</v>
      </c>
      <c r="P34" s="6" t="n">
        <v>46193</v>
      </c>
      <c r="Q34" s="6" t="n">
        <v>46244</v>
      </c>
      <c r="T34" t="n">
        <v>8</v>
      </c>
      <c r="U34" t="n">
        <v>16</v>
      </c>
    </row>
    <row r="35" ht="18" customHeight="1" s="66">
      <c r="A35" s="32" t="inlineStr">
        <is>
          <t>CR</t>
        </is>
      </c>
      <c r="B35" s="19" t="inlineStr">
        <is>
          <t>CTRL-CR001</t>
        </is>
      </c>
      <c r="C35" s="4" t="inlineStr">
        <is>
          <t>QB Integration - New Scope Addition</t>
        </is>
      </c>
      <c r="D35" s="26" t="inlineStr">
        <is>
          <t>Control Solutions</t>
        </is>
      </c>
      <c r="E35" s="101" t="inlineStr">
        <is>
          <t>QB Integration</t>
        </is>
      </c>
      <c r="F35" s="101" t="inlineStr">
        <is>
          <t>Scope Addition</t>
        </is>
      </c>
      <c r="G35" s="103" t="inlineStr">
        <is>
          <t>Change Request</t>
        </is>
      </c>
      <c r="H35" s="101" t="inlineStr">
        <is>
          <t>Analysis</t>
        </is>
      </c>
      <c r="I35" s="101" t="inlineStr">
        <is>
          <t>Impact Analysis</t>
        </is>
      </c>
      <c r="J35" s="105" t="inlineStr">
        <is>
          <t>Ester Rani Ganji</t>
        </is>
      </c>
      <c r="K35" s="33" t="inlineStr">
        <is>
          <t>P1</t>
        </is>
      </c>
      <c r="L35" s="35" t="inlineStr">
        <is>
          <t>Pending Approval</t>
        </is>
      </c>
      <c r="M35" s="6" t="n">
        <v>46193</v>
      </c>
      <c r="N35" s="25" t="n">
        <v>150</v>
      </c>
      <c r="O35" s="25" t="n">
        <v>0</v>
      </c>
      <c r="P35" s="6" t="n">
        <v>46193</v>
      </c>
      <c r="Q35" s="6" t="n">
        <v>46229</v>
      </c>
    </row>
    <row r="36" ht="18" customHeight="1" s="66">
      <c r="A36" s="32" t="inlineStr">
        <is>
          <t>CR</t>
        </is>
      </c>
      <c r="B36" s="19" t="inlineStr">
        <is>
          <t>CTRL-CR002</t>
        </is>
      </c>
      <c r="C36" s="20" t="inlineStr">
        <is>
          <t>Additional Custom Reports - 40 hrs</t>
        </is>
      </c>
      <c r="D36" s="21" t="inlineStr">
        <is>
          <t>Control Solutions</t>
        </is>
      </c>
      <c r="E36" s="22" t="inlineStr">
        <is>
          <t>Reports</t>
        </is>
      </c>
      <c r="F36" s="22" t="inlineStr">
        <is>
          <t>Enhancement</t>
        </is>
      </c>
      <c r="G36" s="102" t="inlineStr">
        <is>
          <t>Change Request</t>
        </is>
      </c>
      <c r="H36" s="107" t="inlineStr">
        <is>
          <t>Analysis</t>
        </is>
      </c>
      <c r="I36" s="107" t="inlineStr">
        <is>
          <t>Impact Analysis</t>
        </is>
      </c>
      <c r="J36" s="104" t="inlineStr">
        <is>
          <t>Ester Rani Ganji</t>
        </is>
      </c>
      <c r="K36" s="23" t="inlineStr">
        <is>
          <t>P2</t>
        </is>
      </c>
      <c r="L36" s="24" t="inlineStr">
        <is>
          <t>Approved</t>
        </is>
      </c>
      <c r="M36" s="6" t="n">
        <v>46184</v>
      </c>
      <c r="N36" s="25" t="n">
        <v>40</v>
      </c>
      <c r="O36" s="25" t="n">
        <v>42</v>
      </c>
      <c r="P36" s="6" t="n">
        <v>46184</v>
      </c>
      <c r="Q36" s="6" t="n">
        <v>46203</v>
      </c>
    </row>
    <row r="37" ht="18" customHeight="1" s="66">
      <c r="A37" s="18" t="inlineStr">
        <is>
          <t>Task</t>
        </is>
      </c>
      <c r="B37" s="19" t="inlineStr">
        <is>
          <t>LEV-T001</t>
        </is>
      </c>
      <c r="C37" s="4" t="inlineStr">
        <is>
          <t>Levata Support - Jul Tasks</t>
        </is>
      </c>
      <c r="D37" s="26" t="inlineStr">
        <is>
          <t>Levata</t>
        </is>
      </c>
      <c r="E37" s="101" t="inlineStr">
        <is>
          <t>Sales Cloud</t>
        </is>
      </c>
      <c r="F37" s="101" t="inlineStr">
        <is>
          <t>Configure</t>
        </is>
      </c>
      <c r="G37" s="103" t="inlineStr">
        <is>
          <t>Support</t>
        </is>
      </c>
      <c r="H37" s="101" t="inlineStr">
        <is>
          <t>Development</t>
        </is>
      </c>
      <c r="I37" s="101" t="inlineStr">
        <is>
          <t>Coding</t>
        </is>
      </c>
      <c r="J37" s="105" t="inlineStr">
        <is>
          <t>Kailash Reddy</t>
        </is>
      </c>
      <c r="K37" s="23" t="inlineStr">
        <is>
          <t>P2</t>
        </is>
      </c>
      <c r="L37" s="24" t="inlineStr">
        <is>
          <t>Completed</t>
        </is>
      </c>
      <c r="M37" s="6" t="n">
        <v>46204</v>
      </c>
      <c r="N37" s="25" t="n">
        <v>160</v>
      </c>
      <c r="O37" s="25" t="n">
        <v>160</v>
      </c>
      <c r="P37" s="6" t="n">
        <v>46204</v>
      </c>
      <c r="Q37" s="6" t="n">
        <v>46234</v>
      </c>
    </row>
    <row r="38" ht="18" customHeight="1" s="66">
      <c r="A38" s="18" t="inlineStr">
        <is>
          <t>Task</t>
        </is>
      </c>
      <c r="B38" s="19" t="inlineStr">
        <is>
          <t>LEV-T002</t>
        </is>
      </c>
      <c r="C38" s="20" t="inlineStr">
        <is>
          <t>Levata Support - Aug Tasks</t>
        </is>
      </c>
      <c r="D38" s="21" t="inlineStr">
        <is>
          <t>Levata</t>
        </is>
      </c>
      <c r="E38" s="22" t="inlineStr">
        <is>
          <t>Sales Cloud</t>
        </is>
      </c>
      <c r="F38" s="22" t="inlineStr">
        <is>
          <t>Amend</t>
        </is>
      </c>
      <c r="G38" s="102" t="inlineStr">
        <is>
          <t>Support</t>
        </is>
      </c>
      <c r="H38" s="107" t="inlineStr">
        <is>
          <t>Development</t>
        </is>
      </c>
      <c r="I38" s="107" t="inlineStr">
        <is>
          <t>Coding</t>
        </is>
      </c>
      <c r="J38" s="104" t="inlineStr">
        <is>
          <t>Mohandasaiah Garikapati</t>
        </is>
      </c>
      <c r="K38" s="23" t="inlineStr">
        <is>
          <t>P2</t>
        </is>
      </c>
      <c r="L38" s="27" t="inlineStr">
        <is>
          <t>In Progress</t>
        </is>
      </c>
      <c r="M38" s="6" t="n">
        <v>46235</v>
      </c>
      <c r="N38" s="25" t="n">
        <v>160</v>
      </c>
      <c r="O38" s="25" t="n">
        <v>80</v>
      </c>
      <c r="P38" s="6" t="n">
        <v>46235</v>
      </c>
      <c r="Q38" s="6" t="n">
        <v>46265</v>
      </c>
    </row>
    <row r="39" ht="18" customHeight="1" s="66">
      <c r="A39" s="18" t="inlineStr">
        <is>
          <t>Task</t>
        </is>
      </c>
      <c r="B39" s="19" t="inlineStr">
        <is>
          <t>LEV-T003</t>
        </is>
      </c>
      <c r="C39" s="4" t="inlineStr">
        <is>
          <t>SOW Amendment Coordination</t>
        </is>
      </c>
      <c r="D39" s="26" t="inlineStr">
        <is>
          <t>Levata</t>
        </is>
      </c>
      <c r="E39" s="101" t="inlineStr">
        <is>
          <t>Scope Management</t>
        </is>
      </c>
      <c r="F39" s="101" t="inlineStr">
        <is>
          <t>Analyze</t>
        </is>
      </c>
      <c r="G39" s="103" t="inlineStr">
        <is>
          <t>Project Management</t>
        </is>
      </c>
      <c r="H39" s="101" t="inlineStr">
        <is>
          <t>Development</t>
        </is>
      </c>
      <c r="I39" s="101" t="inlineStr">
        <is>
          <t>Coding</t>
        </is>
      </c>
      <c r="J39" s="105" t="inlineStr">
        <is>
          <t>Ester Rani Ganji</t>
        </is>
      </c>
      <c r="K39" s="23" t="inlineStr">
        <is>
          <t>P2</t>
        </is>
      </c>
      <c r="L39" s="27" t="inlineStr">
        <is>
          <t>In Progress</t>
        </is>
      </c>
      <c r="M39" s="6" t="n">
        <v>46218</v>
      </c>
      <c r="N39" s="25" t="n">
        <v>16</v>
      </c>
      <c r="O39" s="25" t="n">
        <v>8</v>
      </c>
      <c r="P39" s="6" t="n">
        <v>46218</v>
      </c>
      <c r="Q39" s="6" t="n">
        <v>46249</v>
      </c>
    </row>
    <row r="40" ht="18" customHeight="1" s="66">
      <c r="A40" s="29" t="inlineStr">
        <is>
          <t>Bug</t>
        </is>
      </c>
      <c r="B40" s="19" t="inlineStr">
        <is>
          <t>LEV-B001</t>
        </is>
      </c>
      <c r="C40" s="20" t="inlineStr">
        <is>
          <t>Dashboard filters not persisting across sessions</t>
        </is>
      </c>
      <c r="D40" s="21" t="inlineStr">
        <is>
          <t>Levata</t>
        </is>
      </c>
      <c r="E40" s="22" t="inlineStr">
        <is>
          <t>Reports</t>
        </is>
      </c>
      <c r="F40" s="22" t="inlineStr">
        <is>
          <t>Functional</t>
        </is>
      </c>
      <c r="G40" s="102" t="inlineStr">
        <is>
          <t>Bug Fix</t>
        </is>
      </c>
      <c r="H40" s="107" t="inlineStr">
        <is>
          <t>Resolution</t>
        </is>
      </c>
      <c r="I40" s="107" t="inlineStr">
        <is>
          <t>Code Fix</t>
        </is>
      </c>
      <c r="J40" s="104" t="inlineStr">
        <is>
          <t>Kailash Reddy</t>
        </is>
      </c>
      <c r="K40" s="28" t="inlineStr">
        <is>
          <t>P3</t>
        </is>
      </c>
      <c r="L40" s="31" t="inlineStr">
        <is>
          <t>Open</t>
        </is>
      </c>
      <c r="M40" s="6" t="n">
        <v>46235</v>
      </c>
      <c r="N40" s="25" t="n">
        <v>4</v>
      </c>
      <c r="O40" s="25" t="n">
        <v>0</v>
      </c>
      <c r="P40" s="6" t="n">
        <v>46235</v>
      </c>
      <c r="Q40" s="6" t="n">
        <v>46249</v>
      </c>
    </row>
    <row r="41" ht="18" customHeight="1" s="66">
      <c r="A41" s="30" t="inlineStr">
        <is>
          <t>Risk</t>
        </is>
      </c>
      <c r="B41" s="19" t="inlineStr">
        <is>
          <t>LEV-RK001</t>
        </is>
      </c>
      <c r="C41" s="4" t="inlineStr">
        <is>
          <t>AR Outstanding $13,160</t>
        </is>
      </c>
      <c r="D41" s="26" t="inlineStr">
        <is>
          <t>Levata</t>
        </is>
      </c>
      <c r="E41" s="101" t="inlineStr">
        <is>
          <t>Financial Management</t>
        </is>
      </c>
      <c r="F41" s="101" t="inlineStr">
        <is>
          <t>Financial Risk</t>
        </is>
      </c>
      <c r="G41" s="103" t="inlineStr">
        <is>
          <t>Risk Management</t>
        </is>
      </c>
      <c r="H41" s="101" t="inlineStr">
        <is>
          <t>Identification</t>
        </is>
      </c>
      <c r="I41" s="101" t="inlineStr">
        <is>
          <t>Risk Logging</t>
        </is>
      </c>
      <c r="J41" s="105" t="inlineStr">
        <is>
          <t>Ester Rani Ganji</t>
        </is>
      </c>
      <c r="K41" s="23" t="inlineStr">
        <is>
          <t>P2</t>
        </is>
      </c>
      <c r="L41" s="27" t="inlineStr">
        <is>
          <t>Monitoring</t>
        </is>
      </c>
      <c r="M41" s="6" t="n">
        <v>46204</v>
      </c>
      <c r="N41" s="25" t="n">
        <v>8</v>
      </c>
      <c r="O41" s="25" t="n">
        <v>4</v>
      </c>
      <c r="P41" s="6" t="n">
        <v>46204</v>
      </c>
      <c r="Q41" s="6" t="n">
        <v>46265</v>
      </c>
      <c r="T41" t="n">
        <v>8</v>
      </c>
      <c r="U41" t="n">
        <v>25</v>
      </c>
    </row>
    <row r="42" ht="18" customHeight="1" s="66">
      <c r="A42" s="30" t="inlineStr">
        <is>
          <t>Risk</t>
        </is>
      </c>
      <c r="B42" s="19" t="inlineStr">
        <is>
          <t>LEV-RK002</t>
        </is>
      </c>
      <c r="C42" s="20" t="inlineStr">
        <is>
          <t>SOW Revenue Overrun</t>
        </is>
      </c>
      <c r="D42" s="21" t="inlineStr">
        <is>
          <t>Levata</t>
        </is>
      </c>
      <c r="E42" s="22" t="inlineStr">
        <is>
          <t>Scope Management</t>
        </is>
      </c>
      <c r="F42" s="22" t="inlineStr">
        <is>
          <t>Scope Risk</t>
        </is>
      </c>
      <c r="G42" s="102" t="inlineStr">
        <is>
          <t>Risk Management</t>
        </is>
      </c>
      <c r="H42" s="107" t="inlineStr">
        <is>
          <t>Identification</t>
        </is>
      </c>
      <c r="I42" s="107" t="inlineStr">
        <is>
          <t>Risk Logging</t>
        </is>
      </c>
      <c r="J42" s="104" t="inlineStr">
        <is>
          <t>Ester Rani Ganji</t>
        </is>
      </c>
      <c r="K42" s="23" t="inlineStr">
        <is>
          <t>P2</t>
        </is>
      </c>
      <c r="L42" s="31" t="inlineStr">
        <is>
          <t>Open</t>
        </is>
      </c>
      <c r="M42" s="6" t="n">
        <v>46204</v>
      </c>
      <c r="N42" s="25" t="n">
        <v>8</v>
      </c>
      <c r="O42" s="25" t="n">
        <v>2</v>
      </c>
      <c r="P42" s="6" t="n">
        <v>46204</v>
      </c>
      <c r="Q42" s="6" t="n">
        <v>46249</v>
      </c>
      <c r="T42" t="n">
        <v>8</v>
      </c>
      <c r="U42" t="n">
        <v>8</v>
      </c>
    </row>
    <row r="43" ht="18" customHeight="1" s="66">
      <c r="A43" s="32" t="inlineStr">
        <is>
          <t>CR</t>
        </is>
      </c>
      <c r="B43" s="19" t="inlineStr">
        <is>
          <t>LEV-CR001</t>
        </is>
      </c>
      <c r="C43" s="4" t="inlineStr">
        <is>
          <t>SOW Delta - Scope Expansion Hours</t>
        </is>
      </c>
      <c r="D43" s="26" t="inlineStr">
        <is>
          <t>Levata</t>
        </is>
      </c>
      <c r="E43" s="101" t="inlineStr">
        <is>
          <t>Scope Management</t>
        </is>
      </c>
      <c r="F43" s="101" t="inlineStr">
        <is>
          <t>Scope Addition</t>
        </is>
      </c>
      <c r="G43" s="103" t="inlineStr">
        <is>
          <t>Change Request</t>
        </is>
      </c>
      <c r="H43" s="101" t="inlineStr">
        <is>
          <t>Analysis</t>
        </is>
      </c>
      <c r="I43" s="101" t="inlineStr">
        <is>
          <t>Impact Analysis</t>
        </is>
      </c>
      <c r="J43" s="105" t="inlineStr">
        <is>
          <t>Ester Rani Ganji</t>
        </is>
      </c>
      <c r="K43" s="23" t="inlineStr">
        <is>
          <t>P2</t>
        </is>
      </c>
      <c r="L43" s="35" t="inlineStr">
        <is>
          <t>Pending Approval</t>
        </is>
      </c>
      <c r="M43" s="6" t="n">
        <v>46218</v>
      </c>
      <c r="N43" s="25" t="n">
        <v>160</v>
      </c>
      <c r="O43" s="25" t="n">
        <v>0</v>
      </c>
      <c r="P43" s="6" t="n">
        <v>46218</v>
      </c>
      <c r="Q43" s="6" t="n">
        <v>46249</v>
      </c>
    </row>
    <row r="44" ht="18" customHeight="1" s="66">
      <c r="A44" s="18" t="inlineStr">
        <is>
          <t>Task</t>
        </is>
      </c>
      <c r="B44" s="19" t="inlineStr">
        <is>
          <t>MED-T001</t>
        </is>
      </c>
      <c r="C44" s="20" t="inlineStr">
        <is>
          <t>Discovery Workshop &amp; Stakeholder Interviews</t>
        </is>
      </c>
      <c r="D44" s="21" t="inlineStr">
        <is>
          <t>4Media Phase 3</t>
        </is>
      </c>
      <c r="E44" s="22" t="inlineStr">
        <is>
          <t>Lead Management</t>
        </is>
      </c>
      <c r="F44" s="22" t="inlineStr">
        <is>
          <t>Analyze</t>
        </is>
      </c>
      <c r="G44" s="102" t="inlineStr">
        <is>
          <t>Project Management</t>
        </is>
      </c>
      <c r="H44" s="107" t="inlineStr">
        <is>
          <t>Development</t>
        </is>
      </c>
      <c r="I44" s="107" t="inlineStr">
        <is>
          <t>Coding</t>
        </is>
      </c>
      <c r="J44" s="104" t="inlineStr">
        <is>
          <t>Dee Reddy</t>
        </is>
      </c>
      <c r="K44" s="33" t="inlineStr">
        <is>
          <t>P1</t>
        </is>
      </c>
      <c r="L44" s="24" t="inlineStr">
        <is>
          <t>Completed</t>
        </is>
      </c>
      <c r="M44" s="6" t="n">
        <v>46174</v>
      </c>
      <c r="N44" s="25" t="n">
        <v>12</v>
      </c>
      <c r="O44" s="25" t="n">
        <v>12</v>
      </c>
      <c r="P44" s="6" t="n">
        <v>46174</v>
      </c>
      <c r="Q44" s="6" t="n">
        <v>46176</v>
      </c>
    </row>
    <row r="45" ht="18" customHeight="1" s="66">
      <c r="A45" s="18" t="inlineStr">
        <is>
          <t>Task</t>
        </is>
      </c>
      <c r="B45" s="19" t="inlineStr">
        <is>
          <t>MED-T002</t>
        </is>
      </c>
      <c r="C45" s="4" t="inlineStr">
        <is>
          <t>BRD Review &amp; Sign-off</t>
        </is>
      </c>
      <c r="D45" s="26" t="inlineStr">
        <is>
          <t>4Media Phase 3</t>
        </is>
      </c>
      <c r="E45" s="101" t="inlineStr">
        <is>
          <t>Lead Management</t>
        </is>
      </c>
      <c r="F45" s="101" t="inlineStr">
        <is>
          <t>Analyze</t>
        </is>
      </c>
      <c r="G45" s="103" t="inlineStr">
        <is>
          <t>Project Management</t>
        </is>
      </c>
      <c r="H45" s="101" t="inlineStr">
        <is>
          <t>Development</t>
        </is>
      </c>
      <c r="I45" s="101" t="inlineStr">
        <is>
          <t>Coding</t>
        </is>
      </c>
      <c r="J45" s="105" t="inlineStr">
        <is>
          <t>Dhikshitha Rekulapally</t>
        </is>
      </c>
      <c r="K45" s="33" t="inlineStr">
        <is>
          <t>P1</t>
        </is>
      </c>
      <c r="L45" s="24" t="inlineStr">
        <is>
          <t>Completed</t>
        </is>
      </c>
      <c r="M45" s="6" t="n">
        <v>46177</v>
      </c>
      <c r="N45" s="25" t="n">
        <v>20</v>
      </c>
      <c r="O45" s="25" t="n">
        <v>20</v>
      </c>
      <c r="P45" s="6" t="n">
        <v>46177</v>
      </c>
      <c r="Q45" s="6" t="n">
        <v>46183</v>
      </c>
    </row>
    <row r="46" ht="18" customHeight="1" s="66">
      <c r="A46" s="18" t="inlineStr">
        <is>
          <t>Task</t>
        </is>
      </c>
      <c r="B46" s="19" t="inlineStr">
        <is>
          <t>MED-T003</t>
        </is>
      </c>
      <c r="C46" s="20" t="inlineStr">
        <is>
          <t>Solution Design Document</t>
        </is>
      </c>
      <c r="D46" s="21" t="inlineStr">
        <is>
          <t>4Media Phase 3</t>
        </is>
      </c>
      <c r="E46" s="22" t="inlineStr">
        <is>
          <t>Lead Management</t>
        </is>
      </c>
      <c r="F46" s="22" t="inlineStr">
        <is>
          <t>Create</t>
        </is>
      </c>
      <c r="G46" s="102" t="inlineStr">
        <is>
          <t>Development</t>
        </is>
      </c>
      <c r="H46" s="107" t="inlineStr">
        <is>
          <t>Development</t>
        </is>
      </c>
      <c r="I46" s="107" t="inlineStr">
        <is>
          <t>Coding</t>
        </is>
      </c>
      <c r="J46" s="104" t="inlineStr">
        <is>
          <t>Vasudev Irla</t>
        </is>
      </c>
      <c r="K46" s="33" t="inlineStr">
        <is>
          <t>P1</t>
        </is>
      </c>
      <c r="L46" s="24" t="inlineStr">
        <is>
          <t>Completed</t>
        </is>
      </c>
      <c r="M46" s="6" t="n">
        <v>46179</v>
      </c>
      <c r="N46" s="25" t="n">
        <v>32</v>
      </c>
      <c r="O46" s="25" t="n">
        <v>30</v>
      </c>
      <c r="P46" s="6" t="n">
        <v>46179</v>
      </c>
      <c r="Q46" s="6" t="n">
        <v>46186</v>
      </c>
    </row>
    <row r="47" ht="18" customHeight="1" s="66">
      <c r="A47" s="18" t="inlineStr">
        <is>
          <t>Task</t>
        </is>
      </c>
      <c r="B47" s="19" t="inlineStr">
        <is>
          <t>MED-T004</t>
        </is>
      </c>
      <c r="C47" s="4" t="inlineStr">
        <is>
          <t>Salesforce Environment Setup</t>
        </is>
      </c>
      <c r="D47" s="26" t="inlineStr">
        <is>
          <t>4Media Phase 3</t>
        </is>
      </c>
      <c r="E47" s="101" t="inlineStr">
        <is>
          <t>Platform</t>
        </is>
      </c>
      <c r="F47" s="101" t="inlineStr">
        <is>
          <t>Configure</t>
        </is>
      </c>
      <c r="G47" s="103" t="inlineStr">
        <is>
          <t>Development</t>
        </is>
      </c>
      <c r="H47" s="101" t="inlineStr">
        <is>
          <t>Development</t>
        </is>
      </c>
      <c r="I47" s="101" t="inlineStr">
        <is>
          <t>Coding</t>
        </is>
      </c>
      <c r="J47" s="105" t="inlineStr">
        <is>
          <t>Chaitanya Goriparthi</t>
        </is>
      </c>
      <c r="K47" s="23" t="inlineStr">
        <is>
          <t>P2</t>
        </is>
      </c>
      <c r="L47" s="24" t="inlineStr">
        <is>
          <t>Completed</t>
        </is>
      </c>
      <c r="M47" s="6" t="n">
        <v>46181</v>
      </c>
      <c r="N47" s="25" t="n">
        <v>12</v>
      </c>
      <c r="O47" s="25" t="n">
        <v>10</v>
      </c>
      <c r="P47" s="6" t="n">
        <v>46181</v>
      </c>
      <c r="Q47" s="6" t="n">
        <v>46183</v>
      </c>
    </row>
    <row r="48" ht="18" customHeight="1" s="66">
      <c r="A48" s="18" t="inlineStr">
        <is>
          <t>Task</t>
        </is>
      </c>
      <c r="B48" s="19" t="inlineStr">
        <is>
          <t>MED-T005</t>
        </is>
      </c>
      <c r="C48" s="20" t="inlineStr">
        <is>
          <t>Lead Management Module Build</t>
        </is>
      </c>
      <c r="D48" s="21" t="inlineStr">
        <is>
          <t>4Media Phase 3</t>
        </is>
      </c>
      <c r="E48" s="22" t="inlineStr">
        <is>
          <t>Lead Management</t>
        </is>
      </c>
      <c r="F48" s="22" t="inlineStr">
        <is>
          <t>Create</t>
        </is>
      </c>
      <c r="G48" s="102" t="inlineStr">
        <is>
          <t>Development</t>
        </is>
      </c>
      <c r="H48" s="107" t="inlineStr">
        <is>
          <t>Development</t>
        </is>
      </c>
      <c r="I48" s="107" t="inlineStr">
        <is>
          <t>Coding</t>
        </is>
      </c>
      <c r="J48" s="104" t="inlineStr">
        <is>
          <t>Vasudev Irla</t>
        </is>
      </c>
      <c r="K48" s="33" t="inlineStr">
        <is>
          <t>P1</t>
        </is>
      </c>
      <c r="L48" s="27" t="inlineStr">
        <is>
          <t>In Progress</t>
        </is>
      </c>
      <c r="M48" s="6" t="n">
        <v>46187</v>
      </c>
      <c r="N48" s="25" t="n">
        <v>32</v>
      </c>
      <c r="O48" s="25" t="n">
        <v>16</v>
      </c>
      <c r="P48" s="6" t="n">
        <v>46187</v>
      </c>
      <c r="Q48" s="6" t="n">
        <v>46217</v>
      </c>
    </row>
    <row r="49" ht="18" customHeight="1" s="66">
      <c r="A49" s="18" t="inlineStr">
        <is>
          <t>Task</t>
        </is>
      </c>
      <c r="B49" s="19" t="inlineStr">
        <is>
          <t>MED-T006</t>
        </is>
      </c>
      <c r="C49" s="4" t="inlineStr">
        <is>
          <t>Campaign Configuration</t>
        </is>
      </c>
      <c r="D49" s="26" t="inlineStr">
        <is>
          <t>4Media Phase 3</t>
        </is>
      </c>
      <c r="E49" s="101" t="inlineStr">
        <is>
          <t>Campaign</t>
        </is>
      </c>
      <c r="F49" s="101" t="inlineStr">
        <is>
          <t>Configure</t>
        </is>
      </c>
      <c r="G49" s="103" t="inlineStr">
        <is>
          <t>Development</t>
        </is>
      </c>
      <c r="H49" s="101" t="inlineStr">
        <is>
          <t>Development</t>
        </is>
      </c>
      <c r="I49" s="101" t="inlineStr">
        <is>
          <t>Coding</t>
        </is>
      </c>
      <c r="J49" s="105" t="inlineStr">
        <is>
          <t>Chaitanya Goriparthi</t>
        </is>
      </c>
      <c r="K49" s="23" t="inlineStr">
        <is>
          <t>P2</t>
        </is>
      </c>
      <c r="L49" s="27" t="inlineStr">
        <is>
          <t>In Progress</t>
        </is>
      </c>
      <c r="M49" s="6" t="n">
        <v>46187</v>
      </c>
      <c r="N49" s="25" t="n">
        <v>20</v>
      </c>
      <c r="O49" s="25" t="n">
        <v>8</v>
      </c>
      <c r="P49" s="6" t="n">
        <v>46187</v>
      </c>
      <c r="Q49" s="6" t="n">
        <v>46211</v>
      </c>
    </row>
    <row r="50" ht="18" customHeight="1" s="66">
      <c r="A50" s="18" t="inlineStr">
        <is>
          <t>Task</t>
        </is>
      </c>
      <c r="B50" s="19" t="inlineStr">
        <is>
          <t>MED-T007</t>
        </is>
      </c>
      <c r="C50" s="20" t="inlineStr">
        <is>
          <t>New Lead Routing Flow</t>
        </is>
      </c>
      <c r="D50" s="21" t="inlineStr">
        <is>
          <t>4Media Phase 3</t>
        </is>
      </c>
      <c r="E50" s="22" t="inlineStr">
        <is>
          <t>Lead Routing</t>
        </is>
      </c>
      <c r="F50" s="22" t="inlineStr">
        <is>
          <t>Create</t>
        </is>
      </c>
      <c r="G50" s="102" t="inlineStr">
        <is>
          <t>Development</t>
        </is>
      </c>
      <c r="H50" s="107" t="inlineStr">
        <is>
          <t>Development</t>
        </is>
      </c>
      <c r="I50" s="107" t="inlineStr">
        <is>
          <t>Coding</t>
        </is>
      </c>
      <c r="J50" s="104" t="inlineStr">
        <is>
          <t>Vasudev Irla</t>
        </is>
      </c>
      <c r="K50" s="33" t="inlineStr">
        <is>
          <t>P1</t>
        </is>
      </c>
      <c r="L50" s="34" t="inlineStr">
        <is>
          <t>To Do</t>
        </is>
      </c>
      <c r="M50" s="6" t="n"/>
      <c r="N50" s="25" t="n">
        <v>20</v>
      </c>
      <c r="O50" s="25" t="n">
        <v>0</v>
      </c>
      <c r="P50" s="6" t="n">
        <v>46206</v>
      </c>
      <c r="Q50" s="6" t="n">
        <v>46227</v>
      </c>
    </row>
    <row r="51" ht="18" customHeight="1" s="66">
      <c r="A51" s="18" t="inlineStr">
        <is>
          <t>Task</t>
        </is>
      </c>
      <c r="B51" s="19" t="inlineStr">
        <is>
          <t>MED-T008</t>
        </is>
      </c>
      <c r="C51" s="4" t="inlineStr">
        <is>
          <t>UAT Test Cases Preparation</t>
        </is>
      </c>
      <c r="D51" s="26" t="inlineStr">
        <is>
          <t>4Media Phase 3</t>
        </is>
      </c>
      <c r="E51" s="101" t="inlineStr">
        <is>
          <t>UAT</t>
        </is>
      </c>
      <c r="F51" s="101" t="inlineStr">
        <is>
          <t>Create</t>
        </is>
      </c>
      <c r="G51" s="103" t="inlineStr">
        <is>
          <t>QA - Testing</t>
        </is>
      </c>
      <c r="H51" s="101" t="inlineStr">
        <is>
          <t>Development</t>
        </is>
      </c>
      <c r="I51" s="101" t="inlineStr">
        <is>
          <t>Coding</t>
        </is>
      </c>
      <c r="J51" s="105" t="inlineStr">
        <is>
          <t>Dhikshitha Rekulapally</t>
        </is>
      </c>
      <c r="K51" s="23" t="inlineStr">
        <is>
          <t>P2</t>
        </is>
      </c>
      <c r="L51" s="34" t="inlineStr">
        <is>
          <t>To Do</t>
        </is>
      </c>
      <c r="M51" s="6" t="n"/>
      <c r="N51" s="25" t="n">
        <v>12</v>
      </c>
      <c r="O51" s="25" t="n">
        <v>0</v>
      </c>
      <c r="P51" s="6" t="n">
        <v>46218</v>
      </c>
      <c r="Q51" s="6" t="n">
        <v>46232</v>
      </c>
    </row>
    <row r="52" ht="18" customHeight="1" s="66">
      <c r="A52" s="18" t="inlineStr">
        <is>
          <t>Task</t>
        </is>
      </c>
      <c r="B52" s="19" t="inlineStr">
        <is>
          <t>MED-T009</t>
        </is>
      </c>
      <c r="C52" s="20" t="inlineStr">
        <is>
          <t>Client UAT Support &amp; Issue Resolution</t>
        </is>
      </c>
      <c r="D52" s="21" t="inlineStr">
        <is>
          <t>4Media Phase 3</t>
        </is>
      </c>
      <c r="E52" s="22" t="inlineStr">
        <is>
          <t>UAT</t>
        </is>
      </c>
      <c r="F52" s="22" t="inlineStr">
        <is>
          <t>Test</t>
        </is>
      </c>
      <c r="G52" s="102" t="inlineStr">
        <is>
          <t>QA - Testing</t>
        </is>
      </c>
      <c r="H52" s="107" t="inlineStr">
        <is>
          <t>Development</t>
        </is>
      </c>
      <c r="I52" s="107" t="inlineStr">
        <is>
          <t>Coding</t>
        </is>
      </c>
      <c r="J52" s="104" t="inlineStr">
        <is>
          <t>Dee Reddy</t>
        </is>
      </c>
      <c r="K52" s="33" t="inlineStr">
        <is>
          <t>P1</t>
        </is>
      </c>
      <c r="L52" s="34" t="inlineStr">
        <is>
          <t>To Do</t>
        </is>
      </c>
      <c r="M52" s="6" t="n"/>
      <c r="N52" s="25" t="n">
        <v>12</v>
      </c>
      <c r="O52" s="25" t="n">
        <v>0</v>
      </c>
      <c r="P52" s="6" t="n">
        <v>46232</v>
      </c>
      <c r="Q52" s="6" t="n">
        <v>46253</v>
      </c>
    </row>
    <row r="53" ht="18" customHeight="1" s="66">
      <c r="A53" s="18" t="inlineStr">
        <is>
          <t>Task</t>
        </is>
      </c>
      <c r="B53" s="19" t="inlineStr">
        <is>
          <t>MED-T010</t>
        </is>
      </c>
      <c r="C53" s="4" t="inlineStr">
        <is>
          <t>Training Material &amp; User Guide</t>
        </is>
      </c>
      <c r="D53" s="26" t="inlineStr">
        <is>
          <t>4Media Phase 3</t>
        </is>
      </c>
      <c r="E53" s="101" t="inlineStr">
        <is>
          <t>Training</t>
        </is>
      </c>
      <c r="F53" s="101" t="inlineStr">
        <is>
          <t>Create</t>
        </is>
      </c>
      <c r="G53" s="103" t="inlineStr">
        <is>
          <t>Project Management</t>
        </is>
      </c>
      <c r="H53" s="101" t="inlineStr">
        <is>
          <t>Development</t>
        </is>
      </c>
      <c r="I53" s="101" t="inlineStr">
        <is>
          <t>Coding</t>
        </is>
      </c>
      <c r="J53" s="105" t="inlineStr">
        <is>
          <t>Dhikshitha Rekulapally</t>
        </is>
      </c>
      <c r="K53" s="23" t="inlineStr">
        <is>
          <t>P2</t>
        </is>
      </c>
      <c r="L53" s="34" t="inlineStr">
        <is>
          <t>To Do</t>
        </is>
      </c>
      <c r="M53" s="6" t="n"/>
      <c r="N53" s="25" t="n">
        <v>20</v>
      </c>
      <c r="O53" s="25" t="n">
        <v>0</v>
      </c>
      <c r="P53" s="6" t="n">
        <v>46237</v>
      </c>
      <c r="Q53" s="6" t="n">
        <v>46258</v>
      </c>
    </row>
    <row r="54" ht="18" customHeight="1" s="66">
      <c r="A54" s="18" t="inlineStr">
        <is>
          <t>Task</t>
        </is>
      </c>
      <c r="B54" s="19" t="inlineStr">
        <is>
          <t>MED-T011</t>
        </is>
      </c>
      <c r="C54" s="20" t="inlineStr">
        <is>
          <t>Go-Live Deployment &amp; Hypercare</t>
        </is>
      </c>
      <c r="D54" s="21" t="inlineStr">
        <is>
          <t>4Media Phase 3</t>
        </is>
      </c>
      <c r="E54" s="22" t="inlineStr">
        <is>
          <t>Deployment</t>
        </is>
      </c>
      <c r="F54" s="22" t="inlineStr">
        <is>
          <t>Deploy</t>
        </is>
      </c>
      <c r="G54" s="102" t="inlineStr">
        <is>
          <t>Development</t>
        </is>
      </c>
      <c r="H54" s="107" t="inlineStr">
        <is>
          <t>Development</t>
        </is>
      </c>
      <c r="I54" s="107" t="inlineStr">
        <is>
          <t>Coding</t>
        </is>
      </c>
      <c r="J54" s="104" t="inlineStr">
        <is>
          <t>Vasudev Irla</t>
        </is>
      </c>
      <c r="K54" s="33" t="inlineStr">
        <is>
          <t>P1</t>
        </is>
      </c>
      <c r="L54" s="34" t="inlineStr">
        <is>
          <t>To Do</t>
        </is>
      </c>
      <c r="M54" s="6" t="n"/>
      <c r="N54" s="25" t="n">
        <v>20</v>
      </c>
      <c r="O54" s="25" t="n">
        <v>0</v>
      </c>
      <c r="P54" s="6" t="n">
        <v>46263</v>
      </c>
      <c r="Q54" s="6" t="n">
        <v>46278</v>
      </c>
    </row>
    <row r="55" ht="18" customHeight="1" s="66">
      <c r="A55" s="29" t="inlineStr">
        <is>
          <t>Bug</t>
        </is>
      </c>
      <c r="B55" s="19" t="inlineStr">
        <is>
          <t>MED-B001</t>
        </is>
      </c>
      <c r="C55" s="4" t="inlineStr">
        <is>
          <t>Lead routing flow crashes on empty Phone field</t>
        </is>
      </c>
      <c r="D55" s="26" t="inlineStr">
        <is>
          <t>4Media Phase 3</t>
        </is>
      </c>
      <c r="E55" s="101" t="inlineStr">
        <is>
          <t>Lead Routing</t>
        </is>
      </c>
      <c r="F55" s="101" t="inlineStr">
        <is>
          <t>Functional</t>
        </is>
      </c>
      <c r="G55" s="103" t="inlineStr">
        <is>
          <t>Bug Fix</t>
        </is>
      </c>
      <c r="H55" s="101" t="inlineStr">
        <is>
          <t>Resolution</t>
        </is>
      </c>
      <c r="I55" s="101" t="inlineStr">
        <is>
          <t>Code Fix</t>
        </is>
      </c>
      <c r="J55" s="105" t="inlineStr">
        <is>
          <t>Vasudev Irla</t>
        </is>
      </c>
      <c r="K55" s="23" t="inlineStr">
        <is>
          <t>P2</t>
        </is>
      </c>
      <c r="L55" s="31" t="inlineStr">
        <is>
          <t>Open</t>
        </is>
      </c>
      <c r="M55" s="6" t="n">
        <v>46200</v>
      </c>
      <c r="N55" s="25" t="n">
        <v>8</v>
      </c>
      <c r="O55" s="25" t="n">
        <v>0</v>
      </c>
      <c r="P55" s="6" t="n">
        <v>46200</v>
      </c>
      <c r="Q55" s="6" t="n">
        <v>46211</v>
      </c>
    </row>
    <row r="56" ht="18" customHeight="1" s="66">
      <c r="A56" s="29" t="inlineStr">
        <is>
          <t>Bug</t>
        </is>
      </c>
      <c r="B56" s="19" t="inlineStr">
        <is>
          <t>MED-B002</t>
        </is>
      </c>
      <c r="C56" s="20" t="inlineStr">
        <is>
          <t>Campaign member status not updating in list view</t>
        </is>
      </c>
      <c r="D56" s="21" t="inlineStr">
        <is>
          <t>4Media Phase 3</t>
        </is>
      </c>
      <c r="E56" s="22" t="inlineStr">
        <is>
          <t>Campaign</t>
        </is>
      </c>
      <c r="F56" s="22" t="inlineStr">
        <is>
          <t>Functional</t>
        </is>
      </c>
      <c r="G56" s="102" t="inlineStr">
        <is>
          <t>Bug Fix</t>
        </is>
      </c>
      <c r="H56" s="107" t="inlineStr">
        <is>
          <t>Resolution</t>
        </is>
      </c>
      <c r="I56" s="107" t="inlineStr">
        <is>
          <t>Code Fix</t>
        </is>
      </c>
      <c r="J56" s="104" t="inlineStr">
        <is>
          <t>Chaitanya Goriparthi</t>
        </is>
      </c>
      <c r="K56" s="28" t="inlineStr">
        <is>
          <t>P3</t>
        </is>
      </c>
      <c r="L56" s="24" t="inlineStr">
        <is>
          <t>Fixed</t>
        </is>
      </c>
      <c r="M56" s="6" t="n">
        <v>46191</v>
      </c>
      <c r="N56" s="25" t="n">
        <v>4</v>
      </c>
      <c r="O56" s="25" t="n">
        <v>3</v>
      </c>
      <c r="P56" s="6" t="n">
        <v>46191</v>
      </c>
      <c r="Q56" s="6" t="n">
        <v>46194</v>
      </c>
    </row>
    <row r="57" ht="18" customHeight="1" s="66">
      <c r="A57" s="30" t="inlineStr">
        <is>
          <t>Risk</t>
        </is>
      </c>
      <c r="B57" s="19" t="inlineStr">
        <is>
          <t>MED-RK001</t>
        </is>
      </c>
      <c r="C57" s="4" t="inlineStr">
        <is>
          <t>Tight Delivery Timeline - 260 hrs in 75 days</t>
        </is>
      </c>
      <c r="D57" s="26" t="inlineStr">
        <is>
          <t>4Media Phase 3</t>
        </is>
      </c>
      <c r="E57" s="101" t="inlineStr">
        <is>
          <t>Schedule Management</t>
        </is>
      </c>
      <c r="F57" s="101" t="inlineStr">
        <is>
          <t>Schedule Risk</t>
        </is>
      </c>
      <c r="G57" s="103" t="inlineStr">
        <is>
          <t>Risk Management</t>
        </is>
      </c>
      <c r="H57" s="101" t="inlineStr">
        <is>
          <t>Identification</t>
        </is>
      </c>
      <c r="I57" s="101" t="inlineStr">
        <is>
          <t>Risk Logging</t>
        </is>
      </c>
      <c r="J57" s="105" t="inlineStr">
        <is>
          <t>Dee Reddy</t>
        </is>
      </c>
      <c r="K57" s="23" t="inlineStr">
        <is>
          <t>P2</t>
        </is>
      </c>
      <c r="L57" s="31" t="inlineStr">
        <is>
          <t>Open</t>
        </is>
      </c>
      <c r="M57" s="6" t="n">
        <v>46174</v>
      </c>
      <c r="N57" s="25" t="n">
        <v>8</v>
      </c>
      <c r="O57" s="25" t="n">
        <v>4</v>
      </c>
      <c r="P57" s="6" t="n">
        <v>46174</v>
      </c>
      <c r="Q57" s="6" t="n">
        <v>46278</v>
      </c>
      <c r="T57" t="n">
        <v>8</v>
      </c>
      <c r="U57" t="n">
        <v>9</v>
      </c>
    </row>
    <row r="58" ht="18" customHeight="1" s="66">
      <c r="A58" s="32" t="inlineStr">
        <is>
          <t>CR</t>
        </is>
      </c>
      <c r="B58" s="19" t="inlineStr">
        <is>
          <t>MED-CR001</t>
        </is>
      </c>
      <c r="C58" s="20" t="inlineStr">
        <is>
          <t>New Lead Routing Flow - Additional Scope</t>
        </is>
      </c>
      <c r="D58" s="21" t="inlineStr">
        <is>
          <t>4Media Phase 3</t>
        </is>
      </c>
      <c r="E58" s="22" t="inlineStr">
        <is>
          <t>Lead Routing</t>
        </is>
      </c>
      <c r="F58" s="22" t="inlineStr">
        <is>
          <t>Enhancement</t>
        </is>
      </c>
      <c r="G58" s="102" t="inlineStr">
        <is>
          <t>Change Request</t>
        </is>
      </c>
      <c r="H58" s="107" t="inlineStr">
        <is>
          <t>Analysis</t>
        </is>
      </c>
      <c r="I58" s="107" t="inlineStr">
        <is>
          <t>Impact Analysis</t>
        </is>
      </c>
      <c r="J58" s="104" t="inlineStr">
        <is>
          <t>Dee Reddy</t>
        </is>
      </c>
      <c r="K58" s="23" t="inlineStr">
        <is>
          <t>P2</t>
        </is>
      </c>
      <c r="L58" s="24" t="inlineStr">
        <is>
          <t>Approved</t>
        </is>
      </c>
      <c r="M58" s="6" t="n">
        <v>46196</v>
      </c>
      <c r="N58" s="25" t="n">
        <v>30</v>
      </c>
      <c r="O58" s="25" t="n">
        <v>0</v>
      </c>
      <c r="P58" s="6" t="n">
        <v>46196</v>
      </c>
      <c r="Q58" s="6" t="n">
        <v>46227</v>
      </c>
    </row>
    <row r="59" ht="18" customHeight="1" s="66">
      <c r="A59" s="18" t="inlineStr">
        <is>
          <t>Task</t>
        </is>
      </c>
      <c r="B59" s="19" t="inlineStr">
        <is>
          <t>VRC-T001</t>
        </is>
      </c>
      <c r="C59" s="4" t="inlineStr">
        <is>
          <t>VRC Initial Setup &amp; Onboarding</t>
        </is>
      </c>
      <c r="D59" s="26" t="inlineStr">
        <is>
          <t>VRC Managed Services</t>
        </is>
      </c>
      <c r="E59" s="101" t="inlineStr">
        <is>
          <t>Platform</t>
        </is>
      </c>
      <c r="F59" s="101" t="inlineStr">
        <is>
          <t>Configure</t>
        </is>
      </c>
      <c r="G59" s="103" t="inlineStr">
        <is>
          <t>Development</t>
        </is>
      </c>
      <c r="H59" s="101" t="inlineStr">
        <is>
          <t>Development</t>
        </is>
      </c>
      <c r="I59" s="101" t="inlineStr">
        <is>
          <t>Coding</t>
        </is>
      </c>
      <c r="J59" s="105" t="inlineStr">
        <is>
          <t>Saikrishna Bandi</t>
        </is>
      </c>
      <c r="K59" s="33" t="inlineStr">
        <is>
          <t>P1</t>
        </is>
      </c>
      <c r="L59" s="24" t="inlineStr">
        <is>
          <t>Completed</t>
        </is>
      </c>
      <c r="M59" s="6" t="n">
        <v>46174</v>
      </c>
      <c r="N59" s="25" t="n">
        <v>80</v>
      </c>
      <c r="O59" s="25" t="n">
        <v>80</v>
      </c>
      <c r="P59" s="6" t="n">
        <v>46174</v>
      </c>
      <c r="Q59" s="6" t="n">
        <v>46204</v>
      </c>
    </row>
    <row r="60" ht="18" customHeight="1" s="66">
      <c r="A60" s="18" t="inlineStr">
        <is>
          <t>Task</t>
        </is>
      </c>
      <c r="B60" s="19" t="inlineStr">
        <is>
          <t>VRC-T002</t>
        </is>
      </c>
      <c r="C60" s="20" t="inlineStr">
        <is>
          <t>VRC Monthly Support - Jun</t>
        </is>
      </c>
      <c r="D60" s="21" t="inlineStr">
        <is>
          <t>VRC Managed Services</t>
        </is>
      </c>
      <c r="E60" s="22" t="inlineStr">
        <is>
          <t>Integration</t>
        </is>
      </c>
      <c r="F60" s="22" t="inlineStr">
        <is>
          <t>Amend</t>
        </is>
      </c>
      <c r="G60" s="102" t="inlineStr">
        <is>
          <t>Support</t>
        </is>
      </c>
      <c r="H60" s="107" t="inlineStr">
        <is>
          <t>Development</t>
        </is>
      </c>
      <c r="I60" s="107" t="inlineStr">
        <is>
          <t>Coding</t>
        </is>
      </c>
      <c r="J60" s="104" t="inlineStr">
        <is>
          <t>Sureshkumar Gidugu</t>
        </is>
      </c>
      <c r="K60" s="23" t="inlineStr">
        <is>
          <t>P2</t>
        </is>
      </c>
      <c r="L60" s="24" t="inlineStr">
        <is>
          <t>Completed</t>
        </is>
      </c>
      <c r="M60" s="6" t="n">
        <v>46194</v>
      </c>
      <c r="N60" s="25" t="n">
        <v>80</v>
      </c>
      <c r="O60" s="25" t="n">
        <v>80</v>
      </c>
      <c r="P60" s="6" t="n">
        <v>46194</v>
      </c>
      <c r="Q60" s="6" t="n">
        <v>46223</v>
      </c>
    </row>
    <row r="61" ht="18" customHeight="1" s="66">
      <c r="A61" s="18" t="inlineStr">
        <is>
          <t>Task</t>
        </is>
      </c>
      <c r="B61" s="19" t="inlineStr">
        <is>
          <t>VRC-T003</t>
        </is>
      </c>
      <c r="C61" s="4" t="inlineStr">
        <is>
          <t>VRC Monthly Support - Jul</t>
        </is>
      </c>
      <c r="D61" s="26" t="inlineStr">
        <is>
          <t>VRC Managed Services</t>
        </is>
      </c>
      <c r="E61" s="101" t="inlineStr">
        <is>
          <t>Integration</t>
        </is>
      </c>
      <c r="F61" s="101" t="inlineStr">
        <is>
          <t>Configure</t>
        </is>
      </c>
      <c r="G61" s="103" t="inlineStr">
        <is>
          <t>Support</t>
        </is>
      </c>
      <c r="H61" s="101" t="inlineStr">
        <is>
          <t>Development</t>
        </is>
      </c>
      <c r="I61" s="101" t="inlineStr">
        <is>
          <t>Coding</t>
        </is>
      </c>
      <c r="J61" s="105" t="inlineStr">
        <is>
          <t>Vishnudeep</t>
        </is>
      </c>
      <c r="K61" s="23" t="inlineStr">
        <is>
          <t>P2</t>
        </is>
      </c>
      <c r="L61" s="24" t="inlineStr">
        <is>
          <t>Completed</t>
        </is>
      </c>
      <c r="M61" s="6" t="n">
        <v>46224</v>
      </c>
      <c r="N61" s="25" t="n">
        <v>80</v>
      </c>
      <c r="O61" s="25" t="n">
        <v>80</v>
      </c>
      <c r="P61" s="6" t="n">
        <v>46224</v>
      </c>
      <c r="Q61" s="6" t="n">
        <v>46254</v>
      </c>
    </row>
    <row r="62" ht="18" customHeight="1" s="66">
      <c r="A62" s="18" t="inlineStr">
        <is>
          <t>Task</t>
        </is>
      </c>
      <c r="B62" s="19" t="inlineStr">
        <is>
          <t>VRC-T004</t>
        </is>
      </c>
      <c r="C62" s="20" t="inlineStr">
        <is>
          <t>VRC Monthly Support - Aug</t>
        </is>
      </c>
      <c r="D62" s="21" t="inlineStr">
        <is>
          <t>VRC Managed Services</t>
        </is>
      </c>
      <c r="E62" s="22" t="inlineStr">
        <is>
          <t>Platform</t>
        </is>
      </c>
      <c r="F62" s="22" t="inlineStr">
        <is>
          <t>Amend</t>
        </is>
      </c>
      <c r="G62" s="102" t="inlineStr">
        <is>
          <t>Support</t>
        </is>
      </c>
      <c r="H62" s="107" t="inlineStr">
        <is>
          <t>Development</t>
        </is>
      </c>
      <c r="I62" s="107" t="inlineStr">
        <is>
          <t>Coding</t>
        </is>
      </c>
      <c r="J62" s="104" t="inlineStr">
        <is>
          <t>Saikrishna Bandi</t>
        </is>
      </c>
      <c r="K62" s="23" t="inlineStr">
        <is>
          <t>P2</t>
        </is>
      </c>
      <c r="L62" s="27" t="inlineStr">
        <is>
          <t>In Progress</t>
        </is>
      </c>
      <c r="M62" s="6" t="n">
        <v>46255</v>
      </c>
      <c r="N62" s="25" t="n">
        <v>60</v>
      </c>
      <c r="O62" s="25" t="n">
        <v>20</v>
      </c>
      <c r="P62" s="6" t="n">
        <v>46255</v>
      </c>
      <c r="Q62" s="6" t="n">
        <v>46285</v>
      </c>
    </row>
    <row r="63" ht="18" customHeight="1" s="66">
      <c r="A63" s="29" t="inlineStr">
        <is>
          <t>Bug</t>
        </is>
      </c>
      <c r="B63" s="19" t="inlineStr">
        <is>
          <t>VRC-B001</t>
        </is>
      </c>
      <c r="C63" s="4" t="inlineStr">
        <is>
          <t>Integration scheduler skipping weekends</t>
        </is>
      </c>
      <c r="D63" s="26" t="inlineStr">
        <is>
          <t>VRC Managed Services</t>
        </is>
      </c>
      <c r="E63" s="101" t="inlineStr">
        <is>
          <t>Integration</t>
        </is>
      </c>
      <c r="F63" s="101" t="inlineStr">
        <is>
          <t>Functional</t>
        </is>
      </c>
      <c r="G63" s="103" t="inlineStr">
        <is>
          <t>Bug Fix</t>
        </is>
      </c>
      <c r="H63" s="101" t="inlineStr">
        <is>
          <t>Resolution</t>
        </is>
      </c>
      <c r="I63" s="101" t="inlineStr">
        <is>
          <t>Code Fix</t>
        </is>
      </c>
      <c r="J63" s="105" t="inlineStr">
        <is>
          <t>Saikrishna Bandi</t>
        </is>
      </c>
      <c r="K63" s="28" t="inlineStr">
        <is>
          <t>P3</t>
        </is>
      </c>
      <c r="L63" s="24" t="inlineStr">
        <is>
          <t>Fixed</t>
        </is>
      </c>
      <c r="M63" s="6" t="n">
        <v>46245</v>
      </c>
      <c r="N63" s="25" t="n">
        <v>4</v>
      </c>
      <c r="O63" s="25" t="n">
        <v>3</v>
      </c>
      <c r="P63" s="6" t="n">
        <v>46245</v>
      </c>
      <c r="Q63" s="6" t="n">
        <v>46247</v>
      </c>
    </row>
    <row r="64" ht="18" customHeight="1" s="66">
      <c r="A64" s="30" t="inlineStr">
        <is>
          <t>Risk</t>
        </is>
      </c>
      <c r="B64" s="19" t="inlineStr">
        <is>
          <t>VRC-RK001</t>
        </is>
      </c>
      <c r="C64" s="20" t="inlineStr">
        <is>
          <t>Under-utilization - Early Stage Engagement</t>
        </is>
      </c>
      <c r="D64" s="21" t="inlineStr">
        <is>
          <t>VRC Managed Services</t>
        </is>
      </c>
      <c r="E64" s="22" t="inlineStr">
        <is>
          <t>Resource Management</t>
        </is>
      </c>
      <c r="F64" s="22" t="inlineStr">
        <is>
          <t>Resource Risk</t>
        </is>
      </c>
      <c r="G64" s="102" t="inlineStr">
        <is>
          <t>Risk Management</t>
        </is>
      </c>
      <c r="H64" s="107" t="inlineStr">
        <is>
          <t>Identification</t>
        </is>
      </c>
      <c r="I64" s="107" t="inlineStr">
        <is>
          <t>Risk Logging</t>
        </is>
      </c>
      <c r="J64" s="104" t="inlineStr">
        <is>
          <t>Ester Rani Ganji</t>
        </is>
      </c>
      <c r="K64" s="28" t="inlineStr">
        <is>
          <t>P3</t>
        </is>
      </c>
      <c r="L64" s="27" t="inlineStr">
        <is>
          <t>Monitoring</t>
        </is>
      </c>
      <c r="M64" s="6" t="n">
        <v>46174</v>
      </c>
      <c r="N64" s="25" t="n">
        <v>8</v>
      </c>
      <c r="O64" s="25" t="n">
        <v>2</v>
      </c>
      <c r="P64" s="6" t="n">
        <v>46174</v>
      </c>
      <c r="Q64" s="6" t="n">
        <v>46285</v>
      </c>
      <c r="T64" t="n">
        <v>8</v>
      </c>
      <c r="U64" t="n">
        <v>9</v>
      </c>
    </row>
  </sheetData>
  <autoFilter ref="A5:Q64"/>
  <mergeCells count="5">
    <mergeCell ref="A4:Q4"/>
    <mergeCell ref="B2:E2"/>
    <mergeCell ref="F2:Q2"/>
    <mergeCell ref="A3:B3"/>
    <mergeCell ref="A1:Q1"/>
  </mergeCells>
  <conditionalFormatting sqref="A6:Q5000">
    <cfRule type="expression" priority="1" dxfId="5">
      <formula>AND($D6=$B$2,$B$2&lt;&gt;"— All Projects —")</formula>
    </cfRule>
  </conditionalFormatting>
  <dataValidations count="3">
    <dataValidation sqref="B2" showDropDown="0" showInputMessage="0" showErrorMessage="1" allowBlank="1" errorTitle="Invalid Project" error="Select a project from the list" type="list">
      <formula1>='Projects Master'!$B$5:$B$1000</formula1>
    </dataValidation>
    <dataValidation sqref="H6:H5000" showDropDown="0" showInputMessage="1" showErrorMessage="1" allowBlank="1" type="list">
      <formula1>INDIRECT("Act_"&amp;$A6)</formula1>
    </dataValidation>
    <dataValidation sqref="J6:J5000" showDropDown="0" showInputMessage="1" showErrorMessage="1" allowBlank="1" type="list">
      <formula1>=Resources!$A$7:$A$1000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T4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28" customWidth="1" style="166" min="1" max="1"/>
    <col width="10" customWidth="1" style="166" min="2" max="2"/>
    <col width="18.1640625" bestFit="1" customWidth="1" style="166" min="3" max="3"/>
    <col width="14" customWidth="1" style="166" min="4" max="4"/>
    <col width="12" customWidth="1" style="166" min="5" max="5"/>
    <col width="14" customWidth="1" style="166" min="6" max="6"/>
    <col width="12" customWidth="1" style="166" min="7" max="7"/>
    <col width="10" customWidth="1" style="166" min="8" max="8"/>
    <col width="14" customWidth="1" style="166" min="9" max="9"/>
    <col width="8.83203125" customWidth="1" style="166" min="10" max="10"/>
    <col width="15" customWidth="1" style="166" min="11" max="11"/>
    <col width="16.5" bestFit="1" customWidth="1" style="166" min="12" max="12"/>
    <col width="8.83203125" customWidth="1" style="166" min="13" max="16384"/>
  </cols>
  <sheetData>
    <row r="1" ht="28" customHeight="1" s="66">
      <c r="A1" s="164" t="inlineStr">
        <is>
          <t>OrbitFlow — Resource Utilization  |  Formulas from Work Items</t>
        </is>
      </c>
    </row>
    <row r="2" ht="10" customHeight="1" s="66">
      <c r="A2" s="167" t="inlineStr">
        <is>
          <t>Sprint Cap = 136 hrs  ·  A ≥ 90%  ·  B 50–89%  ·  C &lt; 50%  ·  Overloaded &gt; 100%</t>
        </is>
      </c>
    </row>
    <row r="3" ht="6" customHeight="1" s="66">
      <c r="A3" s="168" t="n"/>
    </row>
    <row r="5" ht="16" customHeight="1" s="66">
      <c r="A5" s="169" t="inlineStr">
        <is>
          <t>RESOURCE MASTER (Org Roster)</t>
        </is>
      </c>
    </row>
    <row r="6">
      <c r="A6" s="170" t="inlineStr">
        <is>
          <t>Employee</t>
        </is>
      </c>
      <c r="B6" s="171" t="inlineStr">
        <is>
          <t>Level</t>
        </is>
      </c>
      <c r="C6" s="171" t="inlineStr">
        <is>
          <t>Manager</t>
        </is>
      </c>
      <c r="D6" s="171" t="inlineStr">
        <is>
          <t>Role</t>
        </is>
      </c>
      <c r="E6" s="171" t="inlineStr">
        <is>
          <t>Resource Type</t>
        </is>
      </c>
      <c r="F6" s="171" t="inlineStr">
        <is>
          <t>Task Hrs (from Tasks)</t>
        </is>
      </c>
      <c r="G6" s="171" t="inlineStr">
        <is>
          <t>Bug Hrs (Testing/UAT/PS)</t>
        </is>
      </c>
      <c r="H6" s="171" t="inlineStr">
        <is>
          <t>Total Hrs</t>
        </is>
      </c>
      <c r="I6" s="171" t="inlineStr">
        <is>
          <t>Util %</t>
        </is>
      </c>
      <c r="J6" s="172" t="inlineStr">
        <is>
          <t>Working Cap (hrs)</t>
        </is>
      </c>
      <c r="K6" s="173" t="inlineStr">
        <is>
          <t>Onsite/Offshore</t>
        </is>
      </c>
      <c r="L6" s="174" t="inlineStr">
        <is>
          <t>JULY 2026 CAPACITY</t>
        </is>
      </c>
      <c r="N6" s="170" t="inlineStr">
        <is>
          <t>Email</t>
        </is>
      </c>
      <c r="O6" s="170" t="inlineStr">
        <is>
          <t>Designation</t>
        </is>
      </c>
      <c r="P6" s="170" t="inlineStr">
        <is>
          <t>Availability %</t>
        </is>
      </c>
      <c r="Q6" s="170" t="inlineStr">
        <is>
          <t>Billing Rate ($/hr)</t>
        </is>
      </c>
      <c r="R6" s="170" t="inlineStr">
        <is>
          <t>Joining Date</t>
        </is>
      </c>
      <c r="S6" s="170" t="inlineStr">
        <is>
          <t>Skills</t>
        </is>
      </c>
      <c r="T6" s="170" t="inlineStr">
        <is>
          <t>Experience (yrs)</t>
        </is>
      </c>
    </row>
    <row r="7">
      <c r="A7" s="175" t="inlineStr">
        <is>
          <t>Gopikrishna Vemuri</t>
        </is>
      </c>
      <c r="B7" s="176" t="n">
        <v>1</v>
      </c>
      <c r="C7" s="177" t="inlineStr">
        <is>
          <t>-</t>
        </is>
      </c>
      <c r="D7" s="177" t="inlineStr">
        <is>
          <t>COO</t>
        </is>
      </c>
      <c r="E7" s="177" t="inlineStr">
        <is>
          <t>Executive</t>
        </is>
      </c>
      <c r="F7" s="213">
        <f>SUMIFS('Work Items'!$O:$O,'Work Items'!$A:$A,"Task",'Work Items'!$J:$J,$A7,'Work Items'!$M:$M,"&gt;="&amp;$M$7,'Work Items'!$M:$M,"&lt;="&amp;$M$8)</f>
        <v/>
      </c>
      <c r="G7" s="213">
        <f>SUMIFS('Work Items'!$O:$O,'Work Items'!$A:$A,"Bug",'Work Items'!$J:$J,$A7,'Work Items'!$M:$M,"&gt;="&amp;$M$7,'Work Items'!$M:$M,"&lt;="&amp;$M$8)</f>
        <v/>
      </c>
      <c r="H7" s="213">
        <f>F7+G7</f>
        <v/>
      </c>
      <c r="I7" s="214">
        <f>IF($J7=0,0,$H7/$J7)</f>
        <v/>
      </c>
      <c r="J7" s="180">
        <f>$M$11</f>
        <v/>
      </c>
      <c r="K7" s="181" t="inlineStr">
        <is>
          <t>Onsite</t>
        </is>
      </c>
      <c r="L7" s="182" t="inlineStr">
        <is>
          <t>Period Start</t>
        </is>
      </c>
      <c r="M7" s="183" t="n">
        <v>46204</v>
      </c>
      <c r="P7" t="n">
        <v>100</v>
      </c>
    </row>
    <row r="8">
      <c r="A8" s="184" t="inlineStr">
        <is>
          <t>Gopinath Vedantham</t>
        </is>
      </c>
      <c r="B8" s="185" t="n">
        <v>2</v>
      </c>
      <c r="C8" s="186" t="inlineStr">
        <is>
          <t>Gopikrishna Vemuri</t>
        </is>
      </c>
      <c r="D8" s="186" t="inlineStr">
        <is>
          <t>Project Lead</t>
        </is>
      </c>
      <c r="E8" s="186" t="inlineStr">
        <is>
          <t>MGMT</t>
        </is>
      </c>
      <c r="F8" s="213">
        <f>SUMIFS('Work Items'!$O:$O,'Work Items'!$A:$A,"Task",'Work Items'!$J:$J,$A8,'Work Items'!$M:$M,"&gt;="&amp;$M$7,'Work Items'!$M:$M,"&lt;="&amp;$M$8)</f>
        <v/>
      </c>
      <c r="G8" s="213">
        <f>SUMIFS('Work Items'!$O:$O,'Work Items'!$A:$A,"Bug",'Work Items'!$J:$J,$A8,'Work Items'!$M:$M,"&gt;="&amp;$M$7,'Work Items'!$M:$M,"&lt;="&amp;$M$8)</f>
        <v/>
      </c>
      <c r="H8" s="213">
        <f>F8+G8</f>
        <v/>
      </c>
      <c r="I8" s="214">
        <f>IF($J8=0,0,$H8/$J8)</f>
        <v/>
      </c>
      <c r="J8" s="180">
        <f>$M$11</f>
        <v/>
      </c>
      <c r="K8" s="181" t="inlineStr">
        <is>
          <t>Onsite</t>
        </is>
      </c>
      <c r="L8" s="182" t="inlineStr">
        <is>
          <t>Period End</t>
        </is>
      </c>
      <c r="M8" s="183" t="n">
        <v>46234</v>
      </c>
      <c r="P8" t="n">
        <v>100</v>
      </c>
    </row>
    <row r="9">
      <c r="A9" s="187" t="inlineStr">
        <is>
          <t>Deepti Bhatt</t>
        </is>
      </c>
      <c r="B9" s="188" t="n">
        <v>3</v>
      </c>
      <c r="C9" s="189" t="inlineStr">
        <is>
          <t>Gopinath Vedantham</t>
        </is>
      </c>
      <c r="D9" s="189" t="inlineStr">
        <is>
          <t>Solution Lead</t>
        </is>
      </c>
      <c r="E9" s="189" t="inlineStr">
        <is>
          <t>Solution-Lead</t>
        </is>
      </c>
      <c r="F9" s="213">
        <f>SUMIFS('Work Items'!$O:$O,'Work Items'!$A:$A,"Task",'Work Items'!$J:$J,$A9,'Work Items'!$M:$M,"&gt;="&amp;$M$7,'Work Items'!$M:$M,"&lt;="&amp;$M$8)</f>
        <v/>
      </c>
      <c r="G9" s="213">
        <f>SUMIFS('Work Items'!$O:$O,'Work Items'!$A:$A,"Bug",'Work Items'!$J:$J,$A9,'Work Items'!$M:$M,"&gt;="&amp;$M$7,'Work Items'!$M:$M,"&lt;="&amp;$M$8)</f>
        <v/>
      </c>
      <c r="H9" s="213">
        <f>F9+G9</f>
        <v/>
      </c>
      <c r="I9" s="214">
        <f>IF($J9=0,0,$H9/$J9)</f>
        <v/>
      </c>
      <c r="J9" s="180">
        <f>$M$11</f>
        <v/>
      </c>
      <c r="K9" s="181" t="inlineStr">
        <is>
          <t>Offshore</t>
        </is>
      </c>
      <c r="L9" s="182" t="inlineStr">
        <is>
          <t>Hrs / Day</t>
        </is>
      </c>
      <c r="M9" s="181" t="n">
        <v>8</v>
      </c>
      <c r="P9" t="n">
        <v>100</v>
      </c>
    </row>
    <row r="10">
      <c r="A10" s="190" t="inlineStr">
        <is>
          <t>Murali Meruva</t>
        </is>
      </c>
      <c r="B10" s="191" t="n">
        <v>3</v>
      </c>
      <c r="C10" s="192" t="inlineStr">
        <is>
          <t>Gopinath Vedantham</t>
        </is>
      </c>
      <c r="D10" s="192" t="inlineStr">
        <is>
          <t>Solution Lead</t>
        </is>
      </c>
      <c r="E10" s="189" t="inlineStr">
        <is>
          <t>Solution-Lead</t>
        </is>
      </c>
      <c r="F10" s="213">
        <f>SUMIFS('Work Items'!$O:$O,'Work Items'!$A:$A,"Task",'Work Items'!$J:$J,$A10,'Work Items'!$M:$M,"&gt;="&amp;$M$7,'Work Items'!$M:$M,"&lt;="&amp;$M$8)</f>
        <v/>
      </c>
      <c r="G10" s="213">
        <f>SUMIFS('Work Items'!$O:$O,'Work Items'!$A:$A,"Bug",'Work Items'!$J:$J,$A10,'Work Items'!$M:$M,"&gt;="&amp;$M$7,'Work Items'!$M:$M,"&lt;="&amp;$M$8)</f>
        <v/>
      </c>
      <c r="H10" s="213">
        <f>F10+G10</f>
        <v/>
      </c>
      <c r="I10" s="214">
        <f>IF($J10=0,0,$H10/$J10)</f>
        <v/>
      </c>
      <c r="J10" s="180">
        <f>$M$11</f>
        <v/>
      </c>
      <c r="K10" s="181" t="inlineStr">
        <is>
          <t>Offshore</t>
        </is>
      </c>
      <c r="L10" s="182" t="inlineStr">
        <is>
          <t>Working Days</t>
        </is>
      </c>
      <c r="M10" s="181">
        <f>NETWORKDAYS(M7,M8)</f>
        <v/>
      </c>
      <c r="P10" t="n">
        <v>100</v>
      </c>
    </row>
    <row r="11">
      <c r="A11" s="187" t="inlineStr">
        <is>
          <t>Amar Joshi</t>
        </is>
      </c>
      <c r="B11" s="188" t="n">
        <v>3</v>
      </c>
      <c r="C11" s="189" t="inlineStr">
        <is>
          <t>Gopinath Vedantham</t>
        </is>
      </c>
      <c r="D11" s="189" t="inlineStr">
        <is>
          <t>UI Lead</t>
        </is>
      </c>
      <c r="E11" s="189" t="inlineStr">
        <is>
          <t>UI-Lead</t>
        </is>
      </c>
      <c r="F11" s="213">
        <f>SUMIFS('Work Items'!$O:$O,'Work Items'!$A:$A,"Task",'Work Items'!$J:$J,$A11,'Work Items'!$M:$M,"&gt;="&amp;$M$7,'Work Items'!$M:$M,"&lt;="&amp;$M$8)</f>
        <v/>
      </c>
      <c r="G11" s="213">
        <f>SUMIFS('Work Items'!$O:$O,'Work Items'!$A:$A,"Bug",'Work Items'!$J:$J,$A11,'Work Items'!$M:$M,"&gt;="&amp;$M$7,'Work Items'!$M:$M,"&lt;="&amp;$M$8)</f>
        <v/>
      </c>
      <c r="H11" s="213">
        <f>F11+G11</f>
        <v/>
      </c>
      <c r="I11" s="214">
        <f>IF($J11=0,0,$H11/$J11)</f>
        <v/>
      </c>
      <c r="J11" s="180">
        <f>$M$11</f>
        <v/>
      </c>
      <c r="K11" s="181" t="inlineStr">
        <is>
          <t>Offshore</t>
        </is>
      </c>
      <c r="L11" s="182" t="inlineStr">
        <is>
          <t>Full Cap (hrs)</t>
        </is>
      </c>
      <c r="M11" s="193">
        <f>M10*M9</f>
        <v/>
      </c>
      <c r="P11" t="n">
        <v>100</v>
      </c>
    </row>
    <row r="12">
      <c r="A12" s="190" t="inlineStr">
        <is>
          <t>Jogesh Somisetti</t>
        </is>
      </c>
      <c r="B12" s="191" t="n">
        <v>3</v>
      </c>
      <c r="C12" s="192" t="inlineStr">
        <is>
          <t>Gopinath Vedantham</t>
        </is>
      </c>
      <c r="D12" s="192" t="inlineStr">
        <is>
          <t>Backend Lead</t>
        </is>
      </c>
      <c r="E12" s="192" t="inlineStr">
        <is>
          <t>Backend</t>
        </is>
      </c>
      <c r="F12" s="213">
        <f>SUMIFS('Work Items'!$O:$O,'Work Items'!$A:$A,"Task",'Work Items'!$J:$J,$A12,'Work Items'!$M:$M,"&gt;="&amp;$M$7,'Work Items'!$M:$M,"&lt;="&amp;$M$8)</f>
        <v/>
      </c>
      <c r="G12" s="213">
        <f>SUMIFS('Work Items'!$O:$O,'Work Items'!$A:$A,"Bug",'Work Items'!$J:$J,$A12,'Work Items'!$M:$M,"&gt;="&amp;$M$7,'Work Items'!$M:$M,"&lt;="&amp;$M$8)</f>
        <v/>
      </c>
      <c r="H12" s="213">
        <f>F12+G12</f>
        <v/>
      </c>
      <c r="I12" s="214">
        <f>IF($J12=0,0,$H12/$J12)</f>
        <v/>
      </c>
      <c r="J12" s="180">
        <f>$M$11</f>
        <v/>
      </c>
      <c r="K12" s="181" t="inlineStr">
        <is>
          <t>Offshore</t>
        </is>
      </c>
      <c r="P12" t="n">
        <v>100</v>
      </c>
    </row>
    <row r="13">
      <c r="A13" s="187" t="inlineStr">
        <is>
          <t>Lakshit Sharma</t>
        </is>
      </c>
      <c r="B13" s="188" t="n">
        <v>3</v>
      </c>
      <c r="C13" s="189" t="inlineStr">
        <is>
          <t>Gopinath Vedantham</t>
        </is>
      </c>
      <c r="D13" s="189" t="inlineStr">
        <is>
          <t>Backend Lead</t>
        </is>
      </c>
      <c r="E13" s="189" t="inlineStr">
        <is>
          <t>Backend</t>
        </is>
      </c>
      <c r="F13" s="213">
        <f>SUMIFS('Work Items'!$O:$O,'Work Items'!$A:$A,"Task",'Work Items'!$J:$J,$A13,'Work Items'!$M:$M,"&gt;="&amp;$M$7,'Work Items'!$M:$M,"&lt;="&amp;$M$8)</f>
        <v/>
      </c>
      <c r="G13" s="213">
        <f>SUMIFS('Work Items'!$O:$O,'Work Items'!$A:$A,"Bug",'Work Items'!$J:$J,$A13,'Work Items'!$M:$M,"&gt;="&amp;$M$7,'Work Items'!$M:$M,"&lt;="&amp;$M$8)</f>
        <v/>
      </c>
      <c r="H13" s="213">
        <f>F13+G13</f>
        <v/>
      </c>
      <c r="I13" s="214">
        <f>IF($J13=0,0,$H13/$J13)</f>
        <v/>
      </c>
      <c r="J13" s="180">
        <f>$M$11</f>
        <v/>
      </c>
      <c r="K13" s="181" t="inlineStr">
        <is>
          <t>Offshore</t>
        </is>
      </c>
      <c r="P13" t="n">
        <v>100</v>
      </c>
    </row>
    <row r="14">
      <c r="A14" s="190" t="inlineStr">
        <is>
          <t>Kishore Kumar G</t>
        </is>
      </c>
      <c r="B14" s="191" t="n">
        <v>3</v>
      </c>
      <c r="C14" s="192" t="inlineStr">
        <is>
          <t>Gopinath Vedantham</t>
        </is>
      </c>
      <c r="D14" s="192" t="inlineStr">
        <is>
          <t>Backend Lead</t>
        </is>
      </c>
      <c r="E14" s="192" t="inlineStr">
        <is>
          <t>Backend</t>
        </is>
      </c>
      <c r="F14" s="213">
        <f>SUMIFS('Work Items'!$O:$O,'Work Items'!$A:$A,"Task",'Work Items'!$J:$J,$A14,'Work Items'!$M:$M,"&gt;="&amp;$M$7,'Work Items'!$M:$M,"&lt;="&amp;$M$8)</f>
        <v/>
      </c>
      <c r="G14" s="213">
        <f>SUMIFS('Work Items'!$O:$O,'Work Items'!$A:$A,"Bug",'Work Items'!$J:$J,$A14,'Work Items'!$M:$M,"&gt;="&amp;$M$7,'Work Items'!$M:$M,"&lt;="&amp;$M$8)</f>
        <v/>
      </c>
      <c r="H14" s="213">
        <f>F14+G14</f>
        <v/>
      </c>
      <c r="I14" s="214">
        <f>IF($J14=0,0,$H14/$J14)</f>
        <v/>
      </c>
      <c r="J14" s="180">
        <f>$M$11</f>
        <v/>
      </c>
      <c r="K14" s="181" t="inlineStr">
        <is>
          <t>Offshore</t>
        </is>
      </c>
      <c r="P14" t="n">
        <v>100</v>
      </c>
    </row>
    <row r="15">
      <c r="A15" s="187" t="inlineStr">
        <is>
          <t>Praveen Murugesan</t>
        </is>
      </c>
      <c r="B15" s="188" t="n">
        <v>3</v>
      </c>
      <c r="C15" s="189" t="inlineStr">
        <is>
          <t>Gopinath Vedantham</t>
        </is>
      </c>
      <c r="D15" s="189" t="inlineStr">
        <is>
          <t>QA Lead</t>
        </is>
      </c>
      <c r="E15" s="189" t="inlineStr">
        <is>
          <t>QA-Lead</t>
        </is>
      </c>
      <c r="F15" s="213">
        <f>SUMIFS('Work Items'!$O:$O,'Work Items'!$A:$A,"Task",'Work Items'!$J:$J,$A15,'Work Items'!$M:$M,"&gt;="&amp;$M$7,'Work Items'!$M:$M,"&lt;="&amp;$M$8)</f>
        <v/>
      </c>
      <c r="G15" s="213">
        <f>SUMIFS('Work Items'!$O:$O,'Work Items'!$A:$A,"Bug",'Work Items'!$J:$J,$A15,'Work Items'!$M:$M,"&gt;="&amp;$M$7,'Work Items'!$M:$M,"&lt;="&amp;$M$8)</f>
        <v/>
      </c>
      <c r="H15" s="213">
        <f>F15+G15</f>
        <v/>
      </c>
      <c r="I15" s="214">
        <f>IF($J15=0,0,$H15/$J15)</f>
        <v/>
      </c>
      <c r="J15" s="180">
        <f>$M$11</f>
        <v/>
      </c>
      <c r="K15" s="181" t="inlineStr">
        <is>
          <t>Offshore</t>
        </is>
      </c>
      <c r="P15" t="n">
        <v>100</v>
      </c>
    </row>
    <row r="16">
      <c r="A16" s="190" t="inlineStr">
        <is>
          <t>Likhitha Vaddevalli</t>
        </is>
      </c>
      <c r="B16" s="191" t="n">
        <v>4</v>
      </c>
      <c r="C16" s="192" t="inlineStr">
        <is>
          <t>Deepti Bhatt</t>
        </is>
      </c>
      <c r="D16" s="192" t="inlineStr">
        <is>
          <t>Solution Analyst</t>
        </is>
      </c>
      <c r="E16" s="192" t="inlineStr">
        <is>
          <t>Solution</t>
        </is>
      </c>
      <c r="F16" s="213">
        <f>SUMIFS('Work Items'!$O:$O,'Work Items'!$A:$A,"Task",'Work Items'!$J:$J,$A16,'Work Items'!$M:$M,"&gt;="&amp;$M$7,'Work Items'!$M:$M,"&lt;="&amp;$M$8)</f>
        <v/>
      </c>
      <c r="G16" s="213">
        <f>SUMIFS('Work Items'!$O:$O,'Work Items'!$A:$A,"Bug",'Work Items'!$J:$J,$A16,'Work Items'!$M:$M,"&gt;="&amp;$M$7,'Work Items'!$M:$M,"&lt;="&amp;$M$8)</f>
        <v/>
      </c>
      <c r="H16" s="213">
        <f>F16+G16</f>
        <v/>
      </c>
      <c r="I16" s="214">
        <f>IF($J16=0,0,$H16/$J16)</f>
        <v/>
      </c>
      <c r="J16" s="180">
        <f>$M$11</f>
        <v/>
      </c>
      <c r="K16" s="181" t="inlineStr">
        <is>
          <t>Offshore</t>
        </is>
      </c>
      <c r="P16" t="n">
        <v>100</v>
      </c>
    </row>
    <row r="17">
      <c r="A17" s="194" t="inlineStr">
        <is>
          <t>Lakshmi Vaggala</t>
        </is>
      </c>
      <c r="B17" s="195" t="n">
        <v>4</v>
      </c>
      <c r="C17" s="196" t="inlineStr">
        <is>
          <t>Amar Joshi</t>
        </is>
      </c>
      <c r="D17" s="196" t="inlineStr">
        <is>
          <t>UI Developer</t>
        </is>
      </c>
      <c r="E17" s="196" t="inlineStr">
        <is>
          <t>UI</t>
        </is>
      </c>
      <c r="F17" s="213">
        <f>SUMIFS('Work Items'!$O:$O,'Work Items'!$A:$A,"Task",'Work Items'!$J:$J,$A17,'Work Items'!$M:$M,"&gt;="&amp;$M$7,'Work Items'!$M:$M,"&lt;="&amp;$M$8)</f>
        <v/>
      </c>
      <c r="G17" s="213">
        <f>SUMIFS('Work Items'!$O:$O,'Work Items'!$A:$A,"Bug",'Work Items'!$J:$J,$A17,'Work Items'!$M:$M,"&gt;="&amp;$M$7,'Work Items'!$M:$M,"&lt;="&amp;$M$8)</f>
        <v/>
      </c>
      <c r="H17" s="213">
        <f>F17+G17</f>
        <v/>
      </c>
      <c r="I17" s="214">
        <f>IF($J17=0,0,$H17/$J17)</f>
        <v/>
      </c>
      <c r="J17" s="180">
        <f>$M$11</f>
        <v/>
      </c>
      <c r="K17" s="181" t="inlineStr">
        <is>
          <t>Offshore</t>
        </is>
      </c>
      <c r="P17" t="n">
        <v>100</v>
      </c>
    </row>
    <row r="18">
      <c r="A18" s="197" t="inlineStr">
        <is>
          <t>Sravani Palle</t>
        </is>
      </c>
      <c r="B18" s="198" t="n">
        <v>4</v>
      </c>
      <c r="C18" s="199" t="inlineStr">
        <is>
          <t>Amar Joshi</t>
        </is>
      </c>
      <c r="D18" s="199" t="inlineStr">
        <is>
          <t>UI Developer</t>
        </is>
      </c>
      <c r="E18" s="199" t="inlineStr">
        <is>
          <t>UI</t>
        </is>
      </c>
      <c r="F18" s="213">
        <f>SUMIFS('Work Items'!$O:$O,'Work Items'!$A:$A,"Task",'Work Items'!$J:$J,$A18,'Work Items'!$M:$M,"&gt;="&amp;$M$7,'Work Items'!$M:$M,"&lt;="&amp;$M$8)</f>
        <v/>
      </c>
      <c r="G18" s="213">
        <f>SUMIFS('Work Items'!$O:$O,'Work Items'!$A:$A,"Bug",'Work Items'!$J:$J,$A18,'Work Items'!$M:$M,"&gt;="&amp;$M$7,'Work Items'!$M:$M,"&lt;="&amp;$M$8)</f>
        <v/>
      </c>
      <c r="H18" s="213">
        <f>F18+G18</f>
        <v/>
      </c>
      <c r="I18" s="214">
        <f>IF($J18=0,0,$H18/$J18)</f>
        <v/>
      </c>
      <c r="J18" s="180">
        <f>$M$11</f>
        <v/>
      </c>
      <c r="K18" s="181" t="inlineStr">
        <is>
          <t>Offshore</t>
        </is>
      </c>
      <c r="P18" t="n">
        <v>100</v>
      </c>
    </row>
    <row r="19">
      <c r="A19" s="194" t="inlineStr">
        <is>
          <t>Kamala Rudru</t>
        </is>
      </c>
      <c r="B19" s="195" t="n">
        <v>4</v>
      </c>
      <c r="C19" s="196" t="inlineStr">
        <is>
          <t>Amar Joshi</t>
        </is>
      </c>
      <c r="D19" s="196" t="inlineStr">
        <is>
          <t>UI Developer</t>
        </is>
      </c>
      <c r="E19" s="196" t="inlineStr">
        <is>
          <t>UI</t>
        </is>
      </c>
      <c r="F19" s="213">
        <f>SUMIFS('Work Items'!$O:$O,'Work Items'!$A:$A,"Task",'Work Items'!$J:$J,$A19,'Work Items'!$M:$M,"&gt;="&amp;$M$7,'Work Items'!$M:$M,"&lt;="&amp;$M$8)</f>
        <v/>
      </c>
      <c r="G19" s="213">
        <f>SUMIFS('Work Items'!$O:$O,'Work Items'!$A:$A,"Bug",'Work Items'!$J:$J,$A19,'Work Items'!$M:$M,"&gt;="&amp;$M$7,'Work Items'!$M:$M,"&lt;="&amp;$M$8)</f>
        <v/>
      </c>
      <c r="H19" s="213">
        <f>F19+G19</f>
        <v/>
      </c>
      <c r="I19" s="214">
        <f>IF($J19=0,0,$H19/$J19)</f>
        <v/>
      </c>
      <c r="J19" s="180">
        <f>$M$11</f>
        <v/>
      </c>
      <c r="K19" s="181" t="inlineStr">
        <is>
          <t>Offshore</t>
        </is>
      </c>
      <c r="P19" t="n">
        <v>100</v>
      </c>
    </row>
    <row r="20">
      <c r="A20" s="197" t="inlineStr">
        <is>
          <t>Mahendra Bhalsing</t>
        </is>
      </c>
      <c r="B20" s="198" t="n">
        <v>4</v>
      </c>
      <c r="C20" s="199" t="inlineStr">
        <is>
          <t>Jogesh Somisetti</t>
        </is>
      </c>
      <c r="D20" s="199" t="inlineStr">
        <is>
          <t>Backend Developer</t>
        </is>
      </c>
      <c r="E20" s="199" t="inlineStr">
        <is>
          <t>Backend</t>
        </is>
      </c>
      <c r="F20" s="213">
        <f>SUMIFS('Work Items'!$O:$O,'Work Items'!$A:$A,"Task",'Work Items'!$J:$J,$A20,'Work Items'!$M:$M,"&gt;="&amp;$M$7,'Work Items'!$M:$M,"&lt;="&amp;$M$8)</f>
        <v/>
      </c>
      <c r="G20" s="213">
        <f>SUMIFS('Work Items'!$O:$O,'Work Items'!$A:$A,"Bug",'Work Items'!$J:$J,$A20,'Work Items'!$M:$M,"&gt;="&amp;$M$7,'Work Items'!$M:$M,"&lt;="&amp;$M$8)</f>
        <v/>
      </c>
      <c r="H20" s="213">
        <f>F20+G20</f>
        <v/>
      </c>
      <c r="I20" s="214">
        <f>IF($J20=0,0,$H20/$J20)</f>
        <v/>
      </c>
      <c r="J20" s="180">
        <f>$M$11</f>
        <v/>
      </c>
      <c r="K20" s="181" t="inlineStr">
        <is>
          <t>Offshore</t>
        </is>
      </c>
      <c r="P20" t="n">
        <v>100</v>
      </c>
    </row>
    <row r="21">
      <c r="A21" s="194" t="inlineStr">
        <is>
          <t>Kapil Meshram</t>
        </is>
      </c>
      <c r="B21" s="195" t="n">
        <v>4</v>
      </c>
      <c r="C21" s="196" t="inlineStr">
        <is>
          <t>Jogesh Somisetti</t>
        </is>
      </c>
      <c r="D21" s="196" t="inlineStr">
        <is>
          <t>Backend Developer</t>
        </is>
      </c>
      <c r="E21" s="196" t="inlineStr">
        <is>
          <t>Backend</t>
        </is>
      </c>
      <c r="F21" s="213">
        <f>SUMIFS('Work Items'!$O:$O,'Work Items'!$A:$A,"Task",'Work Items'!$J:$J,$A21,'Work Items'!$M:$M,"&gt;="&amp;$M$7,'Work Items'!$M:$M,"&lt;="&amp;$M$8)</f>
        <v/>
      </c>
      <c r="G21" s="213">
        <f>SUMIFS('Work Items'!$O:$O,'Work Items'!$A:$A,"Bug",'Work Items'!$J:$J,$A21,'Work Items'!$M:$M,"&gt;="&amp;$M$7,'Work Items'!$M:$M,"&lt;="&amp;$M$8)</f>
        <v/>
      </c>
      <c r="H21" s="213">
        <f>F21+G21</f>
        <v/>
      </c>
      <c r="I21" s="214">
        <f>IF($J21=0,0,$H21/$J21)</f>
        <v/>
      </c>
      <c r="J21" s="180">
        <f>$M$11</f>
        <v/>
      </c>
      <c r="K21" s="181" t="inlineStr">
        <is>
          <t>Offshore</t>
        </is>
      </c>
      <c r="P21" t="n">
        <v>100</v>
      </c>
    </row>
    <row r="22">
      <c r="A22" s="197" t="inlineStr">
        <is>
          <t>Rajeshwar Thakur</t>
        </is>
      </c>
      <c r="B22" s="198" t="n">
        <v>4</v>
      </c>
      <c r="C22" s="199" t="inlineStr">
        <is>
          <t>Jogesh Somisetti</t>
        </is>
      </c>
      <c r="D22" s="199" t="inlineStr">
        <is>
          <t>Backend Developer</t>
        </is>
      </c>
      <c r="E22" s="199" t="inlineStr">
        <is>
          <t>Backend</t>
        </is>
      </c>
      <c r="F22" s="213">
        <f>SUMIFS('Work Items'!$O:$O,'Work Items'!$A:$A,"Task",'Work Items'!$J:$J,$A22,'Work Items'!$M:$M,"&gt;="&amp;$M$7,'Work Items'!$M:$M,"&lt;="&amp;$M$8)</f>
        <v/>
      </c>
      <c r="G22" s="213">
        <f>SUMIFS('Work Items'!$O:$O,'Work Items'!$A:$A,"Bug",'Work Items'!$J:$J,$A22,'Work Items'!$M:$M,"&gt;="&amp;$M$7,'Work Items'!$M:$M,"&lt;="&amp;$M$8)</f>
        <v/>
      </c>
      <c r="H22" s="213">
        <f>F22+G22</f>
        <v/>
      </c>
      <c r="I22" s="214">
        <f>IF($J22=0,0,$H22/$J22)</f>
        <v/>
      </c>
      <c r="J22" s="180">
        <f>$M$11</f>
        <v/>
      </c>
      <c r="K22" s="181" t="inlineStr">
        <is>
          <t>Offshore</t>
        </is>
      </c>
      <c r="P22" t="n">
        <v>100</v>
      </c>
    </row>
    <row r="23">
      <c r="A23" s="194" t="inlineStr">
        <is>
          <t>Lokesh Kundlavari</t>
        </is>
      </c>
      <c r="B23" s="195" t="n">
        <v>4</v>
      </c>
      <c r="C23" s="196" t="inlineStr">
        <is>
          <t>Lakshit Sharma</t>
        </is>
      </c>
      <c r="D23" s="196" t="inlineStr">
        <is>
          <t>Backend Developer</t>
        </is>
      </c>
      <c r="E23" s="196" t="inlineStr">
        <is>
          <t>Backend</t>
        </is>
      </c>
      <c r="F23" s="213">
        <f>SUMIFS('Work Items'!$O:$O,'Work Items'!$A:$A,"Task",'Work Items'!$J:$J,$A23,'Work Items'!$M:$M,"&gt;="&amp;$M$7,'Work Items'!$M:$M,"&lt;="&amp;$M$8)</f>
        <v/>
      </c>
      <c r="G23" s="213">
        <f>SUMIFS('Work Items'!$O:$O,'Work Items'!$A:$A,"Bug",'Work Items'!$J:$J,$A23,'Work Items'!$M:$M,"&gt;="&amp;$M$7,'Work Items'!$M:$M,"&lt;="&amp;$M$8)</f>
        <v/>
      </c>
      <c r="H23" s="213">
        <f>F23+G23</f>
        <v/>
      </c>
      <c r="I23" s="214">
        <f>IF($J23=0,0,$H23/$J23)</f>
        <v/>
      </c>
      <c r="J23" s="180">
        <f>$M$11</f>
        <v/>
      </c>
      <c r="K23" s="181" t="inlineStr">
        <is>
          <t>Offshore</t>
        </is>
      </c>
      <c r="P23" t="n">
        <v>100</v>
      </c>
    </row>
    <row r="24">
      <c r="A24" s="197" t="inlineStr">
        <is>
          <t>Sai Goriparti</t>
        </is>
      </c>
      <c r="B24" s="198" t="n">
        <v>4</v>
      </c>
      <c r="C24" s="199" t="inlineStr">
        <is>
          <t>Lakshit Sharma</t>
        </is>
      </c>
      <c r="D24" s="199" t="inlineStr">
        <is>
          <t>Backend Developer</t>
        </is>
      </c>
      <c r="E24" s="199" t="inlineStr">
        <is>
          <t>Backend</t>
        </is>
      </c>
      <c r="F24" s="213">
        <f>SUMIFS('Work Items'!$O:$O,'Work Items'!$A:$A,"Task",'Work Items'!$J:$J,$A24,'Work Items'!$M:$M,"&gt;="&amp;$M$7,'Work Items'!$M:$M,"&lt;="&amp;$M$8)</f>
        <v/>
      </c>
      <c r="G24" s="213">
        <f>SUMIFS('Work Items'!$O:$O,'Work Items'!$A:$A,"Bug",'Work Items'!$J:$J,$A24,'Work Items'!$M:$M,"&gt;="&amp;$M$7,'Work Items'!$M:$M,"&lt;="&amp;$M$8)</f>
        <v/>
      </c>
      <c r="H24" s="213">
        <f>F24+G24</f>
        <v/>
      </c>
      <c r="I24" s="214">
        <f>IF($J24=0,0,$H24/$J24)</f>
        <v/>
      </c>
      <c r="J24" s="180">
        <f>$M$11</f>
        <v/>
      </c>
      <c r="K24" s="181" t="inlineStr">
        <is>
          <t>Offshore</t>
        </is>
      </c>
      <c r="P24" t="n">
        <v>100</v>
      </c>
    </row>
    <row r="25">
      <c r="A25" s="194" t="inlineStr">
        <is>
          <t>Venkateswarlu Kanchani</t>
        </is>
      </c>
      <c r="B25" s="195" t="n">
        <v>4</v>
      </c>
      <c r="C25" s="196" t="inlineStr">
        <is>
          <t>Kishore Kumar G</t>
        </is>
      </c>
      <c r="D25" s="196" t="inlineStr">
        <is>
          <t>Integration Developer</t>
        </is>
      </c>
      <c r="E25" s="196" t="inlineStr">
        <is>
          <t>Integration</t>
        </is>
      </c>
      <c r="F25" s="213">
        <f>SUMIFS('Work Items'!$O:$O,'Work Items'!$A:$A,"Task",'Work Items'!$J:$J,$A25,'Work Items'!$M:$M,"&gt;="&amp;$M$7,'Work Items'!$M:$M,"&lt;="&amp;$M$8)</f>
        <v/>
      </c>
      <c r="G25" s="213">
        <f>SUMIFS('Work Items'!$O:$O,'Work Items'!$A:$A,"Bug",'Work Items'!$J:$J,$A25,'Work Items'!$M:$M,"&gt;="&amp;$M$7,'Work Items'!$M:$M,"&lt;="&amp;$M$8)</f>
        <v/>
      </c>
      <c r="H25" s="213">
        <f>F25+G25</f>
        <v/>
      </c>
      <c r="I25" s="214">
        <f>IF($J25=0,0,$H25/$J25)</f>
        <v/>
      </c>
      <c r="J25" s="180">
        <f>$M$11</f>
        <v/>
      </c>
      <c r="K25" s="181" t="inlineStr">
        <is>
          <t>Offshore</t>
        </is>
      </c>
      <c r="P25" t="n">
        <v>100</v>
      </c>
    </row>
    <row r="26">
      <c r="A26" s="197" t="inlineStr">
        <is>
          <t>Padmalochana Polaki</t>
        </is>
      </c>
      <c r="B26" s="198" t="n">
        <v>4</v>
      </c>
      <c r="C26" s="199" t="inlineStr">
        <is>
          <t>Kishore Kumar G</t>
        </is>
      </c>
      <c r="D26" s="199" t="inlineStr">
        <is>
          <t>Integration Developer</t>
        </is>
      </c>
      <c r="E26" s="199" t="inlineStr">
        <is>
          <t>Integration</t>
        </is>
      </c>
      <c r="F26" s="213">
        <f>SUMIFS('Work Items'!$O:$O,'Work Items'!$A:$A,"Task",'Work Items'!$J:$J,$A26,'Work Items'!$M:$M,"&gt;="&amp;$M$7,'Work Items'!$M:$M,"&lt;="&amp;$M$8)</f>
        <v/>
      </c>
      <c r="G26" s="213">
        <f>SUMIFS('Work Items'!$O:$O,'Work Items'!$A:$A,"Bug",'Work Items'!$J:$J,$A26,'Work Items'!$M:$M,"&gt;="&amp;$M$7,'Work Items'!$M:$M,"&lt;="&amp;$M$8)</f>
        <v/>
      </c>
      <c r="H26" s="213">
        <f>F26+G26</f>
        <v/>
      </c>
      <c r="I26" s="214">
        <f>IF($J26=0,0,$H26/$J26)</f>
        <v/>
      </c>
      <c r="J26" s="180">
        <f>$M$11</f>
        <v/>
      </c>
      <c r="K26" s="181" t="inlineStr">
        <is>
          <t>Offshore</t>
        </is>
      </c>
      <c r="P26" t="n">
        <v>100</v>
      </c>
    </row>
    <row r="27">
      <c r="A27" s="194" t="inlineStr">
        <is>
          <t>Konda Reddy</t>
        </is>
      </c>
      <c r="B27" s="195" t="n">
        <v>4</v>
      </c>
      <c r="C27" s="196" t="inlineStr">
        <is>
          <t>Kishore Kumar G</t>
        </is>
      </c>
      <c r="D27" s="196" t="inlineStr">
        <is>
          <t>Integration Developer</t>
        </is>
      </c>
      <c r="E27" s="196" t="inlineStr">
        <is>
          <t>Integration</t>
        </is>
      </c>
      <c r="F27" s="213">
        <f>SUMIFS('Work Items'!$O:$O,'Work Items'!$A:$A,"Task",'Work Items'!$J:$J,$A27,'Work Items'!$M:$M,"&gt;="&amp;$M$7,'Work Items'!$M:$M,"&lt;="&amp;$M$8)</f>
        <v/>
      </c>
      <c r="G27" s="213">
        <f>SUMIFS('Work Items'!$O:$O,'Work Items'!$A:$A,"Bug",'Work Items'!$J:$J,$A27,'Work Items'!$M:$M,"&gt;="&amp;$M$7,'Work Items'!$M:$M,"&lt;="&amp;$M$8)</f>
        <v/>
      </c>
      <c r="H27" s="213">
        <f>F27+G27</f>
        <v/>
      </c>
      <c r="I27" s="214">
        <f>IF($J27=0,0,$H27/$J27)</f>
        <v/>
      </c>
      <c r="J27" s="180">
        <f>$M$11</f>
        <v/>
      </c>
      <c r="K27" s="181" t="inlineStr">
        <is>
          <t>Offshore</t>
        </is>
      </c>
      <c r="P27" t="n">
        <v>100</v>
      </c>
    </row>
    <row r="28">
      <c r="A28" s="197" t="inlineStr">
        <is>
          <t>Aravindu Ravula</t>
        </is>
      </c>
      <c r="B28" s="198" t="n">
        <v>4</v>
      </c>
      <c r="C28" s="199" t="inlineStr">
        <is>
          <t>Praveen Murugesan</t>
        </is>
      </c>
      <c r="D28" s="199" t="inlineStr">
        <is>
          <t>QA Engineer</t>
        </is>
      </c>
      <c r="E28" s="199" t="inlineStr">
        <is>
          <t>Integration</t>
        </is>
      </c>
      <c r="F28" s="213">
        <f>SUMIFS('Work Items'!$O:$O,'Work Items'!$A:$A,"Task",'Work Items'!$J:$J,$A28,'Work Items'!$M:$M,"&gt;="&amp;$M$7,'Work Items'!$M:$M,"&lt;="&amp;$M$8)</f>
        <v/>
      </c>
      <c r="G28" s="213">
        <f>SUMIFS('Work Items'!$O:$O,'Work Items'!$A:$A,"Bug",'Work Items'!$J:$J,$A28,'Work Items'!$M:$M,"&gt;="&amp;$M$7,'Work Items'!$M:$M,"&lt;="&amp;$M$8)</f>
        <v/>
      </c>
      <c r="H28" s="213">
        <f>F28+G28</f>
        <v/>
      </c>
      <c r="I28" s="214">
        <f>IF($J28=0,0,$H28/$J28)</f>
        <v/>
      </c>
      <c r="J28" s="180">
        <f>$M$11</f>
        <v/>
      </c>
      <c r="K28" s="181" t="inlineStr">
        <is>
          <t>Offshore</t>
        </is>
      </c>
      <c r="P28" t="n">
        <v>100</v>
      </c>
    </row>
    <row r="29">
      <c r="A29" s="194" t="inlineStr">
        <is>
          <t>Vaibhav More</t>
        </is>
      </c>
      <c r="B29" s="195" t="n">
        <v>4</v>
      </c>
      <c r="C29" s="196" t="inlineStr">
        <is>
          <t>Praveen Murugesan</t>
        </is>
      </c>
      <c r="D29" s="196" t="inlineStr">
        <is>
          <t>QA Engineer</t>
        </is>
      </c>
      <c r="E29" s="196" t="inlineStr">
        <is>
          <t>Integration</t>
        </is>
      </c>
      <c r="F29" s="213">
        <f>SUMIFS('Work Items'!$O:$O,'Work Items'!$A:$A,"Task",'Work Items'!$J:$J,$A29,'Work Items'!$M:$M,"&gt;="&amp;$M$7,'Work Items'!$M:$M,"&lt;="&amp;$M$8)</f>
        <v/>
      </c>
      <c r="G29" s="213">
        <f>SUMIFS('Work Items'!$O:$O,'Work Items'!$A:$A,"Bug",'Work Items'!$J:$J,$A29,'Work Items'!$M:$M,"&gt;="&amp;$M$7,'Work Items'!$M:$M,"&lt;="&amp;$M$8)</f>
        <v/>
      </c>
      <c r="H29" s="213">
        <f>F29+G29</f>
        <v/>
      </c>
      <c r="I29" s="214">
        <f>IF($J29=0,0,$H29/$J29)</f>
        <v/>
      </c>
      <c r="J29" s="180">
        <f>$M$11</f>
        <v/>
      </c>
      <c r="K29" s="181" t="inlineStr">
        <is>
          <t>Offshore</t>
        </is>
      </c>
      <c r="P29" t="n">
        <v>100</v>
      </c>
    </row>
    <row r="30">
      <c r="A30" s="197" t="inlineStr">
        <is>
          <t>Vishwanatha Manchigegowda</t>
        </is>
      </c>
      <c r="B30" s="198" t="n">
        <v>4</v>
      </c>
      <c r="C30" s="199" t="inlineStr">
        <is>
          <t>Praveen Murugesan</t>
        </is>
      </c>
      <c r="D30" s="199" t="inlineStr">
        <is>
          <t>QA Engineer</t>
        </is>
      </c>
      <c r="E30" s="199" t="inlineStr">
        <is>
          <t>Backend</t>
        </is>
      </c>
      <c r="F30" s="213">
        <f>SUMIFS('Work Items'!$O:$O,'Work Items'!$A:$A,"Task",'Work Items'!$J:$J,$A30,'Work Items'!$M:$M,"&gt;="&amp;$M$7,'Work Items'!$M:$M,"&lt;="&amp;$M$8)</f>
        <v/>
      </c>
      <c r="G30" s="213">
        <f>SUMIFS('Work Items'!$O:$O,'Work Items'!$A:$A,"Bug",'Work Items'!$J:$J,$A30,'Work Items'!$M:$M,"&gt;="&amp;$M$7,'Work Items'!$M:$M,"&lt;="&amp;$M$8)</f>
        <v/>
      </c>
      <c r="H30" s="213">
        <f>F30+G30</f>
        <v/>
      </c>
      <c r="I30" s="214">
        <f>IF($J30=0,0,$H30/$J30)</f>
        <v/>
      </c>
      <c r="J30" s="180">
        <f>$M$11</f>
        <v/>
      </c>
      <c r="K30" s="181" t="inlineStr">
        <is>
          <t>Offshore</t>
        </is>
      </c>
      <c r="P30" t="n">
        <v>100</v>
      </c>
    </row>
    <row r="31">
      <c r="A31" s="194" t="inlineStr">
        <is>
          <t>Bhargava Narla</t>
        </is>
      </c>
      <c r="B31" s="195" t="n">
        <v>4</v>
      </c>
      <c r="C31" s="196" t="inlineStr">
        <is>
          <t>Praveen Murugesan</t>
        </is>
      </c>
      <c r="D31" s="196" t="inlineStr">
        <is>
          <t>QA Engineer</t>
        </is>
      </c>
      <c r="E31" s="196" t="inlineStr">
        <is>
          <t>QA</t>
        </is>
      </c>
      <c r="F31" s="213">
        <f>SUMIFS('Work Items'!$O:$O,'Work Items'!$A:$A,"Task",'Work Items'!$J:$J,$A31,'Work Items'!$M:$M,"&gt;="&amp;$M$7,'Work Items'!$M:$M,"&lt;="&amp;$M$8)</f>
        <v/>
      </c>
      <c r="G31" s="213">
        <f>SUMIFS('Work Items'!$O:$O,'Work Items'!$A:$A,"Bug",'Work Items'!$J:$J,$A31,'Work Items'!$M:$M,"&gt;="&amp;$M$7,'Work Items'!$M:$M,"&lt;="&amp;$M$8)</f>
        <v/>
      </c>
      <c r="H31" s="213">
        <f>F31+G31</f>
        <v/>
      </c>
      <c r="I31" s="214">
        <f>IF($J31=0,0,$H31/$J31)</f>
        <v/>
      </c>
      <c r="J31" s="180">
        <f>$M$11</f>
        <v/>
      </c>
      <c r="K31" s="181" t="inlineStr">
        <is>
          <t>Offshore</t>
        </is>
      </c>
      <c r="P31" t="n">
        <v>100</v>
      </c>
    </row>
    <row r="32">
      <c r="A32" s="197" t="inlineStr">
        <is>
          <t>Pranay Bavana</t>
        </is>
      </c>
      <c r="B32" s="198" t="n">
        <v>4</v>
      </c>
      <c r="C32" s="199" t="inlineStr">
        <is>
          <t>Praveen Murugesan</t>
        </is>
      </c>
      <c r="D32" s="199" t="inlineStr">
        <is>
          <t>QA Engineer</t>
        </is>
      </c>
      <c r="E32" s="199" t="inlineStr">
        <is>
          <t>QA</t>
        </is>
      </c>
      <c r="F32" s="213">
        <f>SUMIFS('Work Items'!$O:$O,'Work Items'!$A:$A,"Task",'Work Items'!$J:$J,$A32,'Work Items'!$M:$M,"&gt;="&amp;$M$7,'Work Items'!$M:$M,"&lt;="&amp;$M$8)</f>
        <v/>
      </c>
      <c r="G32" s="213">
        <f>SUMIFS('Work Items'!$O:$O,'Work Items'!$A:$A,"Bug",'Work Items'!$J:$J,$A32,'Work Items'!$M:$M,"&gt;="&amp;$M$7,'Work Items'!$M:$M,"&lt;="&amp;$M$8)</f>
        <v/>
      </c>
      <c r="H32" s="213">
        <f>F32+G32</f>
        <v/>
      </c>
      <c r="I32" s="214">
        <f>IF($J32=0,0,$H32/$J32)</f>
        <v/>
      </c>
      <c r="J32" s="180">
        <f>$M$11</f>
        <v/>
      </c>
      <c r="K32" s="181" t="inlineStr">
        <is>
          <t>Offshore</t>
        </is>
      </c>
      <c r="P32" t="n">
        <v>100</v>
      </c>
    </row>
    <row r="33">
      <c r="A33" s="194" t="inlineStr">
        <is>
          <t>Eshwar Biradar</t>
        </is>
      </c>
      <c r="B33" s="195" t="n">
        <v>4</v>
      </c>
      <c r="C33" s="196" t="inlineStr">
        <is>
          <t>Praveen Murugesan</t>
        </is>
      </c>
      <c r="D33" s="196" t="inlineStr">
        <is>
          <t>QA Engineer</t>
        </is>
      </c>
      <c r="E33" s="196" t="inlineStr">
        <is>
          <t>QA</t>
        </is>
      </c>
      <c r="F33" s="213">
        <f>SUMIFS('Work Items'!$O:$O,'Work Items'!$A:$A,"Task",'Work Items'!$J:$J,$A33,'Work Items'!$M:$M,"&gt;="&amp;$M$7,'Work Items'!$M:$M,"&lt;="&amp;$M$8)</f>
        <v/>
      </c>
      <c r="G33" s="213">
        <f>SUMIFS('Work Items'!$O:$O,'Work Items'!$A:$A,"Bug",'Work Items'!$J:$J,$A33,'Work Items'!$M:$M,"&gt;="&amp;$M$7,'Work Items'!$M:$M,"&lt;="&amp;$M$8)</f>
        <v/>
      </c>
      <c r="H33" s="213">
        <f>F33+G33</f>
        <v/>
      </c>
      <c r="I33" s="214">
        <f>IF($J33=0,0,$H33/$J33)</f>
        <v/>
      </c>
      <c r="J33" s="180">
        <f>$M$11</f>
        <v/>
      </c>
      <c r="K33" s="181" t="inlineStr">
        <is>
          <t>Offshore</t>
        </is>
      </c>
      <c r="P33" t="n">
        <v>100</v>
      </c>
    </row>
    <row r="34">
      <c r="A34" s="197" t="inlineStr">
        <is>
          <t>Vijayalakshmi Tonta</t>
        </is>
      </c>
      <c r="B34" s="198" t="n">
        <v>4</v>
      </c>
      <c r="C34" s="199" t="inlineStr">
        <is>
          <t>Praveen Murugesan</t>
        </is>
      </c>
      <c r="D34" s="199" t="inlineStr">
        <is>
          <t>QA Engineer</t>
        </is>
      </c>
      <c r="E34" s="199" t="inlineStr">
        <is>
          <t>QA</t>
        </is>
      </c>
      <c r="F34" s="213">
        <f>SUMIFS('Work Items'!$O:$O,'Work Items'!$A:$A,"Task",'Work Items'!$J:$J,$A34,'Work Items'!$M:$M,"&gt;="&amp;$M$7,'Work Items'!$M:$M,"&lt;="&amp;$M$8)</f>
        <v/>
      </c>
      <c r="G34" s="213">
        <f>SUMIFS('Work Items'!$O:$O,'Work Items'!$A:$A,"Bug",'Work Items'!$J:$J,$A34,'Work Items'!$M:$M,"&gt;="&amp;$M$7,'Work Items'!$M:$M,"&lt;="&amp;$M$8)</f>
        <v/>
      </c>
      <c r="H34" s="213">
        <f>F34+G34</f>
        <v/>
      </c>
      <c r="I34" s="214">
        <f>IF($J34=0,0,$H34/$J34)</f>
        <v/>
      </c>
      <c r="J34" s="180">
        <f>$M$11</f>
        <v/>
      </c>
      <c r="K34" s="181" t="inlineStr">
        <is>
          <t>Offshore</t>
        </is>
      </c>
      <c r="P34" t="n">
        <v>100</v>
      </c>
    </row>
    <row r="35">
      <c r="A35" s="194" t="inlineStr">
        <is>
          <t>Srija Poreddy</t>
        </is>
      </c>
      <c r="B35" s="195" t="n">
        <v>4</v>
      </c>
      <c r="C35" s="196" t="inlineStr">
        <is>
          <t>Praveen Murugesan</t>
        </is>
      </c>
      <c r="D35" s="196" t="inlineStr">
        <is>
          <t>QA Engineer</t>
        </is>
      </c>
      <c r="E35" s="196" t="inlineStr">
        <is>
          <t>QA</t>
        </is>
      </c>
      <c r="F35" s="213">
        <f>SUMIFS('Work Items'!$O:$O,'Work Items'!$A:$A,"Task",'Work Items'!$J:$J,$A35,'Work Items'!$M:$M,"&gt;="&amp;$M$7,'Work Items'!$M:$M,"&lt;="&amp;$M$8)</f>
        <v/>
      </c>
      <c r="G35" s="213">
        <f>SUMIFS('Work Items'!$O:$O,'Work Items'!$A:$A,"Bug",'Work Items'!$J:$J,$A35,'Work Items'!$M:$M,"&gt;="&amp;$M$7,'Work Items'!$M:$M,"&lt;="&amp;$M$8)</f>
        <v/>
      </c>
      <c r="H35" s="213">
        <f>F35+G35</f>
        <v/>
      </c>
      <c r="I35" s="214">
        <f>IF($J35=0,0,$H35/$J35)</f>
        <v/>
      </c>
      <c r="J35" s="180">
        <f>$M$11</f>
        <v/>
      </c>
      <c r="K35" s="181" t="inlineStr">
        <is>
          <t>Offshore</t>
        </is>
      </c>
      <c r="P35" t="n">
        <v>100</v>
      </c>
    </row>
    <row r="36">
      <c r="A36" s="197" t="inlineStr">
        <is>
          <t>Harshitha Mannembakam</t>
        </is>
      </c>
      <c r="B36" s="198" t="n">
        <v>4</v>
      </c>
      <c r="C36" s="199" t="inlineStr">
        <is>
          <t>Praveen Murugesan</t>
        </is>
      </c>
      <c r="D36" s="199" t="inlineStr">
        <is>
          <t>QA Engineer</t>
        </is>
      </c>
      <c r="E36" s="199" t="inlineStr">
        <is>
          <t>QA</t>
        </is>
      </c>
      <c r="F36" s="213">
        <f>SUMIFS('Work Items'!$O:$O,'Work Items'!$A:$A,"Task",'Work Items'!$J:$J,$A36,'Work Items'!$M:$M,"&gt;="&amp;$M$7,'Work Items'!$M:$M,"&lt;="&amp;$M$8)</f>
        <v/>
      </c>
      <c r="G36" s="213">
        <f>SUMIFS('Work Items'!$O:$O,'Work Items'!$A:$A,"Bug",'Work Items'!$J:$J,$A36,'Work Items'!$M:$M,"&gt;="&amp;$M$7,'Work Items'!$M:$M,"&lt;="&amp;$M$8)</f>
        <v/>
      </c>
      <c r="H36" s="213">
        <f>F36+G36</f>
        <v/>
      </c>
      <c r="I36" s="214">
        <f>IF($J36=0,0,$H36/$J36)</f>
        <v/>
      </c>
      <c r="J36" s="180">
        <f>$M$11</f>
        <v/>
      </c>
      <c r="K36" s="181" t="inlineStr">
        <is>
          <t>Offshore</t>
        </is>
      </c>
      <c r="P36" t="n">
        <v>100</v>
      </c>
    </row>
    <row r="37">
      <c r="A37" s="194" t="inlineStr">
        <is>
          <t>Havish Kanuri</t>
        </is>
      </c>
      <c r="B37" s="195" t="n">
        <v>4</v>
      </c>
      <c r="C37" s="196" t="inlineStr">
        <is>
          <t>Gopinath Vedantham</t>
        </is>
      </c>
      <c r="D37" s="196" t="inlineStr">
        <is>
          <t>DevOps Engineer</t>
        </is>
      </c>
      <c r="E37" s="196" t="inlineStr">
        <is>
          <t>DevOps</t>
        </is>
      </c>
      <c r="F37" s="213">
        <f>SUMIFS('Work Items'!$O:$O,'Work Items'!$A:$A,"Task",'Work Items'!$J:$J,$A37,'Work Items'!$M:$M,"&gt;="&amp;$M$7,'Work Items'!$M:$M,"&lt;="&amp;$M$8)</f>
        <v/>
      </c>
      <c r="G37" s="213">
        <f>SUMIFS('Work Items'!$O:$O,'Work Items'!$A:$A,"Bug",'Work Items'!$J:$J,$A37,'Work Items'!$M:$M,"&gt;="&amp;$M$7,'Work Items'!$M:$M,"&lt;="&amp;$M$8)</f>
        <v/>
      </c>
      <c r="H37" s="213">
        <f>F37+G37</f>
        <v/>
      </c>
      <c r="I37" s="214">
        <f>IF($J37=0,0,$H37/$J37)</f>
        <v/>
      </c>
      <c r="J37" s="180">
        <f>$M$11</f>
        <v/>
      </c>
      <c r="K37" s="181" t="inlineStr">
        <is>
          <t>Offshore</t>
        </is>
      </c>
      <c r="P37" t="n">
        <v>100</v>
      </c>
    </row>
    <row r="38">
      <c r="A38" s="200" t="inlineStr">
        <is>
          <t>Swati Vivek</t>
        </is>
      </c>
      <c r="B38" s="201" t="n">
        <v>4</v>
      </c>
      <c r="C38" s="202" t="inlineStr">
        <is>
          <t>Gopinath Vedantham</t>
        </is>
      </c>
      <c r="D38" s="202" t="inlineStr">
        <is>
          <t>Infra Engineer</t>
        </is>
      </c>
      <c r="E38" s="202" t="inlineStr">
        <is>
          <t>Infra</t>
        </is>
      </c>
      <c r="F38" s="213">
        <f>SUMIFS('Work Items'!$O:$O,'Work Items'!$A:$A,"Task",'Work Items'!$J:$J,$A38,'Work Items'!$M:$M,"&gt;="&amp;$M$7,'Work Items'!$M:$M,"&lt;="&amp;$M$8)</f>
        <v/>
      </c>
      <c r="G38" s="213">
        <f>SUMIFS('Work Items'!$O:$O,'Work Items'!$A:$A,"Bug",'Work Items'!$J:$J,$A38,'Work Items'!$M:$M,"&gt;="&amp;$M$7,'Work Items'!$M:$M,"&lt;="&amp;$M$8)</f>
        <v/>
      </c>
      <c r="H38" s="213">
        <f>F38+G38</f>
        <v/>
      </c>
      <c r="I38" s="214">
        <f>IF($J38=0,0,$H38/$J38)</f>
        <v/>
      </c>
      <c r="J38" s="180">
        <f>$M$11</f>
        <v/>
      </c>
      <c r="K38" s="181" t="inlineStr">
        <is>
          <t>Offshore</t>
        </is>
      </c>
      <c r="P38" t="n">
        <v>100</v>
      </c>
    </row>
    <row r="39">
      <c r="A39" s="203" t="inlineStr">
        <is>
          <t>Kishore Meka</t>
        </is>
      </c>
      <c r="B39" s="204" t="n">
        <v>4</v>
      </c>
      <c r="C39" s="205" t="inlineStr">
        <is>
          <t>Murali Meruva</t>
        </is>
      </c>
      <c r="D39" s="205" t="inlineStr">
        <is>
          <t>Project Manager</t>
        </is>
      </c>
      <c r="E39" s="205" t="inlineStr">
        <is>
          <t>PM</t>
        </is>
      </c>
      <c r="F39" s="213">
        <f>SUMIFS('Work Items'!$O:$O,'Work Items'!$A:$A,"Task",'Work Items'!$J:$J,$A39,'Work Items'!$M:$M,"&gt;="&amp;$M$7,'Work Items'!$M:$M,"&lt;="&amp;$M$8)</f>
        <v/>
      </c>
      <c r="G39" s="213">
        <f>SUMIFS('Work Items'!$O:$O,'Work Items'!$A:$A,"Bug",'Work Items'!$J:$J,$A39,'Work Items'!$M:$M,"&gt;="&amp;$M$7,'Work Items'!$M:$M,"&lt;="&amp;$M$8)</f>
        <v/>
      </c>
      <c r="H39" s="213">
        <f>F39+G39</f>
        <v/>
      </c>
      <c r="I39" s="214">
        <f>IF($J39=0,0,$H39/$J39)</f>
        <v/>
      </c>
      <c r="J39" s="180" t="n">
        <v>80</v>
      </c>
      <c r="K39" s="181" t="inlineStr">
        <is>
          <t>Offshore</t>
        </is>
      </c>
      <c r="P39" t="n">
        <v>100</v>
      </c>
    </row>
    <row r="40">
      <c r="A40" s="206" t="inlineStr">
        <is>
          <t>Waliu Faleye</t>
        </is>
      </c>
      <c r="B40" s="207" t="n">
        <v>5</v>
      </c>
      <c r="C40" s="208" t="inlineStr">
        <is>
          <t>Kishore Meka</t>
        </is>
      </c>
      <c r="D40" s="208" t="inlineStr">
        <is>
          <t>Backend Developer</t>
        </is>
      </c>
      <c r="E40" s="208" t="inlineStr">
        <is>
          <t>Backend</t>
        </is>
      </c>
      <c r="F40" s="213">
        <f>SUMIFS('Work Items'!$O:$O,'Work Items'!$A:$A,"Task",'Work Items'!$J:$J,$A40,'Work Items'!$M:$M,"&gt;="&amp;$M$7,'Work Items'!$M:$M,"&lt;="&amp;$M$8)</f>
        <v/>
      </c>
      <c r="G40" s="213">
        <f>SUMIFS('Work Items'!$O:$O,'Work Items'!$A:$A,"Bug",'Work Items'!$J:$J,$A40,'Work Items'!$M:$M,"&gt;="&amp;$M$7,'Work Items'!$M:$M,"&lt;="&amp;$M$8)</f>
        <v/>
      </c>
      <c r="H40" s="213">
        <f>F40+G40</f>
        <v/>
      </c>
      <c r="I40" s="214">
        <f>IF($J40=0,0,$H40/$J40)</f>
        <v/>
      </c>
      <c r="J40" s="180" t="n">
        <v>0</v>
      </c>
      <c r="K40" s="181" t="inlineStr">
        <is>
          <t>Offshore</t>
        </is>
      </c>
      <c r="P40" t="n">
        <v>100</v>
      </c>
    </row>
    <row r="41">
      <c r="A41" s="206" t="inlineStr">
        <is>
          <t>Raudha Ahmed</t>
        </is>
      </c>
      <c r="B41" s="207" t="n">
        <v>5</v>
      </c>
      <c r="C41" s="208" t="inlineStr">
        <is>
          <t>Kishore Meka</t>
        </is>
      </c>
      <c r="D41" s="208" t="inlineStr">
        <is>
          <t>Backend Developer</t>
        </is>
      </c>
      <c r="E41" s="208" t="inlineStr">
        <is>
          <t>Backend</t>
        </is>
      </c>
      <c r="F41" s="213">
        <f>SUMIFS('Work Items'!$O:$O,'Work Items'!$A:$A,"Task",'Work Items'!$J:$J,$A41,'Work Items'!$M:$M,"&gt;="&amp;$M$7,'Work Items'!$M:$M,"&lt;="&amp;$M$8)</f>
        <v/>
      </c>
      <c r="G41" s="213">
        <f>SUMIFS('Work Items'!$O:$O,'Work Items'!$A:$A,"Bug",'Work Items'!$J:$J,$A41,'Work Items'!$M:$M,"&gt;="&amp;$M$7,'Work Items'!$M:$M,"&lt;="&amp;$M$8)</f>
        <v/>
      </c>
      <c r="H41" s="213">
        <f>F41+G41</f>
        <v/>
      </c>
      <c r="I41" s="214">
        <f>IF($J41=0,0,$H41/$J41)</f>
        <v/>
      </c>
      <c r="J41" s="180" t="n">
        <v>0</v>
      </c>
      <c r="K41" s="181" t="inlineStr">
        <is>
          <t>Offshore</t>
        </is>
      </c>
      <c r="P41" t="n">
        <v>100</v>
      </c>
    </row>
    <row r="42">
      <c r="A42" s="206" t="inlineStr">
        <is>
          <t>Sreenu Bhupati</t>
        </is>
      </c>
      <c r="B42" s="207" t="n">
        <v>5</v>
      </c>
      <c r="C42" s="208" t="inlineStr">
        <is>
          <t>Kishore Meka</t>
        </is>
      </c>
      <c r="D42" s="208" t="inlineStr">
        <is>
          <t>Backend Developer</t>
        </is>
      </c>
      <c r="E42" s="208" t="inlineStr">
        <is>
          <t>Backend</t>
        </is>
      </c>
      <c r="F42" s="213">
        <f>SUMIFS('Work Items'!$O:$O,'Work Items'!$A:$A,"Task",'Work Items'!$J:$J,$A42,'Work Items'!$M:$M,"&gt;="&amp;$M$7,'Work Items'!$M:$M,"&lt;="&amp;$M$8)</f>
        <v/>
      </c>
      <c r="G42" s="213">
        <f>SUMIFS('Work Items'!$O:$O,'Work Items'!$A:$A,"Bug",'Work Items'!$J:$J,$A42,'Work Items'!$M:$M,"&gt;="&amp;$M$7,'Work Items'!$M:$M,"&lt;="&amp;$M$8)</f>
        <v/>
      </c>
      <c r="H42" s="213">
        <f>F42+G42</f>
        <v/>
      </c>
      <c r="I42" s="214">
        <f>IF($J42=0,0,$H42/$J42)</f>
        <v/>
      </c>
      <c r="J42" s="180" t="n">
        <v>0</v>
      </c>
      <c r="K42" s="181" t="inlineStr">
        <is>
          <t>Offshore</t>
        </is>
      </c>
      <c r="P42" t="n">
        <v>100</v>
      </c>
    </row>
    <row r="43">
      <c r="A43" s="206" t="inlineStr">
        <is>
          <t>Praveen Venkatesh</t>
        </is>
      </c>
      <c r="B43" s="207" t="n">
        <v>5</v>
      </c>
      <c r="C43" s="208" t="inlineStr">
        <is>
          <t>Kishore Meka</t>
        </is>
      </c>
      <c r="D43" s="208" t="inlineStr">
        <is>
          <t>QA Analyst</t>
        </is>
      </c>
      <c r="E43" s="208" t="inlineStr">
        <is>
          <t>QA</t>
        </is>
      </c>
      <c r="F43" s="213">
        <f>SUMIFS('Work Items'!$O:$O,'Work Items'!$A:$A,"Task",'Work Items'!$J:$J,$A43,'Work Items'!$M:$M,"&gt;="&amp;$M$7,'Work Items'!$M:$M,"&lt;="&amp;$M$8)</f>
        <v/>
      </c>
      <c r="G43" s="213">
        <f>SUMIFS('Work Items'!$O:$O,'Work Items'!$A:$A,"Bug",'Work Items'!$J:$J,$A43,'Work Items'!$M:$M,"&gt;="&amp;$M$7,'Work Items'!$M:$M,"&lt;="&amp;$M$8)</f>
        <v/>
      </c>
      <c r="H43" s="213">
        <f>F43+G43</f>
        <v/>
      </c>
      <c r="I43" s="214">
        <f>IF($J43=0,0,$H43/$J43)</f>
        <v/>
      </c>
      <c r="J43" s="180" t="n">
        <v>80</v>
      </c>
      <c r="K43" s="181" t="inlineStr">
        <is>
          <t>Offshore</t>
        </is>
      </c>
      <c r="P43" t="n">
        <v>100</v>
      </c>
    </row>
    <row r="44">
      <c r="A44" s="206" t="inlineStr">
        <is>
          <t>Sriram Vanumu</t>
        </is>
      </c>
      <c r="B44" s="207" t="n">
        <v>4</v>
      </c>
      <c r="C44" s="208" t="inlineStr">
        <is>
          <t>Jogesh Somisetti</t>
        </is>
      </c>
      <c r="D44" s="208" t="inlineStr">
        <is>
          <t>Backend Developer</t>
        </is>
      </c>
      <c r="E44" s="208" t="inlineStr">
        <is>
          <t>Backend</t>
        </is>
      </c>
      <c r="F44" s="213">
        <f>SUMIFS('Work Items'!$O:$O,'Work Items'!$A:$A,"Task",'Work Items'!$J:$J,$A44,'Work Items'!$M:$M,"&gt;="&amp;$M$7,'Work Items'!$M:$M,"&lt;="&amp;$M$8)</f>
        <v/>
      </c>
      <c r="G44" s="213">
        <f>SUMIFS('Work Items'!$O:$O,'Work Items'!$A:$A,"Bug",'Work Items'!$J:$J,$A44,'Work Items'!$M:$M,"&gt;="&amp;$M$7,'Work Items'!$M:$M,"&lt;="&amp;$M$8)</f>
        <v/>
      </c>
      <c r="H44" s="213">
        <f>F44+G44</f>
        <v/>
      </c>
      <c r="I44" s="214">
        <f>IF($J44=0,0,$H44/$J44)</f>
        <v/>
      </c>
      <c r="J44" s="180">
        <f>$M$11</f>
        <v/>
      </c>
      <c r="K44" s="181" t="inlineStr">
        <is>
          <t>Offshore</t>
        </is>
      </c>
      <c r="P44" t="n">
        <v>100</v>
      </c>
    </row>
    <row r="45">
      <c r="A45" s="206" t="inlineStr">
        <is>
          <t>Rajkumar Pichhiguntla</t>
        </is>
      </c>
      <c r="B45" s="207" t="n">
        <v>4</v>
      </c>
      <c r="C45" s="208" t="inlineStr">
        <is>
          <t>Lakshit Sharma</t>
        </is>
      </c>
      <c r="D45" s="208" t="inlineStr">
        <is>
          <t>Backend Developer</t>
        </is>
      </c>
      <c r="E45" s="208" t="inlineStr">
        <is>
          <t>Backend</t>
        </is>
      </c>
      <c r="F45" s="213">
        <f>SUMIFS('Work Items'!$O:$O,'Work Items'!$A:$A,"Task",'Work Items'!$J:$J,$A45,'Work Items'!$M:$M,"&gt;="&amp;$M$7,'Work Items'!$M:$M,"&lt;="&amp;$M$8)</f>
        <v/>
      </c>
      <c r="G45" s="213">
        <f>SUMIFS('Work Items'!$O:$O,'Work Items'!$A:$A,"Bug",'Work Items'!$J:$J,$A45,'Work Items'!$M:$M,"&gt;="&amp;$M$7,'Work Items'!$M:$M,"&lt;="&amp;$M$8)</f>
        <v/>
      </c>
      <c r="H45" s="213">
        <f>F45+G45</f>
        <v/>
      </c>
      <c r="I45" s="214">
        <f>IF($J45=0,0,$H45/$J45)</f>
        <v/>
      </c>
      <c r="J45" s="180">
        <f>$M$11</f>
        <v/>
      </c>
      <c r="K45" s="181" t="inlineStr">
        <is>
          <t>Offshore</t>
        </is>
      </c>
      <c r="P45" t="n">
        <v>100</v>
      </c>
    </row>
    <row r="46">
      <c r="A46" s="206" t="inlineStr">
        <is>
          <t>Janakiram Ankam</t>
        </is>
      </c>
      <c r="B46" s="207" t="n">
        <v>4</v>
      </c>
      <c r="C46" s="208" t="inlineStr">
        <is>
          <t>Kishore Kumar G</t>
        </is>
      </c>
      <c r="D46" s="208" t="inlineStr">
        <is>
          <t>Integration Developer</t>
        </is>
      </c>
      <c r="E46" s="208" t="inlineStr">
        <is>
          <t>Integration</t>
        </is>
      </c>
      <c r="F46" s="213">
        <f>SUMIFS('Work Items'!$O:$O,'Work Items'!$A:$A,"Task",'Work Items'!$J:$J,$A46,'Work Items'!$M:$M,"&gt;="&amp;$M$7,'Work Items'!$M:$M,"&lt;="&amp;$M$8)</f>
        <v/>
      </c>
      <c r="G46" s="213">
        <f>SUMIFS('Work Items'!$O:$O,'Work Items'!$A:$A,"Bug",'Work Items'!$J:$J,$A46,'Work Items'!$M:$M,"&gt;="&amp;$M$7,'Work Items'!$M:$M,"&lt;="&amp;$M$8)</f>
        <v/>
      </c>
      <c r="H46" s="213">
        <f>F46+G46</f>
        <v/>
      </c>
      <c r="I46" s="214">
        <f>IF($J46=0,0,$H46/$J46)</f>
        <v/>
      </c>
      <c r="J46" s="180">
        <f>$M$11</f>
        <v/>
      </c>
      <c r="K46" s="181" t="inlineStr">
        <is>
          <t>Offshore</t>
        </is>
      </c>
      <c r="P46" t="n">
        <v>100</v>
      </c>
    </row>
    <row r="47"/>
    <row r="48">
      <c r="A48" s="209" t="inlineStr">
        <is>
          <t>Note: Orange rows = Support Team (80 hrs capacity vs 136).</t>
        </is>
      </c>
    </row>
  </sheetData>
  <mergeCells count="3">
    <mergeCell ref="A1:I1"/>
    <mergeCell ref="A3:I3"/>
    <mergeCell ref="A2:I2"/>
  </mergeCells>
  <dataValidations count="1">
    <dataValidation sqref="K7:K46" showDropDown="0" showInputMessage="1" showErrorMessage="1" allowBlank="1" type="list">
      <formula1>"Onsite,Offshore"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7391"/>
    <outlinePr summaryBelow="1" summaryRight="1"/>
    <pageSetUpPr/>
  </sheetPr>
  <dimension ref="A1:H35"/>
  <sheetViews>
    <sheetView tabSelected="1" workbookViewId="0">
      <pane ySplit="4" topLeftCell="A5" activePane="bottomLeft" state="frozen"/>
      <selection pane="bottomLeft" activeCell="E12" sqref="E12"/>
    </sheetView>
  </sheetViews>
  <sheetFormatPr baseColWidth="10" defaultColWidth="8.83203125" defaultRowHeight="15"/>
  <cols>
    <col width="28" customWidth="1" style="66" min="1" max="1"/>
    <col width="25" customWidth="1" style="66" min="2" max="2"/>
    <col width="14" customWidth="1" style="66" min="3" max="5"/>
    <col width="12" customWidth="1" style="66" min="6" max="7"/>
    <col width="14" customWidth="1" style="66" min="8" max="8"/>
  </cols>
  <sheetData>
    <row r="1" ht="28" customHeight="1" s="66">
      <c r="A1" s="83" t="inlineStr">
        <is>
          <t>OrbitFlow — Planned vs Actual Effort  |  Formulas from Work Items</t>
        </is>
      </c>
    </row>
    <row r="2" ht="18" customHeight="1" s="66">
      <c r="A2" s="82" t="inlineStr">
        <is>
          <t>Planned = Original Effort (hrs)  ·  Actual = Actual Effort (hrs)  ·  Variance = Planned − Actual  ·  Source: Work Items sheet</t>
        </is>
      </c>
    </row>
    <row r="3" ht="6" customHeight="1" s="66">
      <c r="A3" s="73" t="n"/>
    </row>
    <row r="4" ht="28" customHeight="1" s="66">
      <c r="A4" s="38" t="inlineStr">
        <is>
          <t>Resource</t>
        </is>
      </c>
      <c r="B4" s="38" t="inlineStr">
        <is>
          <t>Module (Project)</t>
        </is>
      </c>
      <c r="C4" s="38" t="inlineStr">
        <is>
          <t>Type</t>
        </is>
      </c>
      <c r="D4" s="38" t="inlineStr">
        <is>
          <t>Planned Hrs</t>
        </is>
      </c>
      <c r="E4" s="38" t="inlineStr">
        <is>
          <t>Actual Hrs</t>
        </is>
      </c>
      <c r="F4" s="38" t="inlineStr">
        <is>
          <t>Variance</t>
        </is>
      </c>
      <c r="G4" s="38" t="inlineStr">
        <is>
          <t>Variance %</t>
        </is>
      </c>
      <c r="H4" s="38" t="inlineStr">
        <is>
          <t>Status</t>
        </is>
      </c>
    </row>
    <row r="5" ht="18" customHeight="1" s="66">
      <c r="A5" s="101" t="inlineStr">
        <is>
          <t>Chaitanya Goriparthi</t>
        </is>
      </c>
      <c r="B5" s="101" t="inlineStr">
        <is>
          <t>4Media Phase 3</t>
        </is>
      </c>
      <c r="C5" s="33" t="inlineStr">
        <is>
          <t>Bug</t>
        </is>
      </c>
      <c r="D5" s="25">
        <f>IFERROR(SUMIFS('Work Items'!N:N,'Work Items'!J:J,A5,'Work Items'!D:D,B5,'Work Items'!A:A,C5),0)</f>
        <v/>
      </c>
      <c r="E5" s="25">
        <f>IFERROR(SUMIFS('Work Items'!O:O,'Work Items'!J:J,A5,'Work Items'!D:D,B5,'Work Items'!A:A,C5),0)</f>
        <v/>
      </c>
      <c r="F5" s="9">
        <f>D5-E5</f>
        <v/>
      </c>
      <c r="G5" s="215">
        <f>IFERROR((D5-E5)/D5,0)</f>
        <v/>
      </c>
      <c r="H5" s="92">
        <f>IF(F5&gt;0,"Ahead "&amp; TEXT(ABS(F5),"0")&amp;" hrs",IF(F5&lt;0,"Behind "&amp; TEXT(ABS(F5),"0")&amp;" hrs","On Track"))</f>
        <v/>
      </c>
    </row>
    <row r="6" ht="18" customHeight="1" s="66">
      <c r="A6" s="22" t="inlineStr">
        <is>
          <t>Chaitanya Goriparthi</t>
        </is>
      </c>
      <c r="B6" s="22" t="inlineStr">
        <is>
          <t>4Media Phase 3</t>
        </is>
      </c>
      <c r="C6" s="40" t="inlineStr">
        <is>
          <t>Task</t>
        </is>
      </c>
      <c r="D6" s="36">
        <f>IFERROR(SUMIFS('Work Items'!N:N,'Work Items'!J:J,A6,'Work Items'!D:D,B6,'Work Items'!A:A,C6),0)</f>
        <v/>
      </c>
      <c r="E6" s="36">
        <f>IFERROR(SUMIFS('Work Items'!O:O,'Work Items'!J:J,A6,'Work Items'!D:D,B6,'Work Items'!A:A,C6),0)</f>
        <v/>
      </c>
      <c r="F6" s="9">
        <f>D6-E6</f>
        <v/>
      </c>
      <c r="G6" s="215">
        <f>IFERROR((D6-E6)/D6,0)</f>
        <v/>
      </c>
      <c r="H6" s="92">
        <f>IF(F6&gt;0,"Ahead "&amp; TEXT(ABS(F6),"0")&amp;" hrs",IF(F6&lt;0,"Behind "&amp; TEXT(ABS(F6),"0")&amp;" hrs","On Track"))</f>
        <v/>
      </c>
    </row>
    <row r="7" ht="18" customHeight="1" s="66">
      <c r="A7" s="101" t="inlineStr">
        <is>
          <t>Dee Reddy</t>
        </is>
      </c>
      <c r="B7" s="101" t="inlineStr">
        <is>
          <t>4Media Phase 3</t>
        </is>
      </c>
      <c r="C7" s="40" t="inlineStr">
        <is>
          <t>Task</t>
        </is>
      </c>
      <c r="D7" s="25">
        <f>IFERROR(SUMIFS('Work Items'!N:N,'Work Items'!J:J,A7,'Work Items'!D:D,B7,'Work Items'!A:A,C7),0)</f>
        <v/>
      </c>
      <c r="E7" s="25">
        <f>IFERROR(SUMIFS('Work Items'!O:O,'Work Items'!J:J,A7,'Work Items'!D:D,B7,'Work Items'!A:A,C7),0)</f>
        <v/>
      </c>
      <c r="F7" s="9">
        <f>D7-E7</f>
        <v/>
      </c>
      <c r="G7" s="215">
        <f>IFERROR((D7-E7)/D7,0)</f>
        <v/>
      </c>
      <c r="H7" s="92">
        <f>IF(F7&gt;0,"Ahead "&amp; TEXT(ABS(F7),"0")&amp;" hrs",IF(F7&lt;0,"Behind "&amp; TEXT(ABS(F7),"0")&amp;" hrs","On Track"))</f>
        <v/>
      </c>
    </row>
    <row r="8" ht="18" customHeight="1" s="66">
      <c r="A8" s="22" t="inlineStr">
        <is>
          <t>Dhikshitha Rekulapally</t>
        </is>
      </c>
      <c r="B8" s="22" t="inlineStr">
        <is>
          <t>4Media Phase 3</t>
        </is>
      </c>
      <c r="C8" s="40" t="inlineStr">
        <is>
          <t>Task</t>
        </is>
      </c>
      <c r="D8" s="36">
        <f>IFERROR(SUMIFS('Work Items'!N:N,'Work Items'!J:J,A8,'Work Items'!D:D,B8,'Work Items'!A:A,C8),0)</f>
        <v/>
      </c>
      <c r="E8" s="36">
        <f>IFERROR(SUMIFS('Work Items'!O:O,'Work Items'!J:J,A8,'Work Items'!D:D,B8,'Work Items'!A:A,C8),0)</f>
        <v/>
      </c>
      <c r="F8" s="9">
        <f>D8-E8</f>
        <v/>
      </c>
      <c r="G8" s="215">
        <f>IFERROR((D8-E8)/D8,0)</f>
        <v/>
      </c>
      <c r="H8" s="92">
        <f>IF(F8&gt;0,"Ahead "&amp; TEXT(ABS(F8),"0")&amp;" hrs",IF(F8&lt;0,"Behind "&amp; TEXT(ABS(F8),"0")&amp;" hrs","On Track"))</f>
        <v/>
      </c>
    </row>
    <row r="9" ht="18" customHeight="1" s="66">
      <c r="A9" s="101" t="inlineStr">
        <is>
          <t>Vasudev Irla</t>
        </is>
      </c>
      <c r="B9" s="101" t="inlineStr">
        <is>
          <t>4Media Phase 3</t>
        </is>
      </c>
      <c r="C9" s="33" t="inlineStr">
        <is>
          <t>Bug</t>
        </is>
      </c>
      <c r="D9" s="25">
        <f>IFERROR(SUMIFS('Work Items'!N:N,'Work Items'!J:J,A9,'Work Items'!D:D,B9,'Work Items'!A:A,C9),0)</f>
        <v/>
      </c>
      <c r="E9" s="25">
        <f>IFERROR(SUMIFS('Work Items'!O:O,'Work Items'!J:J,A9,'Work Items'!D:D,B9,'Work Items'!A:A,C9),0)</f>
        <v/>
      </c>
      <c r="F9" s="9">
        <f>D9-E9</f>
        <v/>
      </c>
      <c r="G9" s="215">
        <f>IFERROR((D9-E9)/D9,0)</f>
        <v/>
      </c>
      <c r="H9" s="92">
        <f>IF(F9&gt;0,"Ahead "&amp; TEXT(ABS(F9),"0")&amp;" hrs",IF(F9&lt;0,"Behind "&amp; TEXT(ABS(F9),"0")&amp;" hrs","On Track"))</f>
        <v/>
      </c>
    </row>
    <row r="10" ht="18" customHeight="1" s="66">
      <c r="A10" s="22" t="inlineStr">
        <is>
          <t>Vasudev Irla</t>
        </is>
      </c>
      <c r="B10" s="22" t="inlineStr">
        <is>
          <t>4Media Phase 3</t>
        </is>
      </c>
      <c r="C10" s="40" t="inlineStr">
        <is>
          <t>Task</t>
        </is>
      </c>
      <c r="D10" s="36">
        <f>IFERROR(SUMIFS('Work Items'!N:N,'Work Items'!J:J,A10,'Work Items'!D:D,B10,'Work Items'!A:A,C10),0)</f>
        <v/>
      </c>
      <c r="E10" s="36">
        <f>IFERROR(SUMIFS('Work Items'!O:O,'Work Items'!J:J,A10,'Work Items'!D:D,B10,'Work Items'!A:A,C10),0)</f>
        <v/>
      </c>
      <c r="F10" s="9">
        <f>D10-E10</f>
        <v/>
      </c>
      <c r="G10" s="215">
        <f>IFERROR((D10-E10)/D10,0)</f>
        <v/>
      </c>
      <c r="H10" s="92">
        <f>IF(F10&gt;0,"Ahead "&amp; TEXT(ABS(F10),"0")&amp;" hrs",IF(F10&lt;0,"Behind "&amp; TEXT(ABS(F10),"0")&amp;" hrs","On Track"))</f>
        <v/>
      </c>
    </row>
    <row r="11" ht="18" customHeight="1" s="66">
      <c r="A11" s="101" t="inlineStr">
        <is>
          <t>Akhil Kotagiri</t>
        </is>
      </c>
      <c r="B11" s="101" t="inlineStr">
        <is>
          <t>Control Solutions</t>
        </is>
      </c>
      <c r="C11" s="33" t="inlineStr">
        <is>
          <t>Bug</t>
        </is>
      </c>
      <c r="D11" s="25">
        <f>IFERROR(SUMIFS('Work Items'!N:N,'Work Items'!J:J,A11,'Work Items'!D:D,B11,'Work Items'!A:A,C11),0)</f>
        <v/>
      </c>
      <c r="E11" s="25">
        <f>IFERROR(SUMIFS('Work Items'!O:O,'Work Items'!J:J,A11,'Work Items'!D:D,B11,'Work Items'!A:A,C11),0)</f>
        <v/>
      </c>
      <c r="F11" s="9">
        <f>D11-E11</f>
        <v/>
      </c>
      <c r="G11" s="215">
        <f>IFERROR((D11-E11)/D11,0)</f>
        <v/>
      </c>
      <c r="H11" s="92">
        <f>IF(F11&gt;0,"Ahead "&amp; TEXT(ABS(F11),"0")&amp;" hrs",IF(F11&lt;0,"Behind "&amp; TEXT(ABS(F11),"0")&amp;" hrs","On Track"))</f>
        <v/>
      </c>
    </row>
    <row r="12" ht="18" customHeight="1" s="66">
      <c r="A12" s="22" t="inlineStr">
        <is>
          <t>Akhil Kotagiri</t>
        </is>
      </c>
      <c r="B12" s="22" t="inlineStr">
        <is>
          <t>Control Solutions</t>
        </is>
      </c>
      <c r="C12" s="40" t="inlineStr">
        <is>
          <t>Task</t>
        </is>
      </c>
      <c r="D12" s="36">
        <f>IFERROR(SUMIFS('Work Items'!N:N,'Work Items'!J:J,A12,'Work Items'!D:D,B12,'Work Items'!A:A,C12),0)</f>
        <v/>
      </c>
      <c r="E12" s="36">
        <f>IFERROR(SUMIFS('Work Items'!O:O,'Work Items'!J:J,A12,'Work Items'!D:D,B12,'Work Items'!A:A,C12),0)</f>
        <v/>
      </c>
      <c r="F12" s="9">
        <f>D12-E12</f>
        <v/>
      </c>
      <c r="G12" s="215">
        <f>IFERROR((D12-E12)/D12,0)</f>
        <v/>
      </c>
      <c r="H12" s="92">
        <f>IF(F12&gt;0,"Ahead "&amp; TEXT(ABS(F12),"0")&amp;" hrs",IF(F12&lt;0,"Behind "&amp; TEXT(ABS(F12),"0")&amp;" hrs","On Track"))</f>
        <v/>
      </c>
    </row>
    <row r="13" ht="18" customHeight="1" s="66">
      <c r="A13" s="101" t="inlineStr">
        <is>
          <t>Ester Rani Ganji</t>
        </is>
      </c>
      <c r="B13" s="101" t="inlineStr">
        <is>
          <t>Control Solutions</t>
        </is>
      </c>
      <c r="C13" s="40" t="inlineStr">
        <is>
          <t>Task</t>
        </is>
      </c>
      <c r="D13" s="25">
        <f>IFERROR(SUMIFS('Work Items'!N:N,'Work Items'!J:J,A13,'Work Items'!D:D,B13,'Work Items'!A:A,C13),0)</f>
        <v/>
      </c>
      <c r="E13" s="25">
        <f>IFERROR(SUMIFS('Work Items'!O:O,'Work Items'!J:J,A13,'Work Items'!D:D,B13,'Work Items'!A:A,C13),0)</f>
        <v/>
      </c>
      <c r="F13" s="9">
        <f>D13-E13</f>
        <v/>
      </c>
      <c r="G13" s="215">
        <f>IFERROR((D13-E13)/D13,0)</f>
        <v/>
      </c>
      <c r="H13" s="92">
        <f>IF(F13&gt;0,"Ahead "&amp; TEXT(ABS(F13),"0")&amp;" hrs",IF(F13&lt;0,"Behind "&amp; TEXT(ABS(F13),"0")&amp;" hrs","On Track"))</f>
        <v/>
      </c>
    </row>
    <row r="14" ht="18" customHeight="1" s="66">
      <c r="A14" s="22" t="inlineStr">
        <is>
          <t>Jeevan Babu Paruchuri</t>
        </is>
      </c>
      <c r="B14" s="22" t="inlineStr">
        <is>
          <t>Control Solutions</t>
        </is>
      </c>
      <c r="C14" s="40" t="inlineStr">
        <is>
          <t>Task</t>
        </is>
      </c>
      <c r="D14" s="36">
        <f>IFERROR(SUMIFS('Work Items'!N:N,'Work Items'!J:J,A14,'Work Items'!D:D,B14,'Work Items'!A:A,C14),0)</f>
        <v/>
      </c>
      <c r="E14" s="36">
        <f>IFERROR(SUMIFS('Work Items'!O:O,'Work Items'!J:J,A14,'Work Items'!D:D,B14,'Work Items'!A:A,C14),0)</f>
        <v/>
      </c>
      <c r="F14" s="9">
        <f>D14-E14</f>
        <v/>
      </c>
      <c r="G14" s="215">
        <f>IFERROR((D14-E14)/D14,0)</f>
        <v/>
      </c>
      <c r="H14" s="92">
        <f>IF(F14&gt;0,"Ahead "&amp; TEXT(ABS(F14),"0")&amp;" hrs",IF(F14&lt;0,"Behind "&amp; TEXT(ABS(F14),"0")&amp;" hrs","On Track"))</f>
        <v/>
      </c>
    </row>
    <row r="15" ht="18" customHeight="1" s="66">
      <c r="A15" s="101" t="inlineStr">
        <is>
          <t>Nagarjuna Reddy Sadhu</t>
        </is>
      </c>
      <c r="B15" s="101" t="inlineStr">
        <is>
          <t>Control Solutions</t>
        </is>
      </c>
      <c r="C15" s="33" t="inlineStr">
        <is>
          <t>Bug</t>
        </is>
      </c>
      <c r="D15" s="25">
        <f>IFERROR(SUMIFS('Work Items'!N:N,'Work Items'!J:J,A15,'Work Items'!D:D,B15,'Work Items'!A:A,C15),0)</f>
        <v/>
      </c>
      <c r="E15" s="25">
        <f>IFERROR(SUMIFS('Work Items'!O:O,'Work Items'!J:J,A15,'Work Items'!D:D,B15,'Work Items'!A:A,C15),0)</f>
        <v/>
      </c>
      <c r="F15" s="9">
        <f>D15-E15</f>
        <v/>
      </c>
      <c r="G15" s="215">
        <f>IFERROR((D15-E15)/D15,0)</f>
        <v/>
      </c>
      <c r="H15" s="92">
        <f>IF(F15&gt;0,"Ahead "&amp; TEXT(ABS(F15),"0")&amp;" hrs",IF(F15&lt;0,"Behind "&amp; TEXT(ABS(F15),"0")&amp;" hrs","On Track"))</f>
        <v/>
      </c>
    </row>
    <row r="16" ht="18" customHeight="1" s="66">
      <c r="A16" s="22" t="inlineStr">
        <is>
          <t>Nagarjuna Reddy Sadhu</t>
        </is>
      </c>
      <c r="B16" s="22" t="inlineStr">
        <is>
          <t>Control Solutions</t>
        </is>
      </c>
      <c r="C16" s="40" t="inlineStr">
        <is>
          <t>Task</t>
        </is>
      </c>
      <c r="D16" s="36">
        <f>IFERROR(SUMIFS('Work Items'!N:N,'Work Items'!J:J,A16,'Work Items'!D:D,B16,'Work Items'!A:A,C16),0)</f>
        <v/>
      </c>
      <c r="E16" s="36">
        <f>IFERROR(SUMIFS('Work Items'!O:O,'Work Items'!J:J,A16,'Work Items'!D:D,B16,'Work Items'!A:A,C16),0)</f>
        <v/>
      </c>
      <c r="F16" s="9">
        <f>D16-E16</f>
        <v/>
      </c>
      <c r="G16" s="215">
        <f>IFERROR((D16-E16)/D16,0)</f>
        <v/>
      </c>
      <c r="H16" s="92">
        <f>IF(F16&gt;0,"Ahead "&amp; TEXT(ABS(F16),"0")&amp;" hrs",IF(F16&lt;0,"Behind "&amp; TEXT(ABS(F16),"0")&amp;" hrs","On Track"))</f>
        <v/>
      </c>
    </row>
    <row r="17" ht="18" customHeight="1" s="66">
      <c r="A17" s="101" t="inlineStr">
        <is>
          <t>Seeham Saber Hussain</t>
        </is>
      </c>
      <c r="B17" s="101" t="inlineStr">
        <is>
          <t>Control Solutions</t>
        </is>
      </c>
      <c r="C17" s="40" t="inlineStr">
        <is>
          <t>Task</t>
        </is>
      </c>
      <c r="D17" s="25">
        <f>IFERROR(SUMIFS('Work Items'!N:N,'Work Items'!J:J,A17,'Work Items'!D:D,B17,'Work Items'!A:A,C17),0)</f>
        <v/>
      </c>
      <c r="E17" s="25">
        <f>IFERROR(SUMIFS('Work Items'!O:O,'Work Items'!J:J,A17,'Work Items'!D:D,B17,'Work Items'!A:A,C17),0)</f>
        <v/>
      </c>
      <c r="F17" s="9">
        <f>D17-E17</f>
        <v/>
      </c>
      <c r="G17" s="215">
        <f>IFERROR((D17-E17)/D17,0)</f>
        <v/>
      </c>
      <c r="H17" s="92">
        <f>IF(F17&gt;0,"Ahead "&amp; TEXT(ABS(F17),"0")&amp;" hrs",IF(F17&lt;0,"Behind "&amp; TEXT(ABS(F17),"0")&amp;" hrs","On Track"))</f>
        <v/>
      </c>
    </row>
    <row r="18" ht="18" customHeight="1" s="66">
      <c r="A18" s="22" t="inlineStr">
        <is>
          <t>Sureshkumar Gidugu</t>
        </is>
      </c>
      <c r="B18" s="22" t="inlineStr">
        <is>
          <t>Control Solutions</t>
        </is>
      </c>
      <c r="C18" s="33" t="inlineStr">
        <is>
          <t>Bug</t>
        </is>
      </c>
      <c r="D18" s="36">
        <f>IFERROR(SUMIFS('Work Items'!N:N,'Work Items'!J:J,A18,'Work Items'!D:D,B18,'Work Items'!A:A,C18),0)</f>
        <v/>
      </c>
      <c r="E18" s="36">
        <f>IFERROR(SUMIFS('Work Items'!O:O,'Work Items'!J:J,A18,'Work Items'!D:D,B18,'Work Items'!A:A,C18),0)</f>
        <v/>
      </c>
      <c r="F18" s="9">
        <f>D18-E18</f>
        <v/>
      </c>
      <c r="G18" s="215">
        <f>IFERROR((D18-E18)/D18,0)</f>
        <v/>
      </c>
      <c r="H18" s="92">
        <f>IF(F18&gt;0,"Ahead "&amp; TEXT(ABS(F18),"0")&amp;" hrs",IF(F18&lt;0,"Behind "&amp; TEXT(ABS(F18),"0")&amp;" hrs","On Track"))</f>
        <v/>
      </c>
    </row>
    <row r="19" ht="18" customHeight="1" s="66">
      <c r="A19" s="101" t="inlineStr">
        <is>
          <t>Sureshkumar Gidugu</t>
        </is>
      </c>
      <c r="B19" s="101" t="inlineStr">
        <is>
          <t>Control Solutions</t>
        </is>
      </c>
      <c r="C19" s="40" t="inlineStr">
        <is>
          <t>Task</t>
        </is>
      </c>
      <c r="D19" s="25">
        <f>IFERROR(SUMIFS('Work Items'!N:N,'Work Items'!J:J,A19,'Work Items'!D:D,B19,'Work Items'!A:A,C19),0)</f>
        <v/>
      </c>
      <c r="E19" s="25">
        <f>IFERROR(SUMIFS('Work Items'!O:O,'Work Items'!J:J,A19,'Work Items'!D:D,B19,'Work Items'!A:A,C19),0)</f>
        <v/>
      </c>
      <c r="F19" s="9">
        <f>D19-E19</f>
        <v/>
      </c>
      <c r="G19" s="215">
        <f>IFERROR((D19-E19)/D19,0)</f>
        <v/>
      </c>
      <c r="H19" s="92">
        <f>IF(F19&gt;0,"Ahead "&amp; TEXT(ABS(F19),"0")&amp;" hrs",IF(F19&lt;0,"Behind "&amp; TEXT(ABS(F19),"0")&amp;" hrs","On Track"))</f>
        <v/>
      </c>
    </row>
    <row r="20" ht="18" customHeight="1" s="66">
      <c r="A20" s="22" t="inlineStr">
        <is>
          <t>Tejaswini Reddy Tamma</t>
        </is>
      </c>
      <c r="B20" s="22" t="inlineStr">
        <is>
          <t>Control Solutions</t>
        </is>
      </c>
      <c r="C20" s="40" t="inlineStr">
        <is>
          <t>Task</t>
        </is>
      </c>
      <c r="D20" s="36">
        <f>IFERROR(SUMIFS('Work Items'!N:N,'Work Items'!J:J,A20,'Work Items'!D:D,B20,'Work Items'!A:A,C20),0)</f>
        <v/>
      </c>
      <c r="E20" s="36">
        <f>IFERROR(SUMIFS('Work Items'!O:O,'Work Items'!J:J,A20,'Work Items'!D:D,B20,'Work Items'!A:A,C20),0)</f>
        <v/>
      </c>
      <c r="F20" s="9">
        <f>D20-E20</f>
        <v/>
      </c>
      <c r="G20" s="215">
        <f>IFERROR((D20-E20)/D20,0)</f>
        <v/>
      </c>
      <c r="H20" s="92">
        <f>IF(F20&gt;0,"Ahead "&amp; TEXT(ABS(F20),"0")&amp;" hrs",IF(F20&lt;0,"Behind "&amp; TEXT(ABS(F20),"0")&amp;" hrs","On Track"))</f>
        <v/>
      </c>
    </row>
    <row r="21" ht="18" customHeight="1" s="66">
      <c r="A21" s="101" t="inlineStr">
        <is>
          <t>Vishnudeep</t>
        </is>
      </c>
      <c r="B21" s="101" t="inlineStr">
        <is>
          <t>Control Solutions</t>
        </is>
      </c>
      <c r="C21" s="33" t="inlineStr">
        <is>
          <t>Bug</t>
        </is>
      </c>
      <c r="D21" s="25">
        <f>IFERROR(SUMIFS('Work Items'!N:N,'Work Items'!J:J,A21,'Work Items'!D:D,B21,'Work Items'!A:A,C21),0)</f>
        <v/>
      </c>
      <c r="E21" s="25">
        <f>IFERROR(SUMIFS('Work Items'!O:O,'Work Items'!J:J,A21,'Work Items'!D:D,B21,'Work Items'!A:A,C21),0)</f>
        <v/>
      </c>
      <c r="F21" s="9">
        <f>D21-E21</f>
        <v/>
      </c>
      <c r="G21" s="215">
        <f>IFERROR((D21-E21)/D21,0)</f>
        <v/>
      </c>
      <c r="H21" s="92">
        <f>IF(F21&gt;0,"Ahead "&amp; TEXT(ABS(F21),"0")&amp;" hrs",IF(F21&lt;0,"Behind "&amp; TEXT(ABS(F21),"0")&amp;" hrs","On Track"))</f>
        <v/>
      </c>
    </row>
    <row r="22" ht="18" customHeight="1" s="66">
      <c r="A22" s="22" t="inlineStr">
        <is>
          <t>Vishnudeep</t>
        </is>
      </c>
      <c r="B22" s="22" t="inlineStr">
        <is>
          <t>Control Solutions</t>
        </is>
      </c>
      <c r="C22" s="40" t="inlineStr">
        <is>
          <t>Task</t>
        </is>
      </c>
      <c r="D22" s="36">
        <f>IFERROR(SUMIFS('Work Items'!N:N,'Work Items'!J:J,A22,'Work Items'!D:D,B22,'Work Items'!A:A,C22),0)</f>
        <v/>
      </c>
      <c r="E22" s="36">
        <f>IFERROR(SUMIFS('Work Items'!O:O,'Work Items'!J:J,A22,'Work Items'!D:D,B22,'Work Items'!A:A,C22),0)</f>
        <v/>
      </c>
      <c r="F22" s="9">
        <f>D22-E22</f>
        <v/>
      </c>
      <c r="G22" s="215">
        <f>IFERROR((D22-E22)/D22,0)</f>
        <v/>
      </c>
      <c r="H22" s="92">
        <f>IF(F22&gt;0,"Ahead "&amp; TEXT(ABS(F22),"0")&amp;" hrs",IF(F22&lt;0,"Behind "&amp; TEXT(ABS(F22),"0")&amp;" hrs","On Track"))</f>
        <v/>
      </c>
    </row>
    <row r="23" ht="18" customHeight="1" s="66">
      <c r="A23" s="101" t="inlineStr">
        <is>
          <t>Prateek Shinde</t>
        </is>
      </c>
      <c r="B23" s="101" t="inlineStr">
        <is>
          <t>GCI Phase 1</t>
        </is>
      </c>
      <c r="C23" s="40" t="inlineStr">
        <is>
          <t>Task</t>
        </is>
      </c>
      <c r="D23" s="25">
        <f>IFERROR(SUMIFS('Work Items'!N:N,'Work Items'!J:J,A23,'Work Items'!D:D,B23,'Work Items'!A:A,C23),0)</f>
        <v/>
      </c>
      <c r="E23" s="25">
        <f>IFERROR(SUMIFS('Work Items'!O:O,'Work Items'!J:J,A23,'Work Items'!D:D,B23,'Work Items'!A:A,C23),0)</f>
        <v/>
      </c>
      <c r="F23" s="9">
        <f>D23-E23</f>
        <v/>
      </c>
      <c r="G23" s="215">
        <f>IFERROR((D23-E23)/D23,0)</f>
        <v/>
      </c>
      <c r="H23" s="92">
        <f>IF(F23&gt;0,"Ahead "&amp; TEXT(ABS(F23),"0")&amp;" hrs",IF(F23&lt;0,"Behind "&amp; TEXT(ABS(F23),"0")&amp;" hrs","On Track"))</f>
        <v/>
      </c>
    </row>
    <row r="24" ht="18" customHeight="1" s="66">
      <c r="A24" s="22" t="inlineStr">
        <is>
          <t>Sudhakar Reddy Lekkala</t>
        </is>
      </c>
      <c r="B24" s="22" t="inlineStr">
        <is>
          <t>GCI Phase 1</t>
        </is>
      </c>
      <c r="C24" s="33" t="inlineStr">
        <is>
          <t>Bug</t>
        </is>
      </c>
      <c r="D24" s="36">
        <f>IFERROR(SUMIFS('Work Items'!N:N,'Work Items'!J:J,A24,'Work Items'!D:D,B24,'Work Items'!A:A,C24),0)</f>
        <v/>
      </c>
      <c r="E24" s="36">
        <f>IFERROR(SUMIFS('Work Items'!O:O,'Work Items'!J:J,A24,'Work Items'!D:D,B24,'Work Items'!A:A,C24),0)</f>
        <v/>
      </c>
      <c r="F24" s="9">
        <f>D24-E24</f>
        <v/>
      </c>
      <c r="G24" s="215">
        <f>IFERROR((D24-E24)/D24,0)</f>
        <v/>
      </c>
      <c r="H24" s="92">
        <f>IF(F24&gt;0,"Ahead "&amp; TEXT(ABS(F24),"0")&amp;" hrs",IF(F24&lt;0,"Behind "&amp; TEXT(ABS(F24),"0")&amp;" hrs","On Track"))</f>
        <v/>
      </c>
    </row>
    <row r="25" ht="18" customHeight="1" s="66">
      <c r="A25" s="101" t="inlineStr">
        <is>
          <t>Sudhakar Reddy Lekkala</t>
        </is>
      </c>
      <c r="B25" s="101" t="inlineStr">
        <is>
          <t>GCI Phase 1</t>
        </is>
      </c>
      <c r="C25" s="40" t="inlineStr">
        <is>
          <t>Task</t>
        </is>
      </c>
      <c r="D25" s="25">
        <f>IFERROR(SUMIFS('Work Items'!N:N,'Work Items'!J:J,A25,'Work Items'!D:D,B25,'Work Items'!A:A,C25),0)</f>
        <v/>
      </c>
      <c r="E25" s="25">
        <f>IFERROR(SUMIFS('Work Items'!O:O,'Work Items'!J:J,A25,'Work Items'!D:D,B25,'Work Items'!A:A,C25),0)</f>
        <v/>
      </c>
      <c r="F25" s="9">
        <f>D25-E25</f>
        <v/>
      </c>
      <c r="G25" s="215">
        <f>IFERROR((D25-E25)/D25,0)</f>
        <v/>
      </c>
      <c r="H25" s="92">
        <f>IF(F25&gt;0,"Ahead "&amp; TEXT(ABS(F25),"0")&amp;" hrs",IF(F25&lt;0,"Behind "&amp; TEXT(ABS(F25),"0")&amp;" hrs","On Track"))</f>
        <v/>
      </c>
    </row>
    <row r="26" ht="18" customHeight="1" s="66">
      <c r="A26" s="22" t="inlineStr">
        <is>
          <t>Ester Rani Ganji</t>
        </is>
      </c>
      <c r="B26" s="22" t="inlineStr">
        <is>
          <t>Levata</t>
        </is>
      </c>
      <c r="C26" s="40" t="inlineStr">
        <is>
          <t>Task</t>
        </is>
      </c>
      <c r="D26" s="36">
        <f>IFERROR(SUMIFS('Work Items'!N:N,'Work Items'!J:J,A26,'Work Items'!D:D,B26,'Work Items'!A:A,C26),0)</f>
        <v/>
      </c>
      <c r="E26" s="36">
        <f>IFERROR(SUMIFS('Work Items'!O:O,'Work Items'!J:J,A26,'Work Items'!D:D,B26,'Work Items'!A:A,C26),0)</f>
        <v/>
      </c>
      <c r="F26" s="9">
        <f>D26-E26</f>
        <v/>
      </c>
      <c r="G26" s="215">
        <f>IFERROR((D26-E26)/D26,0)</f>
        <v/>
      </c>
      <c r="H26" s="92">
        <f>IF(F26&gt;0,"Ahead "&amp; TEXT(ABS(F26),"0")&amp;" hrs",IF(F26&lt;0,"Behind "&amp; TEXT(ABS(F26),"0")&amp;" hrs","On Track"))</f>
        <v/>
      </c>
    </row>
    <row r="27" ht="18" customHeight="1" s="66">
      <c r="A27" s="101" t="inlineStr">
        <is>
          <t>Kailash Reddy</t>
        </is>
      </c>
      <c r="B27" s="101" t="inlineStr">
        <is>
          <t>Levata</t>
        </is>
      </c>
      <c r="C27" s="33" t="inlineStr">
        <is>
          <t>Bug</t>
        </is>
      </c>
      <c r="D27" s="25">
        <f>IFERROR(SUMIFS('Work Items'!N:N,'Work Items'!J:J,A27,'Work Items'!D:D,B27,'Work Items'!A:A,C27),0)</f>
        <v/>
      </c>
      <c r="E27" s="25">
        <f>IFERROR(SUMIFS('Work Items'!O:O,'Work Items'!J:J,A27,'Work Items'!D:D,B27,'Work Items'!A:A,C27),0)</f>
        <v/>
      </c>
      <c r="F27" s="9">
        <f>D27-E27</f>
        <v/>
      </c>
      <c r="G27" s="215">
        <f>IFERROR((D27-E27)/D27,0)</f>
        <v/>
      </c>
      <c r="H27" s="92">
        <f>IF(F27&gt;0,"Ahead "&amp; TEXT(ABS(F27),"0")&amp;" hrs",IF(F27&lt;0,"Behind "&amp; TEXT(ABS(F27),"0")&amp;" hrs","On Track"))</f>
        <v/>
      </c>
    </row>
    <row r="28" ht="18" customHeight="1" s="66">
      <c r="A28" s="22" t="inlineStr">
        <is>
          <t>Kailash Reddy</t>
        </is>
      </c>
      <c r="B28" s="22" t="inlineStr">
        <is>
          <t>Levata</t>
        </is>
      </c>
      <c r="C28" s="40" t="inlineStr">
        <is>
          <t>Task</t>
        </is>
      </c>
      <c r="D28" s="36">
        <f>IFERROR(SUMIFS('Work Items'!N:N,'Work Items'!J:J,A28,'Work Items'!D:D,B28,'Work Items'!A:A,C28),0)</f>
        <v/>
      </c>
      <c r="E28" s="36">
        <f>IFERROR(SUMIFS('Work Items'!O:O,'Work Items'!J:J,A28,'Work Items'!D:D,B28,'Work Items'!A:A,C28),0)</f>
        <v/>
      </c>
      <c r="F28" s="9">
        <f>D28-E28</f>
        <v/>
      </c>
      <c r="G28" s="215">
        <f>IFERROR((D28-E28)/D28,0)</f>
        <v/>
      </c>
      <c r="H28" s="92">
        <f>IF(F28&gt;0,"Ahead "&amp; TEXT(ABS(F28),"0")&amp;" hrs",IF(F28&lt;0,"Behind "&amp; TEXT(ABS(F28),"0")&amp;" hrs","On Track"))</f>
        <v/>
      </c>
    </row>
    <row r="29" ht="18" customHeight="1" s="66">
      <c r="A29" s="101" t="inlineStr">
        <is>
          <t>Mohandasaiah Garikapati</t>
        </is>
      </c>
      <c r="B29" s="101" t="inlineStr">
        <is>
          <t>Levata</t>
        </is>
      </c>
      <c r="C29" s="40" t="inlineStr">
        <is>
          <t>Task</t>
        </is>
      </c>
      <c r="D29" s="25">
        <f>IFERROR(SUMIFS('Work Items'!N:N,'Work Items'!J:J,A29,'Work Items'!D:D,B29,'Work Items'!A:A,C29),0)</f>
        <v/>
      </c>
      <c r="E29" s="25">
        <f>IFERROR(SUMIFS('Work Items'!O:O,'Work Items'!J:J,A29,'Work Items'!D:D,B29,'Work Items'!A:A,C29),0)</f>
        <v/>
      </c>
      <c r="F29" s="9">
        <f>D29-E29</f>
        <v/>
      </c>
      <c r="G29" s="215">
        <f>IFERROR((D29-E29)/D29,0)</f>
        <v/>
      </c>
      <c r="H29" s="92">
        <f>IF(F29&gt;0,"Ahead "&amp; TEXT(ABS(F29),"0")&amp;" hrs",IF(F29&lt;0,"Behind "&amp; TEXT(ABS(F29),"0")&amp;" hrs","On Track"))</f>
        <v/>
      </c>
    </row>
    <row r="30" ht="18" customHeight="1" s="66">
      <c r="A30" s="22" t="inlineStr">
        <is>
          <t>Saikrishna Bandi</t>
        </is>
      </c>
      <c r="B30" s="22" t="inlineStr">
        <is>
          <t>VRC Managed Services</t>
        </is>
      </c>
      <c r="C30" s="33" t="inlineStr">
        <is>
          <t>Bug</t>
        </is>
      </c>
      <c r="D30" s="36">
        <f>IFERROR(SUMIFS('Work Items'!N:N,'Work Items'!J:J,A30,'Work Items'!D:D,B30,'Work Items'!A:A,C30),0)</f>
        <v/>
      </c>
      <c r="E30" s="36">
        <f>IFERROR(SUMIFS('Work Items'!O:O,'Work Items'!J:J,A30,'Work Items'!D:D,B30,'Work Items'!A:A,C30),0)</f>
        <v/>
      </c>
      <c r="F30" s="9">
        <f>D30-E30</f>
        <v/>
      </c>
      <c r="G30" s="215">
        <f>IFERROR((D30-E30)/D30,0)</f>
        <v/>
      </c>
      <c r="H30" s="92">
        <f>IF(F30&gt;0,"Ahead "&amp; TEXT(ABS(F30),"0")&amp;" hrs",IF(F30&lt;0,"Behind "&amp; TEXT(ABS(F30),"0")&amp;" hrs","On Track"))</f>
        <v/>
      </c>
    </row>
    <row r="31" ht="18" customHeight="1" s="66">
      <c r="A31" s="101" t="inlineStr">
        <is>
          <t>Saikrishna Bandi</t>
        </is>
      </c>
      <c r="B31" s="101" t="inlineStr">
        <is>
          <t>VRC Managed Services</t>
        </is>
      </c>
      <c r="C31" s="40" t="inlineStr">
        <is>
          <t>Task</t>
        </is>
      </c>
      <c r="D31" s="25">
        <f>IFERROR(SUMIFS('Work Items'!N:N,'Work Items'!J:J,A31,'Work Items'!D:D,B31,'Work Items'!A:A,C31),0)</f>
        <v/>
      </c>
      <c r="E31" s="25">
        <f>IFERROR(SUMIFS('Work Items'!O:O,'Work Items'!J:J,A31,'Work Items'!D:D,B31,'Work Items'!A:A,C31),0)</f>
        <v/>
      </c>
      <c r="F31" s="9">
        <f>D31-E31</f>
        <v/>
      </c>
      <c r="G31" s="215">
        <f>IFERROR((D31-E31)/D31,0)</f>
        <v/>
      </c>
      <c r="H31" s="92">
        <f>IF(F31&gt;0,"Ahead "&amp; TEXT(ABS(F31),"0")&amp;" hrs",IF(F31&lt;0,"Behind "&amp; TEXT(ABS(F31),"0")&amp;" hrs","On Track"))</f>
        <v/>
      </c>
    </row>
    <row r="32" ht="18" customHeight="1" s="66">
      <c r="A32" s="22" t="inlineStr">
        <is>
          <t>Sureshkumar Gidugu</t>
        </is>
      </c>
      <c r="B32" s="22" t="inlineStr">
        <is>
          <t>VRC Managed Services</t>
        </is>
      </c>
      <c r="C32" s="40" t="inlineStr">
        <is>
          <t>Task</t>
        </is>
      </c>
      <c r="D32" s="36">
        <f>IFERROR(SUMIFS('Work Items'!N:N,'Work Items'!J:J,A32,'Work Items'!D:D,B32,'Work Items'!A:A,C32),0)</f>
        <v/>
      </c>
      <c r="E32" s="36">
        <f>IFERROR(SUMIFS('Work Items'!O:O,'Work Items'!J:J,A32,'Work Items'!D:D,B32,'Work Items'!A:A,C32),0)</f>
        <v/>
      </c>
      <c r="F32" s="9">
        <f>D32-E32</f>
        <v/>
      </c>
      <c r="G32" s="215">
        <f>IFERROR((D32-E32)/D32,0)</f>
        <v/>
      </c>
      <c r="H32" s="92">
        <f>IF(F32&gt;0,"Ahead "&amp; TEXT(ABS(F32),"0")&amp;" hrs",IF(F32&lt;0,"Behind "&amp; TEXT(ABS(F32),"0")&amp;" hrs","On Track"))</f>
        <v/>
      </c>
    </row>
    <row r="33" ht="18" customHeight="1" s="66">
      <c r="A33" s="101" t="inlineStr">
        <is>
          <t>Vishnudeep</t>
        </is>
      </c>
      <c r="B33" s="101" t="inlineStr">
        <is>
          <t>VRC Managed Services</t>
        </is>
      </c>
      <c r="C33" s="40" t="inlineStr">
        <is>
          <t>Task</t>
        </is>
      </c>
      <c r="D33" s="25">
        <f>IFERROR(SUMIFS('Work Items'!N:N,'Work Items'!J:J,A33,'Work Items'!D:D,B33,'Work Items'!A:A,C33),0)</f>
        <v/>
      </c>
      <c r="E33" s="25">
        <f>IFERROR(SUMIFS('Work Items'!O:O,'Work Items'!J:J,A33,'Work Items'!D:D,B33,'Work Items'!A:A,C33),0)</f>
        <v/>
      </c>
      <c r="F33" s="9">
        <f>D33-E33</f>
        <v/>
      </c>
      <c r="G33" s="215">
        <f>IFERROR((D33-E33)/D33,0)</f>
        <v/>
      </c>
      <c r="H33" s="92">
        <f>IF(F33&gt;0,"Ahead "&amp; TEXT(ABS(F33),"0")&amp;" hrs",IF(F33&lt;0,"Behind "&amp; TEXT(ABS(F33),"0")&amp;" hrs","On Track"))</f>
        <v/>
      </c>
    </row>
    <row r="35" ht="22" customHeight="1" s="66">
      <c r="A35" s="81" t="inlineStr">
        <is>
          <t>TOTAL</t>
        </is>
      </c>
      <c r="D35" s="41">
        <f>SUM(D5:D33)</f>
        <v/>
      </c>
      <c r="E35" s="41">
        <f>SUM(E5:E33)</f>
        <v/>
      </c>
      <c r="F35" s="42">
        <f>SUM(F5:F33)</f>
        <v/>
      </c>
    </row>
  </sheetData>
  <autoFilter ref="A4:H33"/>
  <mergeCells count="4">
    <mergeCell ref="A35:C35"/>
    <mergeCell ref="A3:H3"/>
    <mergeCell ref="A2:H2"/>
    <mergeCell ref="A1:H1"/>
  </mergeCells>
  <conditionalFormatting sqref="F5:F33">
    <cfRule type="expression" priority="1" dxfId="0">
      <formula>F5&lt;0</formula>
    </cfRule>
    <cfRule type="expression" priority="2" dxfId="1">
      <formula>F5&gt;0</formula>
    </cfRule>
  </conditionalFormatting>
  <conditionalFormatting sqref="H5:H33">
    <cfRule type="expression" priority="3" dxfId="0">
      <formula>LEFT(H5,6)="Behind"</formula>
    </cfRule>
    <cfRule type="expression" priority="4" dxfId="1">
      <formula>LEFT(H5,5)="Ahead"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/>
  </sheetPr>
  <dimension ref="A1:M304"/>
  <sheetViews>
    <sheetView workbookViewId="0">
      <pane ySplit="4" topLeftCell="A5" activePane="bottomLeft" state="frozen"/>
      <selection pane="bottomLeft" activeCell="B7" sqref="B7"/>
    </sheetView>
  </sheetViews>
  <sheetFormatPr baseColWidth="10" defaultColWidth="8.83203125" defaultRowHeight="15"/>
  <cols>
    <col width="12" customWidth="1" style="66" min="1" max="1"/>
    <col width="14" customWidth="1" style="66" min="2" max="2"/>
    <col width="11" bestFit="1" customWidth="1" style="66" min="3" max="3"/>
    <col width="42" customWidth="1" style="66" min="4" max="4"/>
    <col width="22" customWidth="1" style="66" min="5" max="6"/>
    <col width="18" customWidth="1" style="66" min="7" max="7"/>
    <col width="14" customWidth="1" style="66" min="8" max="8"/>
    <col width="10" customWidth="1" style="66" min="9" max="9"/>
    <col width="12" customWidth="1" style="66" min="10" max="10"/>
    <col width="10" customWidth="1" style="66" min="11" max="11"/>
    <col width="14" customWidth="1" style="66" min="12" max="13"/>
  </cols>
  <sheetData>
    <row r="1" ht="28" customHeight="1" s="66">
      <c r="A1" s="86" t="inlineStr">
        <is>
          <t>OrbitFlow — Risk Register  |  All risks also in Work Items (Type=Risk)</t>
        </is>
      </c>
    </row>
    <row r="2" ht="6" customHeight="1" s="66">
      <c r="A2" s="85" t="n"/>
    </row>
    <row r="3" ht="18" customHeight="1" s="66">
      <c r="A3" s="84" t="inlineStr">
        <is>
          <t>Risk Score = Probability × Impact  ·  Critical ≥ 15  |  High ≥ 10  |  Medium ≥ 5  |  Low &lt; 5</t>
        </is>
      </c>
    </row>
    <row r="4" ht="28" customHeight="1" s="66">
      <c r="A4" s="43" t="inlineStr">
        <is>
          <t>Type</t>
        </is>
      </c>
      <c r="B4" s="43" t="inlineStr">
        <is>
          <t>ID</t>
        </is>
      </c>
      <c r="C4" s="91" t="inlineStr">
        <is>
          <t>Project</t>
        </is>
      </c>
      <c r="D4" s="43" t="inlineStr">
        <is>
          <t>Risk Description</t>
        </is>
      </c>
      <c r="E4" s="43" t="inlineStr">
        <is>
          <t>Module</t>
        </is>
      </c>
      <c r="F4" s="43" t="inlineStr">
        <is>
          <t>SubModule</t>
        </is>
      </c>
      <c r="G4" s="43" t="inlineStr">
        <is>
          <t>Risk Category</t>
        </is>
      </c>
      <c r="H4" s="43" t="inlineStr">
        <is>
          <t>Assigned To</t>
        </is>
      </c>
      <c r="I4" s="43" t="inlineStr">
        <is>
          <t>Priority</t>
        </is>
      </c>
      <c r="J4" s="43" t="inlineStr">
        <is>
          <t>Status</t>
        </is>
      </c>
      <c r="K4" s="43" t="inlineStr">
        <is>
          <t>Risk Score</t>
        </is>
      </c>
      <c r="L4" s="43" t="inlineStr">
        <is>
          <t>Target Date</t>
        </is>
      </c>
      <c r="M4" s="43" t="inlineStr">
        <is>
          <t>Mitigation Hrs</t>
        </is>
      </c>
    </row>
    <row r="5" ht="18" customHeight="1" s="66">
      <c r="A5" s="23">
        <f t="array" ref="A5">IFERROR(INDEX('Work Items'!$A$6:$A$5000,SMALL(IF('Work Items'!$A$6:$A$5000="Risk",ROW('Work Items'!$A$6:$A$5000)-ROW('Work Items'!$A$6)+1),1)),"")</f>
        <v/>
      </c>
      <c r="B5" s="44">
        <f t="array" ref="B5">IFERROR(INDEX('Work Items'!$B$6:$B$5000,SMALL(IF('Work Items'!$A$6:$A$5000="Risk",ROW('Work Items'!$A$6:$A$5000)-ROW('Work Items'!$A$6)+1),1)),"")</f>
        <v/>
      </c>
      <c r="C5" s="92">
        <f>IF(E5="","",IFERROR(INDEX('Projects Master'!$A:$A,MATCH(E5,'Projects Master'!$B:$B,0)),"OrgRisk"))</f>
        <v/>
      </c>
      <c r="D5" s="4">
        <f t="array" ref="D5">IFERROR(INDEX('Work Items'!$C$6:$C$5000,SMALL(IF('Work Items'!$A$6:$A$5000="Risk",ROW('Work Items'!$A$6:$A$5000)-ROW('Work Items'!$A$6)+1),1)),"")</f>
        <v/>
      </c>
      <c r="E5" s="26">
        <f t="array" ref="E5">IFERROR(INDEX('Work Items'!$D$6:$D$5000,SMALL(IF('Work Items'!$A$6:$A$5000="Risk",ROW('Work Items'!$A$6:$A$5000)-ROW('Work Items'!$A$6)+1),1)),"")</f>
        <v/>
      </c>
      <c r="F5" s="101">
        <f t="array" ref="F5">IFERROR(INDEX('Work Items'!$E$6:$E$5000,SMALL(IF('Work Items'!$A$6:$A$5000="Risk",ROW('Work Items'!$A$6:$A$5000)-ROW('Work Items'!$A$6)+1),1)),"")</f>
        <v/>
      </c>
      <c r="G5" s="101">
        <f t="array" ref="G5">IFERROR(INDEX('Work Items'!$F$6:$F$5000,SMALL(IF('Work Items'!$A$6:$A$5000="Risk",ROW('Work Items'!$A$6:$A$5000)-ROW('Work Items'!$A$6)+1),1)),"")</f>
        <v/>
      </c>
      <c r="H5" s="101">
        <f t="array" ref="H5">IFERROR(INDEX('Work Items'!$J$6:$J$5000,SMALL(IF('Work Items'!$A$6:$A$5000="Risk",ROW('Work Items'!$A$6:$A$5000)-ROW('Work Items'!$A$6)+1),1)),"")</f>
        <v/>
      </c>
      <c r="I5" s="23">
        <f t="array" ref="I5">IFERROR(INDEX('Work Items'!$K$6:$K$5000,SMALL(IF('Work Items'!$A$6:$A$5000="Risk",ROW('Work Items'!$A$6:$A$5000)-ROW('Work Items'!$A$6)+1),1)),"")</f>
        <v/>
      </c>
      <c r="J5" s="33">
        <f t="array" ref="J5">IFERROR(INDEX('Work Items'!$L$6:$L$5000,SMALL(IF('Work Items'!$A$6:$A$5000="Risk",ROW('Work Items'!$A$6:$A$5000)-ROW('Work Items'!$A$6)+1),1)),"")</f>
        <v/>
      </c>
      <c r="K5" s="45">
        <f t="array" ref="K5">IFERROR(IF(AND(INDEX('Work Items'!$R$6:$R$5000,SMALL(IF('Work Items'!$A$6:$A$5000="Risk",ROW('Work Items'!$A$6:$A$5000)-ROW('Work Items'!$A$6)+1),1))&lt;&gt;"",INDEX('Work Items'!$S$6:$S$5000,SMALL(IF('Work Items'!$A$6:$A$5000="Risk",ROW('Work Items'!$A$6:$A$5000)-ROW('Work Items'!$A$6)+1),1))&lt;&gt;""),INDEX('Work Items'!$R$6:$R$5000,SMALL(IF('Work Items'!$A$6:$A$5000="Risk",ROW('Work Items'!$A$6:$A$5000)-ROW('Work Items'!$A$6)+1),1))*INDEX('Work Items'!$S$6:$S$5000,SMALL(IF('Work Items'!$A$6:$A$5000="Risk",ROW('Work Items'!$A$6:$A$5000)-ROW('Work Items'!$A$6)+1),1)),INDEX('Work Items'!$U$6:$U$5000,SMALL(IF('Work Items'!$A$6:$A$5000="Risk",ROW('Work Items'!$A$6:$A$5000)-ROW('Work Items'!$A$6)+1),1))),"")</f>
        <v/>
      </c>
      <c r="L5" s="216">
        <f t="array" ref="L5">IFERROR(INDEX('Work Items'!$Q$6:$Q$5000,SMALL(IF('Work Items'!$A$6:$A$5000="Risk",ROW('Work Items'!$A$6:$A$5000)-ROW('Work Items'!$A$6)+1),1)),"")</f>
        <v/>
      </c>
      <c r="M5" s="25">
        <f t="array" ref="M5">IFERROR(INDEX('Work Items'!$T$6:$T$5000,SMALL(IF('Work Items'!$A$6:$A$5000="Risk",ROW('Work Items'!$A$6:$A$5000)-ROW('Work Items'!$A$6)+1),1)),"")</f>
        <v/>
      </c>
    </row>
    <row r="6" ht="18" customHeight="1" s="66">
      <c r="A6" s="23">
        <f t="array" ref="A6">IFERROR(INDEX('Work Items'!$A$6:$A$5000,SMALL(IF('Work Items'!$A$6:$A$5000="Risk",ROW('Work Items'!$A$6:$A$5000)-ROW('Work Items'!$A$6)+1),2)),"")</f>
        <v/>
      </c>
      <c r="B6" s="44">
        <f t="array" ref="B6">IFERROR(INDEX('Work Items'!$B$6:$B$5000,SMALL(IF('Work Items'!$A$6:$A$5000="Risk",ROW('Work Items'!$A$6:$A$5000)-ROW('Work Items'!$A$6)+1),2)),"")</f>
        <v/>
      </c>
      <c r="C6" s="93">
        <f>IF(E6="","",IFERROR(INDEX('Projects Master'!$A:$A,MATCH(E6,'Projects Master'!$B:$B,0)),"OrgRisk"))</f>
        <v/>
      </c>
      <c r="D6" s="20">
        <f t="array" ref="D6">IFERROR(INDEX('Work Items'!$C$6:$C$5000,SMALL(IF('Work Items'!$A$6:$A$5000="Risk",ROW('Work Items'!$A$6:$A$5000)-ROW('Work Items'!$A$6)+1),2)),"")</f>
        <v/>
      </c>
      <c r="E6" s="21">
        <f t="array" ref="E6">IFERROR(INDEX('Work Items'!$D$6:$D$5000,SMALL(IF('Work Items'!$A$6:$A$5000="Risk",ROW('Work Items'!$A$6:$A$5000)-ROW('Work Items'!$A$6)+1),2)),"")</f>
        <v/>
      </c>
      <c r="F6" s="22">
        <f t="array" ref="F6">IFERROR(INDEX('Work Items'!$E$6:$E$5000,SMALL(IF('Work Items'!$A$6:$A$5000="Risk",ROW('Work Items'!$A$6:$A$5000)-ROW('Work Items'!$A$6)+1),2)),"")</f>
        <v/>
      </c>
      <c r="G6" s="22">
        <f t="array" ref="G6">IFERROR(INDEX('Work Items'!$F$6:$F$5000,SMALL(IF('Work Items'!$A$6:$A$5000="Risk",ROW('Work Items'!$A$6:$A$5000)-ROW('Work Items'!$A$6)+1),2)),"")</f>
        <v/>
      </c>
      <c r="H6" s="22">
        <f t="array" ref="H6">IFERROR(INDEX('Work Items'!$J$6:$J$5000,SMALL(IF('Work Items'!$A$6:$A$5000="Risk",ROW('Work Items'!$A$6:$A$5000)-ROW('Work Items'!$A$6)+1),2)),"")</f>
        <v/>
      </c>
      <c r="I6" s="28">
        <f t="array" ref="I6">IFERROR(INDEX('Work Items'!$K$6:$K$5000,SMALL(IF('Work Items'!$A$6:$A$5000="Risk",ROW('Work Items'!$A$6:$A$5000)-ROW('Work Items'!$A$6)+1),2)),"")</f>
        <v/>
      </c>
      <c r="J6" s="33">
        <f t="array" ref="J6">IFERROR(INDEX('Work Items'!$L$6:$L$5000,SMALL(IF('Work Items'!$A$6:$A$5000="Risk",ROW('Work Items'!$A$6:$A$5000)-ROW('Work Items'!$A$6)+1),2)),"")</f>
        <v/>
      </c>
      <c r="K6" s="45">
        <f t="array" ref="K6">IFERROR(IF(AND(INDEX('Work Items'!$R$6:$R$5000,SMALL(IF('Work Items'!$A$6:$A$5000="Risk",ROW('Work Items'!$A$6:$A$5000)-ROW('Work Items'!$A$6)+1),2))&lt;&gt;"",INDEX('Work Items'!$S$6:$S$5000,SMALL(IF('Work Items'!$A$6:$A$5000="Risk",ROW('Work Items'!$A$6:$A$5000)-ROW('Work Items'!$A$6)+1),2))&lt;&gt;""),INDEX('Work Items'!$R$6:$R$5000,SMALL(IF('Work Items'!$A$6:$A$5000="Risk",ROW('Work Items'!$A$6:$A$5000)-ROW('Work Items'!$A$6)+1),2))*INDEX('Work Items'!$S$6:$S$5000,SMALL(IF('Work Items'!$A$6:$A$5000="Risk",ROW('Work Items'!$A$6:$A$5000)-ROW('Work Items'!$A$6)+1),2)),INDEX('Work Items'!$U$6:$U$5000,SMALL(IF('Work Items'!$A$6:$A$5000="Risk",ROW('Work Items'!$A$6:$A$5000)-ROW('Work Items'!$A$6)+1),2))),"")</f>
        <v/>
      </c>
      <c r="L6" s="216">
        <f t="array" ref="L6">IFERROR(INDEX('Work Items'!$Q$6:$Q$5000,SMALL(IF('Work Items'!$A$6:$A$5000="Risk",ROW('Work Items'!$A$6:$A$5000)-ROW('Work Items'!$A$6)+1),2)),"")</f>
        <v/>
      </c>
      <c r="M6" s="25">
        <f t="array" ref="M6">IFERROR(INDEX('Work Items'!$T$6:$T$5000,SMALL(IF('Work Items'!$A$6:$A$5000="Risk",ROW('Work Items'!$A$6:$A$5000)-ROW('Work Items'!$A$6)+1),2)),"")</f>
        <v/>
      </c>
    </row>
    <row r="7" ht="18" customHeight="1" s="66">
      <c r="A7" s="23">
        <f t="array" ref="A7">IFERROR(INDEX('Work Items'!$A$6:$A$5000,SMALL(IF('Work Items'!$A$6:$A$5000="Risk",ROW('Work Items'!$A$6:$A$5000)-ROW('Work Items'!$A$6)+1),3)),"")</f>
        <v/>
      </c>
      <c r="B7" s="44">
        <f t="array" ref="B7">IFERROR(INDEX('Work Items'!$B$6:$B$5000,SMALL(IF('Work Items'!$A$6:$A$5000="Risk",ROW('Work Items'!$A$6:$A$5000)-ROW('Work Items'!$A$6)+1),3)),"")</f>
        <v/>
      </c>
      <c r="C7" s="92">
        <f>IF(E7="","",IFERROR(INDEX('Projects Master'!$A:$A,MATCH(E7,'Projects Master'!$B:$B,0)),"OrgRisk"))</f>
        <v/>
      </c>
      <c r="D7" s="4">
        <f t="array" ref="D7">IFERROR(INDEX('Work Items'!$C$6:$C$5000,SMALL(IF('Work Items'!$A$6:$A$5000="Risk",ROW('Work Items'!$A$6:$A$5000)-ROW('Work Items'!$A$6)+1),3)),"")</f>
        <v/>
      </c>
      <c r="E7" s="26">
        <f t="array" ref="E7">IFERROR(INDEX('Work Items'!$D$6:$D$5000,SMALL(IF('Work Items'!$A$6:$A$5000="Risk",ROW('Work Items'!$A$6:$A$5000)-ROW('Work Items'!$A$6)+1),3)),"")</f>
        <v/>
      </c>
      <c r="F7" s="101">
        <f t="array" ref="F7">IFERROR(INDEX('Work Items'!$E$6:$E$5000,SMALL(IF('Work Items'!$A$6:$A$5000="Risk",ROW('Work Items'!$A$6:$A$5000)-ROW('Work Items'!$A$6)+1),3)),"")</f>
        <v/>
      </c>
      <c r="G7" s="101">
        <f t="array" ref="G7">IFERROR(INDEX('Work Items'!$F$6:$F$5000,SMALL(IF('Work Items'!$A$6:$A$5000="Risk",ROW('Work Items'!$A$6:$A$5000)-ROW('Work Items'!$A$6)+1),3)),"")</f>
        <v/>
      </c>
      <c r="H7" s="101">
        <f t="array" ref="H7">IFERROR(INDEX('Work Items'!$J$6:$J$5000,SMALL(IF('Work Items'!$A$6:$A$5000="Risk",ROW('Work Items'!$A$6:$A$5000)-ROW('Work Items'!$A$6)+1),3)),"")</f>
        <v/>
      </c>
      <c r="I7" s="33">
        <f t="array" ref="I7">IFERROR(INDEX('Work Items'!$K$6:$K$5000,SMALL(IF('Work Items'!$A$6:$A$5000="Risk",ROW('Work Items'!$A$6:$A$5000)-ROW('Work Items'!$A$6)+1),3)),"")</f>
        <v/>
      </c>
      <c r="J7" s="33">
        <f t="array" ref="J7">IFERROR(INDEX('Work Items'!$L$6:$L$5000,SMALL(IF('Work Items'!$A$6:$A$5000="Risk",ROW('Work Items'!$A$6:$A$5000)-ROW('Work Items'!$A$6)+1),3)),"")</f>
        <v/>
      </c>
      <c r="K7" s="46">
        <f t="array" ref="K7">IFERROR(IF(AND(INDEX('Work Items'!$R$6:$R$5000,SMALL(IF('Work Items'!$A$6:$A$5000="Risk",ROW('Work Items'!$A$6:$A$5000)-ROW('Work Items'!$A$6)+1),3))&lt;&gt;"",INDEX('Work Items'!$S$6:$S$5000,SMALL(IF('Work Items'!$A$6:$A$5000="Risk",ROW('Work Items'!$A$6:$A$5000)-ROW('Work Items'!$A$6)+1),3))&lt;&gt;""),INDEX('Work Items'!$R$6:$R$5000,SMALL(IF('Work Items'!$A$6:$A$5000="Risk",ROW('Work Items'!$A$6:$A$5000)-ROW('Work Items'!$A$6)+1),3))*INDEX('Work Items'!$S$6:$S$5000,SMALL(IF('Work Items'!$A$6:$A$5000="Risk",ROW('Work Items'!$A$6:$A$5000)-ROW('Work Items'!$A$6)+1),3)),INDEX('Work Items'!$U$6:$U$5000,SMALL(IF('Work Items'!$A$6:$A$5000="Risk",ROW('Work Items'!$A$6:$A$5000)-ROW('Work Items'!$A$6)+1),3))),"")</f>
        <v/>
      </c>
      <c r="L7" s="216">
        <f t="array" ref="L7">IFERROR(INDEX('Work Items'!$Q$6:$Q$5000,SMALL(IF('Work Items'!$A$6:$A$5000="Risk",ROW('Work Items'!$A$6:$A$5000)-ROW('Work Items'!$A$6)+1),3)),"")</f>
        <v/>
      </c>
      <c r="M7" s="25">
        <f t="array" ref="M7">IFERROR(INDEX('Work Items'!$T$6:$T$5000,SMALL(IF('Work Items'!$A$6:$A$5000="Risk",ROW('Work Items'!$A$6:$A$5000)-ROW('Work Items'!$A$6)+1),3)),"")</f>
        <v/>
      </c>
    </row>
    <row r="8" ht="18" customHeight="1" s="66">
      <c r="A8" s="23">
        <f t="array" ref="A8">IFERROR(INDEX('Work Items'!$A$6:$A$5000,SMALL(IF('Work Items'!$A$6:$A$5000="Risk",ROW('Work Items'!$A$6:$A$5000)-ROW('Work Items'!$A$6)+1),4)),"")</f>
        <v/>
      </c>
      <c r="B8" s="44">
        <f t="array" ref="B8">IFERROR(INDEX('Work Items'!$B$6:$B$5000,SMALL(IF('Work Items'!$A$6:$A$5000="Risk",ROW('Work Items'!$A$6:$A$5000)-ROW('Work Items'!$A$6)+1),4)),"")</f>
        <v/>
      </c>
      <c r="C8" s="93">
        <f>IF(E8="","",IFERROR(INDEX('Projects Master'!$A:$A,MATCH(E8,'Projects Master'!$B:$B,0)),"OrgRisk"))</f>
        <v/>
      </c>
      <c r="D8" s="20">
        <f t="array" ref="D8">IFERROR(INDEX('Work Items'!$C$6:$C$5000,SMALL(IF('Work Items'!$A$6:$A$5000="Risk",ROW('Work Items'!$A$6:$A$5000)-ROW('Work Items'!$A$6)+1),4)),"")</f>
        <v/>
      </c>
      <c r="E8" s="21">
        <f t="array" ref="E8">IFERROR(INDEX('Work Items'!$D$6:$D$5000,SMALL(IF('Work Items'!$A$6:$A$5000="Risk",ROW('Work Items'!$A$6:$A$5000)-ROW('Work Items'!$A$6)+1),4)),"")</f>
        <v/>
      </c>
      <c r="F8" s="22">
        <f t="array" ref="F8">IFERROR(INDEX('Work Items'!$E$6:$E$5000,SMALL(IF('Work Items'!$A$6:$A$5000="Risk",ROW('Work Items'!$A$6:$A$5000)-ROW('Work Items'!$A$6)+1),4)),"")</f>
        <v/>
      </c>
      <c r="G8" s="22">
        <f t="array" ref="G8">IFERROR(INDEX('Work Items'!$F$6:$F$5000,SMALL(IF('Work Items'!$A$6:$A$5000="Risk",ROW('Work Items'!$A$6:$A$5000)-ROW('Work Items'!$A$6)+1),4)),"")</f>
        <v/>
      </c>
      <c r="H8" s="22">
        <f t="array" ref="H8">IFERROR(INDEX('Work Items'!$J$6:$J$5000,SMALL(IF('Work Items'!$A$6:$A$5000="Risk",ROW('Work Items'!$A$6:$A$5000)-ROW('Work Items'!$A$6)+1),4)),"")</f>
        <v/>
      </c>
      <c r="I8" s="33">
        <f t="array" ref="I8">IFERROR(INDEX('Work Items'!$K$6:$K$5000,SMALL(IF('Work Items'!$A$6:$A$5000="Risk",ROW('Work Items'!$A$6:$A$5000)-ROW('Work Items'!$A$6)+1),4)),"")</f>
        <v/>
      </c>
      <c r="J8" s="33">
        <f t="array" ref="J8">IFERROR(INDEX('Work Items'!$L$6:$L$5000,SMALL(IF('Work Items'!$A$6:$A$5000="Risk",ROW('Work Items'!$A$6:$A$5000)-ROW('Work Items'!$A$6)+1),4)),"")</f>
        <v/>
      </c>
      <c r="K8" s="46">
        <f t="array" ref="K8">IFERROR(IF(AND(INDEX('Work Items'!$R$6:$R$5000,SMALL(IF('Work Items'!$A$6:$A$5000="Risk",ROW('Work Items'!$A$6:$A$5000)-ROW('Work Items'!$A$6)+1),4))&lt;&gt;"",INDEX('Work Items'!$S$6:$S$5000,SMALL(IF('Work Items'!$A$6:$A$5000="Risk",ROW('Work Items'!$A$6:$A$5000)-ROW('Work Items'!$A$6)+1),4))&lt;&gt;""),INDEX('Work Items'!$R$6:$R$5000,SMALL(IF('Work Items'!$A$6:$A$5000="Risk",ROW('Work Items'!$A$6:$A$5000)-ROW('Work Items'!$A$6)+1),4))*INDEX('Work Items'!$S$6:$S$5000,SMALL(IF('Work Items'!$A$6:$A$5000="Risk",ROW('Work Items'!$A$6:$A$5000)-ROW('Work Items'!$A$6)+1),4)),INDEX('Work Items'!$U$6:$U$5000,SMALL(IF('Work Items'!$A$6:$A$5000="Risk",ROW('Work Items'!$A$6:$A$5000)-ROW('Work Items'!$A$6)+1),4))),"")</f>
        <v/>
      </c>
      <c r="L8" s="216">
        <f t="array" ref="L8">IFERROR(INDEX('Work Items'!$Q$6:$Q$5000,SMALL(IF('Work Items'!$A$6:$A$5000="Risk",ROW('Work Items'!$A$6:$A$5000)-ROW('Work Items'!$A$6)+1),4)),"")</f>
        <v/>
      </c>
      <c r="M8" s="25">
        <f t="array" ref="M8">IFERROR(INDEX('Work Items'!$T$6:$T$5000,SMALL(IF('Work Items'!$A$6:$A$5000="Risk",ROW('Work Items'!$A$6:$A$5000)-ROW('Work Items'!$A$6)+1),4)),"")</f>
        <v/>
      </c>
    </row>
    <row r="9" ht="18" customHeight="1" s="66">
      <c r="A9" s="23">
        <f t="array" ref="A9">IFERROR(INDEX('Work Items'!$A$6:$A$5000,SMALL(IF('Work Items'!$A$6:$A$5000="Risk",ROW('Work Items'!$A$6:$A$5000)-ROW('Work Items'!$A$6)+1),5)),"")</f>
        <v/>
      </c>
      <c r="B9" s="44">
        <f t="array" ref="B9">IFERROR(INDEX('Work Items'!$B$6:$B$5000,SMALL(IF('Work Items'!$A$6:$A$5000="Risk",ROW('Work Items'!$A$6:$A$5000)-ROW('Work Items'!$A$6)+1),5)),"")</f>
        <v/>
      </c>
      <c r="C9" s="92">
        <f>IF(E9="","",IFERROR(INDEX('Projects Master'!$A:$A,MATCH(E9,'Projects Master'!$B:$B,0)),"OrgRisk"))</f>
        <v/>
      </c>
      <c r="D9" s="4">
        <f t="array" ref="D9">IFERROR(INDEX('Work Items'!$C$6:$C$5000,SMALL(IF('Work Items'!$A$6:$A$5000="Risk",ROW('Work Items'!$A$6:$A$5000)-ROW('Work Items'!$A$6)+1),5)),"")</f>
        <v/>
      </c>
      <c r="E9" s="26">
        <f t="array" ref="E9">IFERROR(INDEX('Work Items'!$D$6:$D$5000,SMALL(IF('Work Items'!$A$6:$A$5000="Risk",ROW('Work Items'!$A$6:$A$5000)-ROW('Work Items'!$A$6)+1),5)),"")</f>
        <v/>
      </c>
      <c r="F9" s="101">
        <f t="array" ref="F9">IFERROR(INDEX('Work Items'!$E$6:$E$5000,SMALL(IF('Work Items'!$A$6:$A$5000="Risk",ROW('Work Items'!$A$6:$A$5000)-ROW('Work Items'!$A$6)+1),5)),"")</f>
        <v/>
      </c>
      <c r="G9" s="101">
        <f t="array" ref="G9">IFERROR(INDEX('Work Items'!$F$6:$F$5000,SMALL(IF('Work Items'!$A$6:$A$5000="Risk",ROW('Work Items'!$A$6:$A$5000)-ROW('Work Items'!$A$6)+1),5)),"")</f>
        <v/>
      </c>
      <c r="H9" s="101">
        <f t="array" ref="H9">IFERROR(INDEX('Work Items'!$J$6:$J$5000,SMALL(IF('Work Items'!$A$6:$A$5000="Risk",ROW('Work Items'!$A$6:$A$5000)-ROW('Work Items'!$A$6)+1),5)),"")</f>
        <v/>
      </c>
      <c r="I9" s="23">
        <f t="array" ref="I9">IFERROR(INDEX('Work Items'!$K$6:$K$5000,SMALL(IF('Work Items'!$A$6:$A$5000="Risk",ROW('Work Items'!$A$6:$A$5000)-ROW('Work Items'!$A$6)+1),5)),"")</f>
        <v/>
      </c>
      <c r="J9" s="23">
        <f t="array" ref="J9">IFERROR(INDEX('Work Items'!$L$6:$L$5000,SMALL(IF('Work Items'!$A$6:$A$5000="Risk",ROW('Work Items'!$A$6:$A$5000)-ROW('Work Items'!$A$6)+1),5)),"")</f>
        <v/>
      </c>
      <c r="K9" s="46">
        <f t="array" ref="K9">IFERROR(IF(AND(INDEX('Work Items'!$R$6:$R$5000,SMALL(IF('Work Items'!$A$6:$A$5000="Risk",ROW('Work Items'!$A$6:$A$5000)-ROW('Work Items'!$A$6)+1),5))&lt;&gt;"",INDEX('Work Items'!$S$6:$S$5000,SMALL(IF('Work Items'!$A$6:$A$5000="Risk",ROW('Work Items'!$A$6:$A$5000)-ROW('Work Items'!$A$6)+1),5))&lt;&gt;""),INDEX('Work Items'!$R$6:$R$5000,SMALL(IF('Work Items'!$A$6:$A$5000="Risk",ROW('Work Items'!$A$6:$A$5000)-ROW('Work Items'!$A$6)+1),5))*INDEX('Work Items'!$S$6:$S$5000,SMALL(IF('Work Items'!$A$6:$A$5000="Risk",ROW('Work Items'!$A$6:$A$5000)-ROW('Work Items'!$A$6)+1),5)),INDEX('Work Items'!$U$6:$U$5000,SMALL(IF('Work Items'!$A$6:$A$5000="Risk",ROW('Work Items'!$A$6:$A$5000)-ROW('Work Items'!$A$6)+1),5))),"")</f>
        <v/>
      </c>
      <c r="L9" s="216">
        <f t="array" ref="L9">IFERROR(INDEX('Work Items'!$Q$6:$Q$5000,SMALL(IF('Work Items'!$A$6:$A$5000="Risk",ROW('Work Items'!$A$6:$A$5000)-ROW('Work Items'!$A$6)+1),5)),"")</f>
        <v/>
      </c>
      <c r="M9" s="25">
        <f t="array" ref="M9">IFERROR(INDEX('Work Items'!$T$6:$T$5000,SMALL(IF('Work Items'!$A$6:$A$5000="Risk",ROW('Work Items'!$A$6:$A$5000)-ROW('Work Items'!$A$6)+1),5)),"")</f>
        <v/>
      </c>
    </row>
    <row r="10" ht="18" customHeight="1" s="66">
      <c r="A10" s="23">
        <f t="array" ref="A10">IFERROR(INDEX('Work Items'!$A$6:$A$5000,SMALL(IF('Work Items'!$A$6:$A$5000="Risk",ROW('Work Items'!$A$6:$A$5000)-ROW('Work Items'!$A$6)+1),6)),"")</f>
        <v/>
      </c>
      <c r="B10" s="44">
        <f t="array" ref="B10">IFERROR(INDEX('Work Items'!$B$6:$B$5000,SMALL(IF('Work Items'!$A$6:$A$5000="Risk",ROW('Work Items'!$A$6:$A$5000)-ROW('Work Items'!$A$6)+1),6)),"")</f>
        <v/>
      </c>
      <c r="C10" s="93">
        <f>IF(E10="","",IFERROR(INDEX('Projects Master'!$A:$A,MATCH(E10,'Projects Master'!$B:$B,0)),"OrgRisk"))</f>
        <v/>
      </c>
      <c r="D10" s="20">
        <f t="array" ref="D10">IFERROR(INDEX('Work Items'!$C$6:$C$5000,SMALL(IF('Work Items'!$A$6:$A$5000="Risk",ROW('Work Items'!$A$6:$A$5000)-ROW('Work Items'!$A$6)+1),6)),"")</f>
        <v/>
      </c>
      <c r="E10" s="21">
        <f t="array" ref="E10">IFERROR(INDEX('Work Items'!$D$6:$D$5000,SMALL(IF('Work Items'!$A$6:$A$5000="Risk",ROW('Work Items'!$A$6:$A$5000)-ROW('Work Items'!$A$6)+1),6)),"")</f>
        <v/>
      </c>
      <c r="F10" s="22">
        <f t="array" ref="F10">IFERROR(INDEX('Work Items'!$E$6:$E$5000,SMALL(IF('Work Items'!$A$6:$A$5000="Risk",ROW('Work Items'!$A$6:$A$5000)-ROW('Work Items'!$A$6)+1),6)),"")</f>
        <v/>
      </c>
      <c r="G10" s="22">
        <f t="array" ref="G10">IFERROR(INDEX('Work Items'!$F$6:$F$5000,SMALL(IF('Work Items'!$A$6:$A$5000="Risk",ROW('Work Items'!$A$6:$A$5000)-ROW('Work Items'!$A$6)+1),6)),"")</f>
        <v/>
      </c>
      <c r="H10" s="22">
        <f t="array" ref="H10">IFERROR(INDEX('Work Items'!$J$6:$J$5000,SMALL(IF('Work Items'!$A$6:$A$5000="Risk",ROW('Work Items'!$A$6:$A$5000)-ROW('Work Items'!$A$6)+1),6)),"")</f>
        <v/>
      </c>
      <c r="I10" s="23">
        <f t="array" ref="I10">IFERROR(INDEX('Work Items'!$K$6:$K$5000,SMALL(IF('Work Items'!$A$6:$A$5000="Risk",ROW('Work Items'!$A$6:$A$5000)-ROW('Work Items'!$A$6)+1),6)),"")</f>
        <v/>
      </c>
      <c r="J10" s="33">
        <f t="array" ref="J10">IFERROR(INDEX('Work Items'!$L$6:$L$5000,SMALL(IF('Work Items'!$A$6:$A$5000="Risk",ROW('Work Items'!$A$6:$A$5000)-ROW('Work Items'!$A$6)+1),6)),"")</f>
        <v/>
      </c>
      <c r="K10" s="45">
        <f t="array" ref="K10">IFERROR(IF(AND(INDEX('Work Items'!$R$6:$R$5000,SMALL(IF('Work Items'!$A$6:$A$5000="Risk",ROW('Work Items'!$A$6:$A$5000)-ROW('Work Items'!$A$6)+1),6))&lt;&gt;"",INDEX('Work Items'!$S$6:$S$5000,SMALL(IF('Work Items'!$A$6:$A$5000="Risk",ROW('Work Items'!$A$6:$A$5000)-ROW('Work Items'!$A$6)+1),6))&lt;&gt;""),INDEX('Work Items'!$R$6:$R$5000,SMALL(IF('Work Items'!$A$6:$A$5000="Risk",ROW('Work Items'!$A$6:$A$5000)-ROW('Work Items'!$A$6)+1),6))*INDEX('Work Items'!$S$6:$S$5000,SMALL(IF('Work Items'!$A$6:$A$5000="Risk",ROW('Work Items'!$A$6:$A$5000)-ROW('Work Items'!$A$6)+1),6)),INDEX('Work Items'!$U$6:$U$5000,SMALL(IF('Work Items'!$A$6:$A$5000="Risk",ROW('Work Items'!$A$6:$A$5000)-ROW('Work Items'!$A$6)+1),6))),"")</f>
        <v/>
      </c>
      <c r="L10" s="216">
        <f t="array" ref="L10">IFERROR(INDEX('Work Items'!$Q$6:$Q$5000,SMALL(IF('Work Items'!$A$6:$A$5000="Risk",ROW('Work Items'!$A$6:$A$5000)-ROW('Work Items'!$A$6)+1),6)),"")</f>
        <v/>
      </c>
      <c r="M10" s="25">
        <f t="array" ref="M10">IFERROR(INDEX('Work Items'!$T$6:$T$5000,SMALL(IF('Work Items'!$A$6:$A$5000="Risk",ROW('Work Items'!$A$6:$A$5000)-ROW('Work Items'!$A$6)+1),6)),"")</f>
        <v/>
      </c>
    </row>
    <row r="11" ht="18" customHeight="1" s="66">
      <c r="A11" s="23">
        <f t="array" ref="A11">IFERROR(INDEX('Work Items'!$A$6:$A$5000,SMALL(IF('Work Items'!$A$6:$A$5000="Risk",ROW('Work Items'!$A$6:$A$5000)-ROW('Work Items'!$A$6)+1),7)),"")</f>
        <v/>
      </c>
      <c r="B11" s="44">
        <f t="array" ref="B11">IFERROR(INDEX('Work Items'!$B$6:$B$5000,SMALL(IF('Work Items'!$A$6:$A$5000="Risk",ROW('Work Items'!$A$6:$A$5000)-ROW('Work Items'!$A$6)+1),7)),"")</f>
        <v/>
      </c>
      <c r="C11" s="92">
        <f>IF(E11="","",IFERROR(INDEX('Projects Master'!$A:$A,MATCH(E11,'Projects Master'!$B:$B,0)),"OrgRisk"))</f>
        <v/>
      </c>
      <c r="D11" s="4">
        <f t="array" ref="D11">IFERROR(INDEX('Work Items'!$C$6:$C$5000,SMALL(IF('Work Items'!$A$6:$A$5000="Risk",ROW('Work Items'!$A$6:$A$5000)-ROW('Work Items'!$A$6)+1),7)),"")</f>
        <v/>
      </c>
      <c r="E11" s="26">
        <f t="array" ref="E11">IFERROR(INDEX('Work Items'!$D$6:$D$5000,SMALL(IF('Work Items'!$A$6:$A$5000="Risk",ROW('Work Items'!$A$6:$A$5000)-ROW('Work Items'!$A$6)+1),7)),"")</f>
        <v/>
      </c>
      <c r="F11" s="101">
        <f t="array" ref="F11">IFERROR(INDEX('Work Items'!$E$6:$E$5000,SMALL(IF('Work Items'!$A$6:$A$5000="Risk",ROW('Work Items'!$A$6:$A$5000)-ROW('Work Items'!$A$6)+1),7)),"")</f>
        <v/>
      </c>
      <c r="G11" s="101">
        <f t="array" ref="G11">IFERROR(INDEX('Work Items'!$F$6:$F$5000,SMALL(IF('Work Items'!$A$6:$A$5000="Risk",ROW('Work Items'!$A$6:$A$5000)-ROW('Work Items'!$A$6)+1),7)),"")</f>
        <v/>
      </c>
      <c r="H11" s="101">
        <f t="array" ref="H11">IFERROR(INDEX('Work Items'!$J$6:$J$5000,SMALL(IF('Work Items'!$A$6:$A$5000="Risk",ROW('Work Items'!$A$6:$A$5000)-ROW('Work Items'!$A$6)+1),7)),"")</f>
        <v/>
      </c>
      <c r="I11" s="23">
        <f t="array" ref="I11">IFERROR(INDEX('Work Items'!$K$6:$K$5000,SMALL(IF('Work Items'!$A$6:$A$5000="Risk",ROW('Work Items'!$A$6:$A$5000)-ROW('Work Items'!$A$6)+1),7)),"")</f>
        <v/>
      </c>
      <c r="J11" s="33">
        <f t="array" ref="J11">IFERROR(INDEX('Work Items'!$L$6:$L$5000,SMALL(IF('Work Items'!$A$6:$A$5000="Risk",ROW('Work Items'!$A$6:$A$5000)-ROW('Work Items'!$A$6)+1),7)),"")</f>
        <v/>
      </c>
      <c r="K11" s="45">
        <f t="array" ref="K11">IFERROR(IF(AND(INDEX('Work Items'!$R$6:$R$5000,SMALL(IF('Work Items'!$A$6:$A$5000="Risk",ROW('Work Items'!$A$6:$A$5000)-ROW('Work Items'!$A$6)+1),7))&lt;&gt;"",INDEX('Work Items'!$S$6:$S$5000,SMALL(IF('Work Items'!$A$6:$A$5000="Risk",ROW('Work Items'!$A$6:$A$5000)-ROW('Work Items'!$A$6)+1),7))&lt;&gt;""),INDEX('Work Items'!$R$6:$R$5000,SMALL(IF('Work Items'!$A$6:$A$5000="Risk",ROW('Work Items'!$A$6:$A$5000)-ROW('Work Items'!$A$6)+1),7))*INDEX('Work Items'!$S$6:$S$5000,SMALL(IF('Work Items'!$A$6:$A$5000="Risk",ROW('Work Items'!$A$6:$A$5000)-ROW('Work Items'!$A$6)+1),7)),INDEX('Work Items'!$U$6:$U$5000,SMALL(IF('Work Items'!$A$6:$A$5000="Risk",ROW('Work Items'!$A$6:$A$5000)-ROW('Work Items'!$A$6)+1),7))),"")</f>
        <v/>
      </c>
      <c r="L11" s="216">
        <f t="array" ref="L11">IFERROR(INDEX('Work Items'!$Q$6:$Q$5000,SMALL(IF('Work Items'!$A$6:$A$5000="Risk",ROW('Work Items'!$A$6:$A$5000)-ROW('Work Items'!$A$6)+1),7)),"")</f>
        <v/>
      </c>
      <c r="M11" s="25">
        <f t="array" ref="M11">IFERROR(INDEX('Work Items'!$T$6:$T$5000,SMALL(IF('Work Items'!$A$6:$A$5000="Risk",ROW('Work Items'!$A$6:$A$5000)-ROW('Work Items'!$A$6)+1),7)),"")</f>
        <v/>
      </c>
    </row>
    <row r="12" ht="18" customHeight="1" s="66">
      <c r="A12" s="23">
        <f t="array" ref="A12">IFERROR(INDEX('Work Items'!$A$6:$A$5000,SMALL(IF('Work Items'!$A$6:$A$5000="Risk",ROW('Work Items'!$A$6:$A$5000)-ROW('Work Items'!$A$6)+1),8)),"")</f>
        <v/>
      </c>
      <c r="B12" s="44">
        <f t="array" ref="B12">IFERROR(INDEX('Work Items'!$B$6:$B$5000,SMALL(IF('Work Items'!$A$6:$A$5000="Risk",ROW('Work Items'!$A$6:$A$5000)-ROW('Work Items'!$A$6)+1),8)),"")</f>
        <v/>
      </c>
      <c r="C12" s="93">
        <f>IF(E12="","",IFERROR(INDEX('Projects Master'!$A:$A,MATCH(E12,'Projects Master'!$B:$B,0)),"OrgRisk"))</f>
        <v/>
      </c>
      <c r="D12" s="20">
        <f t="array" ref="D12">IFERROR(INDEX('Work Items'!$C$6:$C$5000,SMALL(IF('Work Items'!$A$6:$A$5000="Risk",ROW('Work Items'!$A$6:$A$5000)-ROW('Work Items'!$A$6)+1),8)),"")</f>
        <v/>
      </c>
      <c r="E12" s="21">
        <f t="array" ref="E12">IFERROR(INDEX('Work Items'!$D$6:$D$5000,SMALL(IF('Work Items'!$A$6:$A$5000="Risk",ROW('Work Items'!$A$6:$A$5000)-ROW('Work Items'!$A$6)+1),8)),"")</f>
        <v/>
      </c>
      <c r="F12" s="22">
        <f t="array" ref="F12">IFERROR(INDEX('Work Items'!$E$6:$E$5000,SMALL(IF('Work Items'!$A$6:$A$5000="Risk",ROW('Work Items'!$A$6:$A$5000)-ROW('Work Items'!$A$6)+1),8)),"")</f>
        <v/>
      </c>
      <c r="G12" s="22">
        <f t="array" ref="G12">IFERROR(INDEX('Work Items'!$F$6:$F$5000,SMALL(IF('Work Items'!$A$6:$A$5000="Risk",ROW('Work Items'!$A$6:$A$5000)-ROW('Work Items'!$A$6)+1),8)),"")</f>
        <v/>
      </c>
      <c r="H12" s="22">
        <f t="array" ref="H12">IFERROR(INDEX('Work Items'!$J$6:$J$5000,SMALL(IF('Work Items'!$A$6:$A$5000="Risk",ROW('Work Items'!$A$6:$A$5000)-ROW('Work Items'!$A$6)+1),8)),"")</f>
        <v/>
      </c>
      <c r="I12" s="28">
        <f t="array" ref="I12">IFERROR(INDEX('Work Items'!$K$6:$K$5000,SMALL(IF('Work Items'!$A$6:$A$5000="Risk",ROW('Work Items'!$A$6:$A$5000)-ROW('Work Items'!$A$6)+1),8)),"")</f>
        <v/>
      </c>
      <c r="J12" s="23">
        <f t="array" ref="J12">IFERROR(INDEX('Work Items'!$L$6:$L$5000,SMALL(IF('Work Items'!$A$6:$A$5000="Risk",ROW('Work Items'!$A$6:$A$5000)-ROW('Work Items'!$A$6)+1),8)),"")</f>
        <v/>
      </c>
      <c r="K12" s="45">
        <f t="array" ref="K12">IFERROR(IF(AND(INDEX('Work Items'!$R$6:$R$5000,SMALL(IF('Work Items'!$A$6:$A$5000="Risk",ROW('Work Items'!$A$6:$A$5000)-ROW('Work Items'!$A$6)+1),8))&lt;&gt;"",INDEX('Work Items'!$S$6:$S$5000,SMALL(IF('Work Items'!$A$6:$A$5000="Risk",ROW('Work Items'!$A$6:$A$5000)-ROW('Work Items'!$A$6)+1),8))&lt;&gt;""),INDEX('Work Items'!$R$6:$R$5000,SMALL(IF('Work Items'!$A$6:$A$5000="Risk",ROW('Work Items'!$A$6:$A$5000)-ROW('Work Items'!$A$6)+1),8))*INDEX('Work Items'!$S$6:$S$5000,SMALL(IF('Work Items'!$A$6:$A$5000="Risk",ROW('Work Items'!$A$6:$A$5000)-ROW('Work Items'!$A$6)+1),8)),INDEX('Work Items'!$U$6:$U$5000,SMALL(IF('Work Items'!$A$6:$A$5000="Risk",ROW('Work Items'!$A$6:$A$5000)-ROW('Work Items'!$A$6)+1),8))),"")</f>
        <v/>
      </c>
      <c r="L12" s="216">
        <f t="array" ref="L12">IFERROR(INDEX('Work Items'!$Q$6:$Q$5000,SMALL(IF('Work Items'!$A$6:$A$5000="Risk",ROW('Work Items'!$A$6:$A$5000)-ROW('Work Items'!$A$6)+1),8)),"")</f>
        <v/>
      </c>
      <c r="M12" s="25">
        <f t="array" ref="M12">IFERROR(INDEX('Work Items'!$T$6:$T$5000,SMALL(IF('Work Items'!$A$6:$A$5000="Risk",ROW('Work Items'!$A$6:$A$5000)-ROW('Work Items'!$A$6)+1),8)),"")</f>
        <v/>
      </c>
    </row>
    <row r="13">
      <c r="A13">
        <f t="array" ref="A13">IFERROR(INDEX('Work Items'!$A$6:$A$5000,SMALL(IF('Work Items'!$A$6:$A$5000="Risk",ROW('Work Items'!$A$6:$A$5000)-ROW('Work Items'!$A$6)+1),9)),"")</f>
        <v/>
      </c>
      <c r="B13">
        <f t="array" ref="B13">IFERROR(INDEX('Work Items'!$B$6:$B$5000,SMALL(IF('Work Items'!$A$6:$A$5000="Risk",ROW('Work Items'!$A$6:$A$5000)-ROW('Work Items'!$A$6)+1),9)),"")</f>
        <v/>
      </c>
      <c r="C13">
        <f>IF(E13="","",IFERROR(INDEX('Projects Master'!$A:$A,MATCH(E13,'Projects Master'!$B:$B,0)),"OrgRisk"))</f>
        <v/>
      </c>
      <c r="D13">
        <f t="array" ref="D13">IFERROR(INDEX('Work Items'!$C$6:$C$5000,SMALL(IF('Work Items'!$A$6:$A$5000="Risk",ROW('Work Items'!$A$6:$A$5000)-ROW('Work Items'!$A$6)+1),9)),"")</f>
        <v/>
      </c>
      <c r="E13">
        <f t="array" ref="E13">IFERROR(INDEX('Work Items'!$D$6:$D$5000,SMALL(IF('Work Items'!$A$6:$A$5000="Risk",ROW('Work Items'!$A$6:$A$5000)-ROW('Work Items'!$A$6)+1),9)),"")</f>
        <v/>
      </c>
      <c r="F13">
        <f t="array" ref="F13">IFERROR(INDEX('Work Items'!$E$6:$E$5000,SMALL(IF('Work Items'!$A$6:$A$5000="Risk",ROW('Work Items'!$A$6:$A$5000)-ROW('Work Items'!$A$6)+1),9)),"")</f>
        <v/>
      </c>
      <c r="G13">
        <f t="array" ref="G13">IFERROR(INDEX('Work Items'!$F$6:$F$5000,SMALL(IF('Work Items'!$A$6:$A$5000="Risk",ROW('Work Items'!$A$6:$A$5000)-ROW('Work Items'!$A$6)+1),9)),"")</f>
        <v/>
      </c>
      <c r="H13">
        <f t="array" ref="H13">IFERROR(INDEX('Work Items'!$J$6:$J$5000,SMALL(IF('Work Items'!$A$6:$A$5000="Risk",ROW('Work Items'!$A$6:$A$5000)-ROW('Work Items'!$A$6)+1),9)),"")</f>
        <v/>
      </c>
      <c r="I13">
        <f t="array" ref="I13">IFERROR(INDEX('Work Items'!$K$6:$K$5000,SMALL(IF('Work Items'!$A$6:$A$5000="Risk",ROW('Work Items'!$A$6:$A$5000)-ROW('Work Items'!$A$6)+1),9)),"")</f>
        <v/>
      </c>
      <c r="J13">
        <f t="array" ref="J13">IFERROR(INDEX('Work Items'!$L$6:$L$5000,SMALL(IF('Work Items'!$A$6:$A$5000="Risk",ROW('Work Items'!$A$6:$A$5000)-ROW('Work Items'!$A$6)+1),9)),"")</f>
        <v/>
      </c>
      <c r="K13">
        <f t="array" ref="K13">IFERROR(IF(AND(INDEX('Work Items'!$R$6:$R$5000,SMALL(IF('Work Items'!$A$6:$A$5000="Risk",ROW('Work Items'!$A$6:$A$5000)-ROW('Work Items'!$A$6)+1),9))&lt;&gt;"",INDEX('Work Items'!$S$6:$S$5000,SMALL(IF('Work Items'!$A$6:$A$5000="Risk",ROW('Work Items'!$A$6:$A$5000)-ROW('Work Items'!$A$6)+1),9))&lt;&gt;""),INDEX('Work Items'!$R$6:$R$5000,SMALL(IF('Work Items'!$A$6:$A$5000="Risk",ROW('Work Items'!$A$6:$A$5000)-ROW('Work Items'!$A$6)+1),9))*INDEX('Work Items'!$S$6:$S$5000,SMALL(IF('Work Items'!$A$6:$A$5000="Risk",ROW('Work Items'!$A$6:$A$5000)-ROW('Work Items'!$A$6)+1),9)),INDEX('Work Items'!$U$6:$U$5000,SMALL(IF('Work Items'!$A$6:$A$5000="Risk",ROW('Work Items'!$A$6:$A$5000)-ROW('Work Items'!$A$6)+1),9))),"")</f>
        <v/>
      </c>
      <c r="L13" s="217">
        <f t="array" ref="L13">IFERROR(INDEX('Work Items'!$Q$6:$Q$5000,SMALL(IF('Work Items'!$A$6:$A$5000="Risk",ROW('Work Items'!$A$6:$A$5000)-ROW('Work Items'!$A$6)+1),9)),"")</f>
        <v/>
      </c>
      <c r="M13">
        <f t="array" ref="M13">IFERROR(INDEX('Work Items'!$T$6:$T$5000,SMALL(IF('Work Items'!$A$6:$A$5000="Risk",ROW('Work Items'!$A$6:$A$5000)-ROW('Work Items'!$A$6)+1),9)),"")</f>
        <v/>
      </c>
    </row>
    <row r="14">
      <c r="A14">
        <f t="array" ref="A14">IFERROR(INDEX('Work Items'!$A$6:$A$5000,SMALL(IF('Work Items'!$A$6:$A$5000="Risk",ROW('Work Items'!$A$6:$A$5000)-ROW('Work Items'!$A$6)+1),10)),"")</f>
        <v/>
      </c>
      <c r="B14">
        <f t="array" ref="B14">IFERROR(INDEX('Work Items'!$B$6:$B$5000,SMALL(IF('Work Items'!$A$6:$A$5000="Risk",ROW('Work Items'!$A$6:$A$5000)-ROW('Work Items'!$A$6)+1),10)),"")</f>
        <v/>
      </c>
      <c r="C14">
        <f>IF(E14="","",IFERROR(INDEX('Projects Master'!$A:$A,MATCH(E14,'Projects Master'!$B:$B,0)),"OrgRisk"))</f>
        <v/>
      </c>
      <c r="D14">
        <f t="array" ref="D14">IFERROR(INDEX('Work Items'!$C$6:$C$5000,SMALL(IF('Work Items'!$A$6:$A$5000="Risk",ROW('Work Items'!$A$6:$A$5000)-ROW('Work Items'!$A$6)+1),10)),"")</f>
        <v/>
      </c>
      <c r="E14">
        <f t="array" ref="E14">IFERROR(INDEX('Work Items'!$D$6:$D$5000,SMALL(IF('Work Items'!$A$6:$A$5000="Risk",ROW('Work Items'!$A$6:$A$5000)-ROW('Work Items'!$A$6)+1),10)),"")</f>
        <v/>
      </c>
      <c r="F14">
        <f t="array" ref="F14">IFERROR(INDEX('Work Items'!$E$6:$E$5000,SMALL(IF('Work Items'!$A$6:$A$5000="Risk",ROW('Work Items'!$A$6:$A$5000)-ROW('Work Items'!$A$6)+1),10)),"")</f>
        <v/>
      </c>
      <c r="G14">
        <f t="array" ref="G14">IFERROR(INDEX('Work Items'!$F$6:$F$5000,SMALL(IF('Work Items'!$A$6:$A$5000="Risk",ROW('Work Items'!$A$6:$A$5000)-ROW('Work Items'!$A$6)+1),10)),"")</f>
        <v/>
      </c>
      <c r="H14">
        <f t="array" ref="H14">IFERROR(INDEX('Work Items'!$J$6:$J$5000,SMALL(IF('Work Items'!$A$6:$A$5000="Risk",ROW('Work Items'!$A$6:$A$5000)-ROW('Work Items'!$A$6)+1),10)),"")</f>
        <v/>
      </c>
      <c r="I14">
        <f t="array" ref="I14">IFERROR(INDEX('Work Items'!$K$6:$K$5000,SMALL(IF('Work Items'!$A$6:$A$5000="Risk",ROW('Work Items'!$A$6:$A$5000)-ROW('Work Items'!$A$6)+1),10)),"")</f>
        <v/>
      </c>
      <c r="J14">
        <f t="array" ref="J14">IFERROR(INDEX('Work Items'!$L$6:$L$5000,SMALL(IF('Work Items'!$A$6:$A$5000="Risk",ROW('Work Items'!$A$6:$A$5000)-ROW('Work Items'!$A$6)+1),10)),"")</f>
        <v/>
      </c>
      <c r="K14">
        <f t="array" ref="K14">IFERROR(IF(AND(INDEX('Work Items'!$R$6:$R$5000,SMALL(IF('Work Items'!$A$6:$A$5000="Risk",ROW('Work Items'!$A$6:$A$5000)-ROW('Work Items'!$A$6)+1),10))&lt;&gt;"",INDEX('Work Items'!$S$6:$S$5000,SMALL(IF('Work Items'!$A$6:$A$5000="Risk",ROW('Work Items'!$A$6:$A$5000)-ROW('Work Items'!$A$6)+1),10))&lt;&gt;""),INDEX('Work Items'!$R$6:$R$5000,SMALL(IF('Work Items'!$A$6:$A$5000="Risk",ROW('Work Items'!$A$6:$A$5000)-ROW('Work Items'!$A$6)+1),10))*INDEX('Work Items'!$S$6:$S$5000,SMALL(IF('Work Items'!$A$6:$A$5000="Risk",ROW('Work Items'!$A$6:$A$5000)-ROW('Work Items'!$A$6)+1),10)),INDEX('Work Items'!$U$6:$U$5000,SMALL(IF('Work Items'!$A$6:$A$5000="Risk",ROW('Work Items'!$A$6:$A$5000)-ROW('Work Items'!$A$6)+1),10))),"")</f>
        <v/>
      </c>
      <c r="L14" s="217">
        <f t="array" ref="L14">IFERROR(INDEX('Work Items'!$Q$6:$Q$5000,SMALL(IF('Work Items'!$A$6:$A$5000="Risk",ROW('Work Items'!$A$6:$A$5000)-ROW('Work Items'!$A$6)+1),10)),"")</f>
        <v/>
      </c>
      <c r="M14">
        <f t="array" ref="M14">IFERROR(INDEX('Work Items'!$T$6:$T$5000,SMALL(IF('Work Items'!$A$6:$A$5000="Risk",ROW('Work Items'!$A$6:$A$5000)-ROW('Work Items'!$A$6)+1),10)),"")</f>
        <v/>
      </c>
    </row>
    <row r="15">
      <c r="A15">
        <f t="array" ref="A15">IFERROR(INDEX('Work Items'!$A$6:$A$5000,SMALL(IF('Work Items'!$A$6:$A$5000="Risk",ROW('Work Items'!$A$6:$A$5000)-ROW('Work Items'!$A$6)+1),11)),"")</f>
        <v/>
      </c>
      <c r="B15">
        <f t="array" ref="B15">IFERROR(INDEX('Work Items'!$B$6:$B$5000,SMALL(IF('Work Items'!$A$6:$A$5000="Risk",ROW('Work Items'!$A$6:$A$5000)-ROW('Work Items'!$A$6)+1),11)),"")</f>
        <v/>
      </c>
      <c r="C15">
        <f>IF(E15="","",IFERROR(INDEX('Projects Master'!$A:$A,MATCH(E15,'Projects Master'!$B:$B,0)),"OrgRisk"))</f>
        <v/>
      </c>
      <c r="D15">
        <f t="array" ref="D15">IFERROR(INDEX('Work Items'!$C$6:$C$5000,SMALL(IF('Work Items'!$A$6:$A$5000="Risk",ROW('Work Items'!$A$6:$A$5000)-ROW('Work Items'!$A$6)+1),11)),"")</f>
        <v/>
      </c>
      <c r="E15">
        <f t="array" ref="E15">IFERROR(INDEX('Work Items'!$D$6:$D$5000,SMALL(IF('Work Items'!$A$6:$A$5000="Risk",ROW('Work Items'!$A$6:$A$5000)-ROW('Work Items'!$A$6)+1),11)),"")</f>
        <v/>
      </c>
      <c r="F15">
        <f t="array" ref="F15">IFERROR(INDEX('Work Items'!$E$6:$E$5000,SMALL(IF('Work Items'!$A$6:$A$5000="Risk",ROW('Work Items'!$A$6:$A$5000)-ROW('Work Items'!$A$6)+1),11)),"")</f>
        <v/>
      </c>
      <c r="G15">
        <f t="array" ref="G15">IFERROR(INDEX('Work Items'!$F$6:$F$5000,SMALL(IF('Work Items'!$A$6:$A$5000="Risk",ROW('Work Items'!$A$6:$A$5000)-ROW('Work Items'!$A$6)+1),11)),"")</f>
        <v/>
      </c>
      <c r="H15">
        <f t="array" ref="H15">IFERROR(INDEX('Work Items'!$J$6:$J$5000,SMALL(IF('Work Items'!$A$6:$A$5000="Risk",ROW('Work Items'!$A$6:$A$5000)-ROW('Work Items'!$A$6)+1),11)),"")</f>
        <v/>
      </c>
      <c r="I15">
        <f t="array" ref="I15">IFERROR(INDEX('Work Items'!$K$6:$K$5000,SMALL(IF('Work Items'!$A$6:$A$5000="Risk",ROW('Work Items'!$A$6:$A$5000)-ROW('Work Items'!$A$6)+1),11)),"")</f>
        <v/>
      </c>
      <c r="J15">
        <f t="array" ref="J15">IFERROR(INDEX('Work Items'!$L$6:$L$5000,SMALL(IF('Work Items'!$A$6:$A$5000="Risk",ROW('Work Items'!$A$6:$A$5000)-ROW('Work Items'!$A$6)+1),11)),"")</f>
        <v/>
      </c>
      <c r="K15">
        <f t="array" ref="K15">IFERROR(IF(AND(INDEX('Work Items'!$R$6:$R$5000,SMALL(IF('Work Items'!$A$6:$A$5000="Risk",ROW('Work Items'!$A$6:$A$5000)-ROW('Work Items'!$A$6)+1),11))&lt;&gt;"",INDEX('Work Items'!$S$6:$S$5000,SMALL(IF('Work Items'!$A$6:$A$5000="Risk",ROW('Work Items'!$A$6:$A$5000)-ROW('Work Items'!$A$6)+1),11))&lt;&gt;""),INDEX('Work Items'!$R$6:$R$5000,SMALL(IF('Work Items'!$A$6:$A$5000="Risk",ROW('Work Items'!$A$6:$A$5000)-ROW('Work Items'!$A$6)+1),11))*INDEX('Work Items'!$S$6:$S$5000,SMALL(IF('Work Items'!$A$6:$A$5000="Risk",ROW('Work Items'!$A$6:$A$5000)-ROW('Work Items'!$A$6)+1),11)),INDEX('Work Items'!$U$6:$U$5000,SMALL(IF('Work Items'!$A$6:$A$5000="Risk",ROW('Work Items'!$A$6:$A$5000)-ROW('Work Items'!$A$6)+1),11))),"")</f>
        <v/>
      </c>
      <c r="L15" s="217">
        <f t="array" ref="L15">IFERROR(INDEX('Work Items'!$Q$6:$Q$5000,SMALL(IF('Work Items'!$A$6:$A$5000="Risk",ROW('Work Items'!$A$6:$A$5000)-ROW('Work Items'!$A$6)+1),11)),"")</f>
        <v/>
      </c>
      <c r="M15">
        <f t="array" ref="M15">IFERROR(INDEX('Work Items'!$T$6:$T$5000,SMALL(IF('Work Items'!$A$6:$A$5000="Risk",ROW('Work Items'!$A$6:$A$5000)-ROW('Work Items'!$A$6)+1),11)),"")</f>
        <v/>
      </c>
    </row>
    <row r="16">
      <c r="A16">
        <f t="array" ref="A16">IFERROR(INDEX('Work Items'!$A$6:$A$5000,SMALL(IF('Work Items'!$A$6:$A$5000="Risk",ROW('Work Items'!$A$6:$A$5000)-ROW('Work Items'!$A$6)+1),12)),"")</f>
        <v/>
      </c>
      <c r="B16">
        <f t="array" ref="B16">IFERROR(INDEX('Work Items'!$B$6:$B$5000,SMALL(IF('Work Items'!$A$6:$A$5000="Risk",ROW('Work Items'!$A$6:$A$5000)-ROW('Work Items'!$A$6)+1),12)),"")</f>
        <v/>
      </c>
      <c r="C16">
        <f>IF(E16="","",IFERROR(INDEX('Projects Master'!$A:$A,MATCH(E16,'Projects Master'!$B:$B,0)),"OrgRisk"))</f>
        <v/>
      </c>
      <c r="D16">
        <f t="array" ref="D16">IFERROR(INDEX('Work Items'!$C$6:$C$5000,SMALL(IF('Work Items'!$A$6:$A$5000="Risk",ROW('Work Items'!$A$6:$A$5000)-ROW('Work Items'!$A$6)+1),12)),"")</f>
        <v/>
      </c>
      <c r="E16">
        <f t="array" ref="E16">IFERROR(INDEX('Work Items'!$D$6:$D$5000,SMALL(IF('Work Items'!$A$6:$A$5000="Risk",ROW('Work Items'!$A$6:$A$5000)-ROW('Work Items'!$A$6)+1),12)),"")</f>
        <v/>
      </c>
      <c r="F16">
        <f t="array" ref="F16">IFERROR(INDEX('Work Items'!$E$6:$E$5000,SMALL(IF('Work Items'!$A$6:$A$5000="Risk",ROW('Work Items'!$A$6:$A$5000)-ROW('Work Items'!$A$6)+1),12)),"")</f>
        <v/>
      </c>
      <c r="G16">
        <f t="array" ref="G16">IFERROR(INDEX('Work Items'!$F$6:$F$5000,SMALL(IF('Work Items'!$A$6:$A$5000="Risk",ROW('Work Items'!$A$6:$A$5000)-ROW('Work Items'!$A$6)+1),12)),"")</f>
        <v/>
      </c>
      <c r="H16">
        <f t="array" ref="H16">IFERROR(INDEX('Work Items'!$J$6:$J$5000,SMALL(IF('Work Items'!$A$6:$A$5000="Risk",ROW('Work Items'!$A$6:$A$5000)-ROW('Work Items'!$A$6)+1),12)),"")</f>
        <v/>
      </c>
      <c r="I16">
        <f t="array" ref="I16">IFERROR(INDEX('Work Items'!$K$6:$K$5000,SMALL(IF('Work Items'!$A$6:$A$5000="Risk",ROW('Work Items'!$A$6:$A$5000)-ROW('Work Items'!$A$6)+1),12)),"")</f>
        <v/>
      </c>
      <c r="J16">
        <f t="array" ref="J16">IFERROR(INDEX('Work Items'!$L$6:$L$5000,SMALL(IF('Work Items'!$A$6:$A$5000="Risk",ROW('Work Items'!$A$6:$A$5000)-ROW('Work Items'!$A$6)+1),12)),"")</f>
        <v/>
      </c>
      <c r="K16">
        <f t="array" ref="K16">IFERROR(IF(AND(INDEX('Work Items'!$R$6:$R$5000,SMALL(IF('Work Items'!$A$6:$A$5000="Risk",ROW('Work Items'!$A$6:$A$5000)-ROW('Work Items'!$A$6)+1),12))&lt;&gt;"",INDEX('Work Items'!$S$6:$S$5000,SMALL(IF('Work Items'!$A$6:$A$5000="Risk",ROW('Work Items'!$A$6:$A$5000)-ROW('Work Items'!$A$6)+1),12))&lt;&gt;""),INDEX('Work Items'!$R$6:$R$5000,SMALL(IF('Work Items'!$A$6:$A$5000="Risk",ROW('Work Items'!$A$6:$A$5000)-ROW('Work Items'!$A$6)+1),12))*INDEX('Work Items'!$S$6:$S$5000,SMALL(IF('Work Items'!$A$6:$A$5000="Risk",ROW('Work Items'!$A$6:$A$5000)-ROW('Work Items'!$A$6)+1),12)),INDEX('Work Items'!$U$6:$U$5000,SMALL(IF('Work Items'!$A$6:$A$5000="Risk",ROW('Work Items'!$A$6:$A$5000)-ROW('Work Items'!$A$6)+1),12))),"")</f>
        <v/>
      </c>
      <c r="L16" s="217">
        <f t="array" ref="L16">IFERROR(INDEX('Work Items'!$Q$6:$Q$5000,SMALL(IF('Work Items'!$A$6:$A$5000="Risk",ROW('Work Items'!$A$6:$A$5000)-ROW('Work Items'!$A$6)+1),12)),"")</f>
        <v/>
      </c>
      <c r="M16">
        <f t="array" ref="M16">IFERROR(INDEX('Work Items'!$T$6:$T$5000,SMALL(IF('Work Items'!$A$6:$A$5000="Risk",ROW('Work Items'!$A$6:$A$5000)-ROW('Work Items'!$A$6)+1),12)),"")</f>
        <v/>
      </c>
    </row>
    <row r="17">
      <c r="A17">
        <f t="array" ref="A17">IFERROR(INDEX('Work Items'!$A$6:$A$5000,SMALL(IF('Work Items'!$A$6:$A$5000="Risk",ROW('Work Items'!$A$6:$A$5000)-ROW('Work Items'!$A$6)+1),13)),"")</f>
        <v/>
      </c>
      <c r="B17">
        <f t="array" ref="B17">IFERROR(INDEX('Work Items'!$B$6:$B$5000,SMALL(IF('Work Items'!$A$6:$A$5000="Risk",ROW('Work Items'!$A$6:$A$5000)-ROW('Work Items'!$A$6)+1),13)),"")</f>
        <v/>
      </c>
      <c r="C17">
        <f>IF(E17="","",IFERROR(INDEX('Projects Master'!$A:$A,MATCH(E17,'Projects Master'!$B:$B,0)),"OrgRisk"))</f>
        <v/>
      </c>
      <c r="D17">
        <f t="array" ref="D17">IFERROR(INDEX('Work Items'!$C$6:$C$5000,SMALL(IF('Work Items'!$A$6:$A$5000="Risk",ROW('Work Items'!$A$6:$A$5000)-ROW('Work Items'!$A$6)+1),13)),"")</f>
        <v/>
      </c>
      <c r="E17">
        <f t="array" ref="E17">IFERROR(INDEX('Work Items'!$D$6:$D$5000,SMALL(IF('Work Items'!$A$6:$A$5000="Risk",ROW('Work Items'!$A$6:$A$5000)-ROW('Work Items'!$A$6)+1),13)),"")</f>
        <v/>
      </c>
      <c r="F17">
        <f t="array" ref="F17">IFERROR(INDEX('Work Items'!$E$6:$E$5000,SMALL(IF('Work Items'!$A$6:$A$5000="Risk",ROW('Work Items'!$A$6:$A$5000)-ROW('Work Items'!$A$6)+1),13)),"")</f>
        <v/>
      </c>
      <c r="G17">
        <f t="array" ref="G17">IFERROR(INDEX('Work Items'!$F$6:$F$5000,SMALL(IF('Work Items'!$A$6:$A$5000="Risk",ROW('Work Items'!$A$6:$A$5000)-ROW('Work Items'!$A$6)+1),13)),"")</f>
        <v/>
      </c>
      <c r="H17">
        <f t="array" ref="H17">IFERROR(INDEX('Work Items'!$J$6:$J$5000,SMALL(IF('Work Items'!$A$6:$A$5000="Risk",ROW('Work Items'!$A$6:$A$5000)-ROW('Work Items'!$A$6)+1),13)),"")</f>
        <v/>
      </c>
      <c r="I17">
        <f t="array" ref="I17">IFERROR(INDEX('Work Items'!$K$6:$K$5000,SMALL(IF('Work Items'!$A$6:$A$5000="Risk",ROW('Work Items'!$A$6:$A$5000)-ROW('Work Items'!$A$6)+1),13)),"")</f>
        <v/>
      </c>
      <c r="J17">
        <f t="array" ref="J17">IFERROR(INDEX('Work Items'!$L$6:$L$5000,SMALL(IF('Work Items'!$A$6:$A$5000="Risk",ROW('Work Items'!$A$6:$A$5000)-ROW('Work Items'!$A$6)+1),13)),"")</f>
        <v/>
      </c>
      <c r="K17">
        <f t="array" ref="K17">IFERROR(IF(AND(INDEX('Work Items'!$R$6:$R$5000,SMALL(IF('Work Items'!$A$6:$A$5000="Risk",ROW('Work Items'!$A$6:$A$5000)-ROW('Work Items'!$A$6)+1),13))&lt;&gt;"",INDEX('Work Items'!$S$6:$S$5000,SMALL(IF('Work Items'!$A$6:$A$5000="Risk",ROW('Work Items'!$A$6:$A$5000)-ROW('Work Items'!$A$6)+1),13))&lt;&gt;""),INDEX('Work Items'!$R$6:$R$5000,SMALL(IF('Work Items'!$A$6:$A$5000="Risk",ROW('Work Items'!$A$6:$A$5000)-ROW('Work Items'!$A$6)+1),13))*INDEX('Work Items'!$S$6:$S$5000,SMALL(IF('Work Items'!$A$6:$A$5000="Risk",ROW('Work Items'!$A$6:$A$5000)-ROW('Work Items'!$A$6)+1),13)),INDEX('Work Items'!$U$6:$U$5000,SMALL(IF('Work Items'!$A$6:$A$5000="Risk",ROW('Work Items'!$A$6:$A$5000)-ROW('Work Items'!$A$6)+1),13))),"")</f>
        <v/>
      </c>
      <c r="L17" s="217">
        <f t="array" ref="L17">IFERROR(INDEX('Work Items'!$Q$6:$Q$5000,SMALL(IF('Work Items'!$A$6:$A$5000="Risk",ROW('Work Items'!$A$6:$A$5000)-ROW('Work Items'!$A$6)+1),13)),"")</f>
        <v/>
      </c>
      <c r="M17">
        <f t="array" ref="M17">IFERROR(INDEX('Work Items'!$T$6:$T$5000,SMALL(IF('Work Items'!$A$6:$A$5000="Risk",ROW('Work Items'!$A$6:$A$5000)-ROW('Work Items'!$A$6)+1),13)),"")</f>
        <v/>
      </c>
    </row>
    <row r="18">
      <c r="A18">
        <f t="array" ref="A18">IFERROR(INDEX('Work Items'!$A$6:$A$5000,SMALL(IF('Work Items'!$A$6:$A$5000="Risk",ROW('Work Items'!$A$6:$A$5000)-ROW('Work Items'!$A$6)+1),14)),"")</f>
        <v/>
      </c>
      <c r="B18">
        <f t="array" ref="B18">IFERROR(INDEX('Work Items'!$B$6:$B$5000,SMALL(IF('Work Items'!$A$6:$A$5000="Risk",ROW('Work Items'!$A$6:$A$5000)-ROW('Work Items'!$A$6)+1),14)),"")</f>
        <v/>
      </c>
      <c r="C18">
        <f>IF(E18="","",IFERROR(INDEX('Projects Master'!$A:$A,MATCH(E18,'Projects Master'!$B:$B,0)),"OrgRisk"))</f>
        <v/>
      </c>
      <c r="D18">
        <f t="array" ref="D18">IFERROR(INDEX('Work Items'!$C$6:$C$5000,SMALL(IF('Work Items'!$A$6:$A$5000="Risk",ROW('Work Items'!$A$6:$A$5000)-ROW('Work Items'!$A$6)+1),14)),"")</f>
        <v/>
      </c>
      <c r="E18">
        <f t="array" ref="E18">IFERROR(INDEX('Work Items'!$D$6:$D$5000,SMALL(IF('Work Items'!$A$6:$A$5000="Risk",ROW('Work Items'!$A$6:$A$5000)-ROW('Work Items'!$A$6)+1),14)),"")</f>
        <v/>
      </c>
      <c r="F18">
        <f t="array" ref="F18">IFERROR(INDEX('Work Items'!$E$6:$E$5000,SMALL(IF('Work Items'!$A$6:$A$5000="Risk",ROW('Work Items'!$A$6:$A$5000)-ROW('Work Items'!$A$6)+1),14)),"")</f>
        <v/>
      </c>
      <c r="G18">
        <f t="array" ref="G18">IFERROR(INDEX('Work Items'!$F$6:$F$5000,SMALL(IF('Work Items'!$A$6:$A$5000="Risk",ROW('Work Items'!$A$6:$A$5000)-ROW('Work Items'!$A$6)+1),14)),"")</f>
        <v/>
      </c>
      <c r="H18">
        <f t="array" ref="H18">IFERROR(INDEX('Work Items'!$J$6:$J$5000,SMALL(IF('Work Items'!$A$6:$A$5000="Risk",ROW('Work Items'!$A$6:$A$5000)-ROW('Work Items'!$A$6)+1),14)),"")</f>
        <v/>
      </c>
      <c r="I18">
        <f t="array" ref="I18">IFERROR(INDEX('Work Items'!$K$6:$K$5000,SMALL(IF('Work Items'!$A$6:$A$5000="Risk",ROW('Work Items'!$A$6:$A$5000)-ROW('Work Items'!$A$6)+1),14)),"")</f>
        <v/>
      </c>
      <c r="J18">
        <f t="array" ref="J18">IFERROR(INDEX('Work Items'!$L$6:$L$5000,SMALL(IF('Work Items'!$A$6:$A$5000="Risk",ROW('Work Items'!$A$6:$A$5000)-ROW('Work Items'!$A$6)+1),14)),"")</f>
        <v/>
      </c>
      <c r="K18">
        <f t="array" ref="K18">IFERROR(IF(AND(INDEX('Work Items'!$R$6:$R$5000,SMALL(IF('Work Items'!$A$6:$A$5000="Risk",ROW('Work Items'!$A$6:$A$5000)-ROW('Work Items'!$A$6)+1),14))&lt;&gt;"",INDEX('Work Items'!$S$6:$S$5000,SMALL(IF('Work Items'!$A$6:$A$5000="Risk",ROW('Work Items'!$A$6:$A$5000)-ROW('Work Items'!$A$6)+1),14))&lt;&gt;""),INDEX('Work Items'!$R$6:$R$5000,SMALL(IF('Work Items'!$A$6:$A$5000="Risk",ROW('Work Items'!$A$6:$A$5000)-ROW('Work Items'!$A$6)+1),14))*INDEX('Work Items'!$S$6:$S$5000,SMALL(IF('Work Items'!$A$6:$A$5000="Risk",ROW('Work Items'!$A$6:$A$5000)-ROW('Work Items'!$A$6)+1),14)),INDEX('Work Items'!$U$6:$U$5000,SMALL(IF('Work Items'!$A$6:$A$5000="Risk",ROW('Work Items'!$A$6:$A$5000)-ROW('Work Items'!$A$6)+1),14))),"")</f>
        <v/>
      </c>
      <c r="L18" s="217">
        <f t="array" ref="L18">IFERROR(INDEX('Work Items'!$Q$6:$Q$5000,SMALL(IF('Work Items'!$A$6:$A$5000="Risk",ROW('Work Items'!$A$6:$A$5000)-ROW('Work Items'!$A$6)+1),14)),"")</f>
        <v/>
      </c>
      <c r="M18">
        <f t="array" ref="M18">IFERROR(INDEX('Work Items'!$T$6:$T$5000,SMALL(IF('Work Items'!$A$6:$A$5000="Risk",ROW('Work Items'!$A$6:$A$5000)-ROW('Work Items'!$A$6)+1),14)),"")</f>
        <v/>
      </c>
    </row>
    <row r="19">
      <c r="A19">
        <f t="array" ref="A19">IFERROR(INDEX('Work Items'!$A$6:$A$5000,SMALL(IF('Work Items'!$A$6:$A$5000="Risk",ROW('Work Items'!$A$6:$A$5000)-ROW('Work Items'!$A$6)+1),15)),"")</f>
        <v/>
      </c>
      <c r="B19">
        <f t="array" ref="B19">IFERROR(INDEX('Work Items'!$B$6:$B$5000,SMALL(IF('Work Items'!$A$6:$A$5000="Risk",ROW('Work Items'!$A$6:$A$5000)-ROW('Work Items'!$A$6)+1),15)),"")</f>
        <v/>
      </c>
      <c r="C19">
        <f>IF(E19="","",IFERROR(INDEX('Projects Master'!$A:$A,MATCH(E19,'Projects Master'!$B:$B,0)),"OrgRisk"))</f>
        <v/>
      </c>
      <c r="D19">
        <f t="array" ref="D19">IFERROR(INDEX('Work Items'!$C$6:$C$5000,SMALL(IF('Work Items'!$A$6:$A$5000="Risk",ROW('Work Items'!$A$6:$A$5000)-ROW('Work Items'!$A$6)+1),15)),"")</f>
        <v/>
      </c>
      <c r="E19">
        <f t="array" ref="E19">IFERROR(INDEX('Work Items'!$D$6:$D$5000,SMALL(IF('Work Items'!$A$6:$A$5000="Risk",ROW('Work Items'!$A$6:$A$5000)-ROW('Work Items'!$A$6)+1),15)),"")</f>
        <v/>
      </c>
      <c r="F19">
        <f t="array" ref="F19">IFERROR(INDEX('Work Items'!$E$6:$E$5000,SMALL(IF('Work Items'!$A$6:$A$5000="Risk",ROW('Work Items'!$A$6:$A$5000)-ROW('Work Items'!$A$6)+1),15)),"")</f>
        <v/>
      </c>
      <c r="G19">
        <f t="array" ref="G19">IFERROR(INDEX('Work Items'!$F$6:$F$5000,SMALL(IF('Work Items'!$A$6:$A$5000="Risk",ROW('Work Items'!$A$6:$A$5000)-ROW('Work Items'!$A$6)+1),15)),"")</f>
        <v/>
      </c>
      <c r="H19">
        <f t="array" ref="H19">IFERROR(INDEX('Work Items'!$J$6:$J$5000,SMALL(IF('Work Items'!$A$6:$A$5000="Risk",ROW('Work Items'!$A$6:$A$5000)-ROW('Work Items'!$A$6)+1),15)),"")</f>
        <v/>
      </c>
      <c r="I19">
        <f t="array" ref="I19">IFERROR(INDEX('Work Items'!$K$6:$K$5000,SMALL(IF('Work Items'!$A$6:$A$5000="Risk",ROW('Work Items'!$A$6:$A$5000)-ROW('Work Items'!$A$6)+1),15)),"")</f>
        <v/>
      </c>
      <c r="J19">
        <f t="array" ref="J19">IFERROR(INDEX('Work Items'!$L$6:$L$5000,SMALL(IF('Work Items'!$A$6:$A$5000="Risk",ROW('Work Items'!$A$6:$A$5000)-ROW('Work Items'!$A$6)+1),15)),"")</f>
        <v/>
      </c>
      <c r="K19">
        <f t="array" ref="K19">IFERROR(IF(AND(INDEX('Work Items'!$R$6:$R$5000,SMALL(IF('Work Items'!$A$6:$A$5000="Risk",ROW('Work Items'!$A$6:$A$5000)-ROW('Work Items'!$A$6)+1),15))&lt;&gt;"",INDEX('Work Items'!$S$6:$S$5000,SMALL(IF('Work Items'!$A$6:$A$5000="Risk",ROW('Work Items'!$A$6:$A$5000)-ROW('Work Items'!$A$6)+1),15))&lt;&gt;""),INDEX('Work Items'!$R$6:$R$5000,SMALL(IF('Work Items'!$A$6:$A$5000="Risk",ROW('Work Items'!$A$6:$A$5000)-ROW('Work Items'!$A$6)+1),15))*INDEX('Work Items'!$S$6:$S$5000,SMALL(IF('Work Items'!$A$6:$A$5000="Risk",ROW('Work Items'!$A$6:$A$5000)-ROW('Work Items'!$A$6)+1),15)),INDEX('Work Items'!$U$6:$U$5000,SMALL(IF('Work Items'!$A$6:$A$5000="Risk",ROW('Work Items'!$A$6:$A$5000)-ROW('Work Items'!$A$6)+1),15))),"")</f>
        <v/>
      </c>
      <c r="L19" s="217">
        <f t="array" ref="L19">IFERROR(INDEX('Work Items'!$Q$6:$Q$5000,SMALL(IF('Work Items'!$A$6:$A$5000="Risk",ROW('Work Items'!$A$6:$A$5000)-ROW('Work Items'!$A$6)+1),15)),"")</f>
        <v/>
      </c>
      <c r="M19">
        <f t="array" ref="M19">IFERROR(INDEX('Work Items'!$T$6:$T$5000,SMALL(IF('Work Items'!$A$6:$A$5000="Risk",ROW('Work Items'!$A$6:$A$5000)-ROW('Work Items'!$A$6)+1),15)),"")</f>
        <v/>
      </c>
    </row>
    <row r="20">
      <c r="A20">
        <f t="array" ref="A20">IFERROR(INDEX('Work Items'!$A$6:$A$5000,SMALL(IF('Work Items'!$A$6:$A$5000="Risk",ROW('Work Items'!$A$6:$A$5000)-ROW('Work Items'!$A$6)+1),16)),"")</f>
        <v/>
      </c>
      <c r="B20">
        <f t="array" ref="B20">IFERROR(INDEX('Work Items'!$B$6:$B$5000,SMALL(IF('Work Items'!$A$6:$A$5000="Risk",ROW('Work Items'!$A$6:$A$5000)-ROW('Work Items'!$A$6)+1),16)),"")</f>
        <v/>
      </c>
      <c r="C20">
        <f>IF(E20="","",IFERROR(INDEX('Projects Master'!$A:$A,MATCH(E20,'Projects Master'!$B:$B,0)),"OrgRisk"))</f>
        <v/>
      </c>
      <c r="D20">
        <f t="array" ref="D20">IFERROR(INDEX('Work Items'!$C$6:$C$5000,SMALL(IF('Work Items'!$A$6:$A$5000="Risk",ROW('Work Items'!$A$6:$A$5000)-ROW('Work Items'!$A$6)+1),16)),"")</f>
        <v/>
      </c>
      <c r="E20">
        <f t="array" ref="E20">IFERROR(INDEX('Work Items'!$D$6:$D$5000,SMALL(IF('Work Items'!$A$6:$A$5000="Risk",ROW('Work Items'!$A$6:$A$5000)-ROW('Work Items'!$A$6)+1),16)),"")</f>
        <v/>
      </c>
      <c r="F20">
        <f t="array" ref="F20">IFERROR(INDEX('Work Items'!$E$6:$E$5000,SMALL(IF('Work Items'!$A$6:$A$5000="Risk",ROW('Work Items'!$A$6:$A$5000)-ROW('Work Items'!$A$6)+1),16)),"")</f>
        <v/>
      </c>
      <c r="G20">
        <f t="array" ref="G20">IFERROR(INDEX('Work Items'!$F$6:$F$5000,SMALL(IF('Work Items'!$A$6:$A$5000="Risk",ROW('Work Items'!$A$6:$A$5000)-ROW('Work Items'!$A$6)+1),16)),"")</f>
        <v/>
      </c>
      <c r="H20">
        <f t="array" ref="H20">IFERROR(INDEX('Work Items'!$J$6:$J$5000,SMALL(IF('Work Items'!$A$6:$A$5000="Risk",ROW('Work Items'!$A$6:$A$5000)-ROW('Work Items'!$A$6)+1),16)),"")</f>
        <v/>
      </c>
      <c r="I20">
        <f t="array" ref="I20">IFERROR(INDEX('Work Items'!$K$6:$K$5000,SMALL(IF('Work Items'!$A$6:$A$5000="Risk",ROW('Work Items'!$A$6:$A$5000)-ROW('Work Items'!$A$6)+1),16)),"")</f>
        <v/>
      </c>
      <c r="J20">
        <f t="array" ref="J20">IFERROR(INDEX('Work Items'!$L$6:$L$5000,SMALL(IF('Work Items'!$A$6:$A$5000="Risk",ROW('Work Items'!$A$6:$A$5000)-ROW('Work Items'!$A$6)+1),16)),"")</f>
        <v/>
      </c>
      <c r="K20">
        <f t="array" ref="K20">IFERROR(IF(AND(INDEX('Work Items'!$R$6:$R$5000,SMALL(IF('Work Items'!$A$6:$A$5000="Risk",ROW('Work Items'!$A$6:$A$5000)-ROW('Work Items'!$A$6)+1),16))&lt;&gt;"",INDEX('Work Items'!$S$6:$S$5000,SMALL(IF('Work Items'!$A$6:$A$5000="Risk",ROW('Work Items'!$A$6:$A$5000)-ROW('Work Items'!$A$6)+1),16))&lt;&gt;""),INDEX('Work Items'!$R$6:$R$5000,SMALL(IF('Work Items'!$A$6:$A$5000="Risk",ROW('Work Items'!$A$6:$A$5000)-ROW('Work Items'!$A$6)+1),16))*INDEX('Work Items'!$S$6:$S$5000,SMALL(IF('Work Items'!$A$6:$A$5000="Risk",ROW('Work Items'!$A$6:$A$5000)-ROW('Work Items'!$A$6)+1),16)),INDEX('Work Items'!$U$6:$U$5000,SMALL(IF('Work Items'!$A$6:$A$5000="Risk",ROW('Work Items'!$A$6:$A$5000)-ROW('Work Items'!$A$6)+1),16))),"")</f>
        <v/>
      </c>
      <c r="L20" s="217">
        <f t="array" ref="L20">IFERROR(INDEX('Work Items'!$Q$6:$Q$5000,SMALL(IF('Work Items'!$A$6:$A$5000="Risk",ROW('Work Items'!$A$6:$A$5000)-ROW('Work Items'!$A$6)+1),16)),"")</f>
        <v/>
      </c>
      <c r="M20">
        <f t="array" ref="M20">IFERROR(INDEX('Work Items'!$T$6:$T$5000,SMALL(IF('Work Items'!$A$6:$A$5000="Risk",ROW('Work Items'!$A$6:$A$5000)-ROW('Work Items'!$A$6)+1),16)),"")</f>
        <v/>
      </c>
    </row>
    <row r="21">
      <c r="A21">
        <f t="array" ref="A21">IFERROR(INDEX('Work Items'!$A$6:$A$5000,SMALL(IF('Work Items'!$A$6:$A$5000="Risk",ROW('Work Items'!$A$6:$A$5000)-ROW('Work Items'!$A$6)+1),17)),"")</f>
        <v/>
      </c>
      <c r="B21">
        <f t="array" ref="B21">IFERROR(INDEX('Work Items'!$B$6:$B$5000,SMALL(IF('Work Items'!$A$6:$A$5000="Risk",ROW('Work Items'!$A$6:$A$5000)-ROW('Work Items'!$A$6)+1),17)),"")</f>
        <v/>
      </c>
      <c r="C21">
        <f>IF(E21="","",IFERROR(INDEX('Projects Master'!$A:$A,MATCH(E21,'Projects Master'!$B:$B,0)),"OrgRisk"))</f>
        <v/>
      </c>
      <c r="D21">
        <f t="array" ref="D21">IFERROR(INDEX('Work Items'!$C$6:$C$5000,SMALL(IF('Work Items'!$A$6:$A$5000="Risk",ROW('Work Items'!$A$6:$A$5000)-ROW('Work Items'!$A$6)+1),17)),"")</f>
        <v/>
      </c>
      <c r="E21">
        <f t="array" ref="E21">IFERROR(INDEX('Work Items'!$D$6:$D$5000,SMALL(IF('Work Items'!$A$6:$A$5000="Risk",ROW('Work Items'!$A$6:$A$5000)-ROW('Work Items'!$A$6)+1),17)),"")</f>
        <v/>
      </c>
      <c r="F21">
        <f t="array" ref="F21">IFERROR(INDEX('Work Items'!$E$6:$E$5000,SMALL(IF('Work Items'!$A$6:$A$5000="Risk",ROW('Work Items'!$A$6:$A$5000)-ROW('Work Items'!$A$6)+1),17)),"")</f>
        <v/>
      </c>
      <c r="G21">
        <f t="array" ref="G21">IFERROR(INDEX('Work Items'!$F$6:$F$5000,SMALL(IF('Work Items'!$A$6:$A$5000="Risk",ROW('Work Items'!$A$6:$A$5000)-ROW('Work Items'!$A$6)+1),17)),"")</f>
        <v/>
      </c>
      <c r="H21">
        <f t="array" ref="H21">IFERROR(INDEX('Work Items'!$J$6:$J$5000,SMALL(IF('Work Items'!$A$6:$A$5000="Risk",ROW('Work Items'!$A$6:$A$5000)-ROW('Work Items'!$A$6)+1),17)),"")</f>
        <v/>
      </c>
      <c r="I21">
        <f t="array" ref="I21">IFERROR(INDEX('Work Items'!$K$6:$K$5000,SMALL(IF('Work Items'!$A$6:$A$5000="Risk",ROW('Work Items'!$A$6:$A$5000)-ROW('Work Items'!$A$6)+1),17)),"")</f>
        <v/>
      </c>
      <c r="J21">
        <f t="array" ref="J21">IFERROR(INDEX('Work Items'!$L$6:$L$5000,SMALL(IF('Work Items'!$A$6:$A$5000="Risk",ROW('Work Items'!$A$6:$A$5000)-ROW('Work Items'!$A$6)+1),17)),"")</f>
        <v/>
      </c>
      <c r="K21">
        <f t="array" ref="K21">IFERROR(IF(AND(INDEX('Work Items'!$R$6:$R$5000,SMALL(IF('Work Items'!$A$6:$A$5000="Risk",ROW('Work Items'!$A$6:$A$5000)-ROW('Work Items'!$A$6)+1),17))&lt;&gt;"",INDEX('Work Items'!$S$6:$S$5000,SMALL(IF('Work Items'!$A$6:$A$5000="Risk",ROW('Work Items'!$A$6:$A$5000)-ROW('Work Items'!$A$6)+1),17))&lt;&gt;""),INDEX('Work Items'!$R$6:$R$5000,SMALL(IF('Work Items'!$A$6:$A$5000="Risk",ROW('Work Items'!$A$6:$A$5000)-ROW('Work Items'!$A$6)+1),17))*INDEX('Work Items'!$S$6:$S$5000,SMALL(IF('Work Items'!$A$6:$A$5000="Risk",ROW('Work Items'!$A$6:$A$5000)-ROW('Work Items'!$A$6)+1),17)),INDEX('Work Items'!$U$6:$U$5000,SMALL(IF('Work Items'!$A$6:$A$5000="Risk",ROW('Work Items'!$A$6:$A$5000)-ROW('Work Items'!$A$6)+1),17))),"")</f>
        <v/>
      </c>
      <c r="L21" s="217">
        <f t="array" ref="L21">IFERROR(INDEX('Work Items'!$Q$6:$Q$5000,SMALL(IF('Work Items'!$A$6:$A$5000="Risk",ROW('Work Items'!$A$6:$A$5000)-ROW('Work Items'!$A$6)+1),17)),"")</f>
        <v/>
      </c>
      <c r="M21">
        <f t="array" ref="M21">IFERROR(INDEX('Work Items'!$T$6:$T$5000,SMALL(IF('Work Items'!$A$6:$A$5000="Risk",ROW('Work Items'!$A$6:$A$5000)-ROW('Work Items'!$A$6)+1),17)),"")</f>
        <v/>
      </c>
    </row>
    <row r="22">
      <c r="A22">
        <f t="array" ref="A22">IFERROR(INDEX('Work Items'!$A$6:$A$5000,SMALL(IF('Work Items'!$A$6:$A$5000="Risk",ROW('Work Items'!$A$6:$A$5000)-ROW('Work Items'!$A$6)+1),18)),"")</f>
        <v/>
      </c>
      <c r="B22">
        <f t="array" ref="B22">IFERROR(INDEX('Work Items'!$B$6:$B$5000,SMALL(IF('Work Items'!$A$6:$A$5000="Risk",ROW('Work Items'!$A$6:$A$5000)-ROW('Work Items'!$A$6)+1),18)),"")</f>
        <v/>
      </c>
      <c r="C22">
        <f>IF(E22="","",IFERROR(INDEX('Projects Master'!$A:$A,MATCH(E22,'Projects Master'!$B:$B,0)),"OrgRisk"))</f>
        <v/>
      </c>
      <c r="D22">
        <f t="array" ref="D22">IFERROR(INDEX('Work Items'!$C$6:$C$5000,SMALL(IF('Work Items'!$A$6:$A$5000="Risk",ROW('Work Items'!$A$6:$A$5000)-ROW('Work Items'!$A$6)+1),18)),"")</f>
        <v/>
      </c>
      <c r="E22">
        <f t="array" ref="E22">IFERROR(INDEX('Work Items'!$D$6:$D$5000,SMALL(IF('Work Items'!$A$6:$A$5000="Risk",ROW('Work Items'!$A$6:$A$5000)-ROW('Work Items'!$A$6)+1),18)),"")</f>
        <v/>
      </c>
      <c r="F22">
        <f t="array" ref="F22">IFERROR(INDEX('Work Items'!$E$6:$E$5000,SMALL(IF('Work Items'!$A$6:$A$5000="Risk",ROW('Work Items'!$A$6:$A$5000)-ROW('Work Items'!$A$6)+1),18)),"")</f>
        <v/>
      </c>
      <c r="G22">
        <f t="array" ref="G22">IFERROR(INDEX('Work Items'!$F$6:$F$5000,SMALL(IF('Work Items'!$A$6:$A$5000="Risk",ROW('Work Items'!$A$6:$A$5000)-ROW('Work Items'!$A$6)+1),18)),"")</f>
        <v/>
      </c>
      <c r="H22">
        <f t="array" ref="H22">IFERROR(INDEX('Work Items'!$J$6:$J$5000,SMALL(IF('Work Items'!$A$6:$A$5000="Risk",ROW('Work Items'!$A$6:$A$5000)-ROW('Work Items'!$A$6)+1),18)),"")</f>
        <v/>
      </c>
      <c r="I22">
        <f t="array" ref="I22">IFERROR(INDEX('Work Items'!$K$6:$K$5000,SMALL(IF('Work Items'!$A$6:$A$5000="Risk",ROW('Work Items'!$A$6:$A$5000)-ROW('Work Items'!$A$6)+1),18)),"")</f>
        <v/>
      </c>
      <c r="J22">
        <f t="array" ref="J22">IFERROR(INDEX('Work Items'!$L$6:$L$5000,SMALL(IF('Work Items'!$A$6:$A$5000="Risk",ROW('Work Items'!$A$6:$A$5000)-ROW('Work Items'!$A$6)+1),18)),"")</f>
        <v/>
      </c>
      <c r="K22">
        <f t="array" ref="K22">IFERROR(IF(AND(INDEX('Work Items'!$R$6:$R$5000,SMALL(IF('Work Items'!$A$6:$A$5000="Risk",ROW('Work Items'!$A$6:$A$5000)-ROW('Work Items'!$A$6)+1),18))&lt;&gt;"",INDEX('Work Items'!$S$6:$S$5000,SMALL(IF('Work Items'!$A$6:$A$5000="Risk",ROW('Work Items'!$A$6:$A$5000)-ROW('Work Items'!$A$6)+1),18))&lt;&gt;""),INDEX('Work Items'!$R$6:$R$5000,SMALL(IF('Work Items'!$A$6:$A$5000="Risk",ROW('Work Items'!$A$6:$A$5000)-ROW('Work Items'!$A$6)+1),18))*INDEX('Work Items'!$S$6:$S$5000,SMALL(IF('Work Items'!$A$6:$A$5000="Risk",ROW('Work Items'!$A$6:$A$5000)-ROW('Work Items'!$A$6)+1),18)),INDEX('Work Items'!$U$6:$U$5000,SMALL(IF('Work Items'!$A$6:$A$5000="Risk",ROW('Work Items'!$A$6:$A$5000)-ROW('Work Items'!$A$6)+1),18))),"")</f>
        <v/>
      </c>
      <c r="L22" s="217">
        <f t="array" ref="L22">IFERROR(INDEX('Work Items'!$Q$6:$Q$5000,SMALL(IF('Work Items'!$A$6:$A$5000="Risk",ROW('Work Items'!$A$6:$A$5000)-ROW('Work Items'!$A$6)+1),18)),"")</f>
        <v/>
      </c>
      <c r="M22">
        <f t="array" ref="M22">IFERROR(INDEX('Work Items'!$T$6:$T$5000,SMALL(IF('Work Items'!$A$6:$A$5000="Risk",ROW('Work Items'!$A$6:$A$5000)-ROW('Work Items'!$A$6)+1),18)),"")</f>
        <v/>
      </c>
    </row>
    <row r="23">
      <c r="A23">
        <f t="array" ref="A23">IFERROR(INDEX('Work Items'!$A$6:$A$5000,SMALL(IF('Work Items'!$A$6:$A$5000="Risk",ROW('Work Items'!$A$6:$A$5000)-ROW('Work Items'!$A$6)+1),19)),"")</f>
        <v/>
      </c>
      <c r="B23">
        <f t="array" ref="B23">IFERROR(INDEX('Work Items'!$B$6:$B$5000,SMALL(IF('Work Items'!$A$6:$A$5000="Risk",ROW('Work Items'!$A$6:$A$5000)-ROW('Work Items'!$A$6)+1),19)),"")</f>
        <v/>
      </c>
      <c r="C23">
        <f>IF(E23="","",IFERROR(INDEX('Projects Master'!$A:$A,MATCH(E23,'Projects Master'!$B:$B,0)),"OrgRisk"))</f>
        <v/>
      </c>
      <c r="D23">
        <f t="array" ref="D23">IFERROR(INDEX('Work Items'!$C$6:$C$5000,SMALL(IF('Work Items'!$A$6:$A$5000="Risk",ROW('Work Items'!$A$6:$A$5000)-ROW('Work Items'!$A$6)+1),19)),"")</f>
        <v/>
      </c>
      <c r="E23">
        <f t="array" ref="E23">IFERROR(INDEX('Work Items'!$D$6:$D$5000,SMALL(IF('Work Items'!$A$6:$A$5000="Risk",ROW('Work Items'!$A$6:$A$5000)-ROW('Work Items'!$A$6)+1),19)),"")</f>
        <v/>
      </c>
      <c r="F23">
        <f t="array" ref="F23">IFERROR(INDEX('Work Items'!$E$6:$E$5000,SMALL(IF('Work Items'!$A$6:$A$5000="Risk",ROW('Work Items'!$A$6:$A$5000)-ROW('Work Items'!$A$6)+1),19)),"")</f>
        <v/>
      </c>
      <c r="G23">
        <f t="array" ref="G23">IFERROR(INDEX('Work Items'!$F$6:$F$5000,SMALL(IF('Work Items'!$A$6:$A$5000="Risk",ROW('Work Items'!$A$6:$A$5000)-ROW('Work Items'!$A$6)+1),19)),"")</f>
        <v/>
      </c>
      <c r="H23">
        <f t="array" ref="H23">IFERROR(INDEX('Work Items'!$J$6:$J$5000,SMALL(IF('Work Items'!$A$6:$A$5000="Risk",ROW('Work Items'!$A$6:$A$5000)-ROW('Work Items'!$A$6)+1),19)),"")</f>
        <v/>
      </c>
      <c r="I23">
        <f t="array" ref="I23">IFERROR(INDEX('Work Items'!$K$6:$K$5000,SMALL(IF('Work Items'!$A$6:$A$5000="Risk",ROW('Work Items'!$A$6:$A$5000)-ROW('Work Items'!$A$6)+1),19)),"")</f>
        <v/>
      </c>
      <c r="J23">
        <f t="array" ref="J23">IFERROR(INDEX('Work Items'!$L$6:$L$5000,SMALL(IF('Work Items'!$A$6:$A$5000="Risk",ROW('Work Items'!$A$6:$A$5000)-ROW('Work Items'!$A$6)+1),19)),"")</f>
        <v/>
      </c>
      <c r="K23">
        <f t="array" ref="K23">IFERROR(IF(AND(INDEX('Work Items'!$R$6:$R$5000,SMALL(IF('Work Items'!$A$6:$A$5000="Risk",ROW('Work Items'!$A$6:$A$5000)-ROW('Work Items'!$A$6)+1),19))&lt;&gt;"",INDEX('Work Items'!$S$6:$S$5000,SMALL(IF('Work Items'!$A$6:$A$5000="Risk",ROW('Work Items'!$A$6:$A$5000)-ROW('Work Items'!$A$6)+1),19))&lt;&gt;""),INDEX('Work Items'!$R$6:$R$5000,SMALL(IF('Work Items'!$A$6:$A$5000="Risk",ROW('Work Items'!$A$6:$A$5000)-ROW('Work Items'!$A$6)+1),19))*INDEX('Work Items'!$S$6:$S$5000,SMALL(IF('Work Items'!$A$6:$A$5000="Risk",ROW('Work Items'!$A$6:$A$5000)-ROW('Work Items'!$A$6)+1),19)),INDEX('Work Items'!$U$6:$U$5000,SMALL(IF('Work Items'!$A$6:$A$5000="Risk",ROW('Work Items'!$A$6:$A$5000)-ROW('Work Items'!$A$6)+1),19))),"")</f>
        <v/>
      </c>
      <c r="L23" s="217">
        <f t="array" ref="L23">IFERROR(INDEX('Work Items'!$Q$6:$Q$5000,SMALL(IF('Work Items'!$A$6:$A$5000="Risk",ROW('Work Items'!$A$6:$A$5000)-ROW('Work Items'!$A$6)+1),19)),"")</f>
        <v/>
      </c>
      <c r="M23">
        <f t="array" ref="M23">IFERROR(INDEX('Work Items'!$T$6:$T$5000,SMALL(IF('Work Items'!$A$6:$A$5000="Risk",ROW('Work Items'!$A$6:$A$5000)-ROW('Work Items'!$A$6)+1),19)),"")</f>
        <v/>
      </c>
    </row>
    <row r="24">
      <c r="A24">
        <f t="array" ref="A24">IFERROR(INDEX('Work Items'!$A$6:$A$5000,SMALL(IF('Work Items'!$A$6:$A$5000="Risk",ROW('Work Items'!$A$6:$A$5000)-ROW('Work Items'!$A$6)+1),20)),"")</f>
        <v/>
      </c>
      <c r="B24">
        <f t="array" ref="B24">IFERROR(INDEX('Work Items'!$B$6:$B$5000,SMALL(IF('Work Items'!$A$6:$A$5000="Risk",ROW('Work Items'!$A$6:$A$5000)-ROW('Work Items'!$A$6)+1),20)),"")</f>
        <v/>
      </c>
      <c r="C24">
        <f>IF(E24="","",IFERROR(INDEX('Projects Master'!$A:$A,MATCH(E24,'Projects Master'!$B:$B,0)),"OrgRisk"))</f>
        <v/>
      </c>
      <c r="D24">
        <f t="array" ref="D24">IFERROR(INDEX('Work Items'!$C$6:$C$5000,SMALL(IF('Work Items'!$A$6:$A$5000="Risk",ROW('Work Items'!$A$6:$A$5000)-ROW('Work Items'!$A$6)+1),20)),"")</f>
        <v/>
      </c>
      <c r="E24">
        <f t="array" ref="E24">IFERROR(INDEX('Work Items'!$D$6:$D$5000,SMALL(IF('Work Items'!$A$6:$A$5000="Risk",ROW('Work Items'!$A$6:$A$5000)-ROW('Work Items'!$A$6)+1),20)),"")</f>
        <v/>
      </c>
      <c r="F24">
        <f t="array" ref="F24">IFERROR(INDEX('Work Items'!$E$6:$E$5000,SMALL(IF('Work Items'!$A$6:$A$5000="Risk",ROW('Work Items'!$A$6:$A$5000)-ROW('Work Items'!$A$6)+1),20)),"")</f>
        <v/>
      </c>
      <c r="G24">
        <f t="array" ref="G24">IFERROR(INDEX('Work Items'!$F$6:$F$5000,SMALL(IF('Work Items'!$A$6:$A$5000="Risk",ROW('Work Items'!$A$6:$A$5000)-ROW('Work Items'!$A$6)+1),20)),"")</f>
        <v/>
      </c>
      <c r="H24">
        <f t="array" ref="H24">IFERROR(INDEX('Work Items'!$J$6:$J$5000,SMALL(IF('Work Items'!$A$6:$A$5000="Risk",ROW('Work Items'!$A$6:$A$5000)-ROW('Work Items'!$A$6)+1),20)),"")</f>
        <v/>
      </c>
      <c r="I24">
        <f t="array" ref="I24">IFERROR(INDEX('Work Items'!$K$6:$K$5000,SMALL(IF('Work Items'!$A$6:$A$5000="Risk",ROW('Work Items'!$A$6:$A$5000)-ROW('Work Items'!$A$6)+1),20)),"")</f>
        <v/>
      </c>
      <c r="J24">
        <f t="array" ref="J24">IFERROR(INDEX('Work Items'!$L$6:$L$5000,SMALL(IF('Work Items'!$A$6:$A$5000="Risk",ROW('Work Items'!$A$6:$A$5000)-ROW('Work Items'!$A$6)+1),20)),"")</f>
        <v/>
      </c>
      <c r="K24">
        <f t="array" ref="K24">IFERROR(IF(AND(INDEX('Work Items'!$R$6:$R$5000,SMALL(IF('Work Items'!$A$6:$A$5000="Risk",ROW('Work Items'!$A$6:$A$5000)-ROW('Work Items'!$A$6)+1),20))&lt;&gt;"",INDEX('Work Items'!$S$6:$S$5000,SMALL(IF('Work Items'!$A$6:$A$5000="Risk",ROW('Work Items'!$A$6:$A$5000)-ROW('Work Items'!$A$6)+1),20))&lt;&gt;""),INDEX('Work Items'!$R$6:$R$5000,SMALL(IF('Work Items'!$A$6:$A$5000="Risk",ROW('Work Items'!$A$6:$A$5000)-ROW('Work Items'!$A$6)+1),20))*INDEX('Work Items'!$S$6:$S$5000,SMALL(IF('Work Items'!$A$6:$A$5000="Risk",ROW('Work Items'!$A$6:$A$5000)-ROW('Work Items'!$A$6)+1),20)),INDEX('Work Items'!$U$6:$U$5000,SMALL(IF('Work Items'!$A$6:$A$5000="Risk",ROW('Work Items'!$A$6:$A$5000)-ROW('Work Items'!$A$6)+1),20))),"")</f>
        <v/>
      </c>
      <c r="L24" s="217">
        <f t="array" ref="L24">IFERROR(INDEX('Work Items'!$Q$6:$Q$5000,SMALL(IF('Work Items'!$A$6:$A$5000="Risk",ROW('Work Items'!$A$6:$A$5000)-ROW('Work Items'!$A$6)+1),20)),"")</f>
        <v/>
      </c>
      <c r="M24">
        <f t="array" ref="M24">IFERROR(INDEX('Work Items'!$T$6:$T$5000,SMALL(IF('Work Items'!$A$6:$A$5000="Risk",ROW('Work Items'!$A$6:$A$5000)-ROW('Work Items'!$A$6)+1),20)),"")</f>
        <v/>
      </c>
    </row>
    <row r="25">
      <c r="A25">
        <f t="array" ref="A25">IFERROR(INDEX('Work Items'!$A$6:$A$5000,SMALL(IF('Work Items'!$A$6:$A$5000="Risk",ROW('Work Items'!$A$6:$A$5000)-ROW('Work Items'!$A$6)+1),21)),"")</f>
        <v/>
      </c>
      <c r="B25">
        <f t="array" ref="B25">IFERROR(INDEX('Work Items'!$B$6:$B$5000,SMALL(IF('Work Items'!$A$6:$A$5000="Risk",ROW('Work Items'!$A$6:$A$5000)-ROW('Work Items'!$A$6)+1),21)),"")</f>
        <v/>
      </c>
      <c r="C25">
        <f>IF(E25="","",IFERROR(INDEX('Projects Master'!$A:$A,MATCH(E25,'Projects Master'!$B:$B,0)),"OrgRisk"))</f>
        <v/>
      </c>
      <c r="D25">
        <f t="array" ref="D25">IFERROR(INDEX('Work Items'!$C$6:$C$5000,SMALL(IF('Work Items'!$A$6:$A$5000="Risk",ROW('Work Items'!$A$6:$A$5000)-ROW('Work Items'!$A$6)+1),21)),"")</f>
        <v/>
      </c>
      <c r="E25">
        <f t="array" ref="E25">IFERROR(INDEX('Work Items'!$D$6:$D$5000,SMALL(IF('Work Items'!$A$6:$A$5000="Risk",ROW('Work Items'!$A$6:$A$5000)-ROW('Work Items'!$A$6)+1),21)),"")</f>
        <v/>
      </c>
      <c r="F25">
        <f t="array" ref="F25">IFERROR(INDEX('Work Items'!$E$6:$E$5000,SMALL(IF('Work Items'!$A$6:$A$5000="Risk",ROW('Work Items'!$A$6:$A$5000)-ROW('Work Items'!$A$6)+1),21)),"")</f>
        <v/>
      </c>
      <c r="G25">
        <f t="array" ref="G25">IFERROR(INDEX('Work Items'!$F$6:$F$5000,SMALL(IF('Work Items'!$A$6:$A$5000="Risk",ROW('Work Items'!$A$6:$A$5000)-ROW('Work Items'!$A$6)+1),21)),"")</f>
        <v/>
      </c>
      <c r="H25">
        <f t="array" ref="H25">IFERROR(INDEX('Work Items'!$J$6:$J$5000,SMALL(IF('Work Items'!$A$6:$A$5000="Risk",ROW('Work Items'!$A$6:$A$5000)-ROW('Work Items'!$A$6)+1),21)),"")</f>
        <v/>
      </c>
      <c r="I25">
        <f t="array" ref="I25">IFERROR(INDEX('Work Items'!$K$6:$K$5000,SMALL(IF('Work Items'!$A$6:$A$5000="Risk",ROW('Work Items'!$A$6:$A$5000)-ROW('Work Items'!$A$6)+1),21)),"")</f>
        <v/>
      </c>
      <c r="J25">
        <f t="array" ref="J25">IFERROR(INDEX('Work Items'!$L$6:$L$5000,SMALL(IF('Work Items'!$A$6:$A$5000="Risk",ROW('Work Items'!$A$6:$A$5000)-ROW('Work Items'!$A$6)+1),21)),"")</f>
        <v/>
      </c>
      <c r="K25">
        <f t="array" ref="K25">IFERROR(IF(AND(INDEX('Work Items'!$R$6:$R$5000,SMALL(IF('Work Items'!$A$6:$A$5000="Risk",ROW('Work Items'!$A$6:$A$5000)-ROW('Work Items'!$A$6)+1),21))&lt;&gt;"",INDEX('Work Items'!$S$6:$S$5000,SMALL(IF('Work Items'!$A$6:$A$5000="Risk",ROW('Work Items'!$A$6:$A$5000)-ROW('Work Items'!$A$6)+1),21))&lt;&gt;""),INDEX('Work Items'!$R$6:$R$5000,SMALL(IF('Work Items'!$A$6:$A$5000="Risk",ROW('Work Items'!$A$6:$A$5000)-ROW('Work Items'!$A$6)+1),21))*INDEX('Work Items'!$S$6:$S$5000,SMALL(IF('Work Items'!$A$6:$A$5000="Risk",ROW('Work Items'!$A$6:$A$5000)-ROW('Work Items'!$A$6)+1),21)),INDEX('Work Items'!$U$6:$U$5000,SMALL(IF('Work Items'!$A$6:$A$5000="Risk",ROW('Work Items'!$A$6:$A$5000)-ROW('Work Items'!$A$6)+1),21))),"")</f>
        <v/>
      </c>
      <c r="L25" s="217">
        <f t="array" ref="L25">IFERROR(INDEX('Work Items'!$Q$6:$Q$5000,SMALL(IF('Work Items'!$A$6:$A$5000="Risk",ROW('Work Items'!$A$6:$A$5000)-ROW('Work Items'!$A$6)+1),21)),"")</f>
        <v/>
      </c>
      <c r="M25">
        <f t="array" ref="M25">IFERROR(INDEX('Work Items'!$T$6:$T$5000,SMALL(IF('Work Items'!$A$6:$A$5000="Risk",ROW('Work Items'!$A$6:$A$5000)-ROW('Work Items'!$A$6)+1),21)),"")</f>
        <v/>
      </c>
    </row>
    <row r="26">
      <c r="A26">
        <f t="array" ref="A26">IFERROR(INDEX('Work Items'!$A$6:$A$5000,SMALL(IF('Work Items'!$A$6:$A$5000="Risk",ROW('Work Items'!$A$6:$A$5000)-ROW('Work Items'!$A$6)+1),22)),"")</f>
        <v/>
      </c>
      <c r="B26">
        <f t="array" ref="B26">IFERROR(INDEX('Work Items'!$B$6:$B$5000,SMALL(IF('Work Items'!$A$6:$A$5000="Risk",ROW('Work Items'!$A$6:$A$5000)-ROW('Work Items'!$A$6)+1),22)),"")</f>
        <v/>
      </c>
      <c r="C26">
        <f>IF(E26="","",IFERROR(INDEX('Projects Master'!$A:$A,MATCH(E26,'Projects Master'!$B:$B,0)),"OrgRisk"))</f>
        <v/>
      </c>
      <c r="D26">
        <f t="array" ref="D26">IFERROR(INDEX('Work Items'!$C$6:$C$5000,SMALL(IF('Work Items'!$A$6:$A$5000="Risk",ROW('Work Items'!$A$6:$A$5000)-ROW('Work Items'!$A$6)+1),22)),"")</f>
        <v/>
      </c>
      <c r="E26">
        <f t="array" ref="E26">IFERROR(INDEX('Work Items'!$D$6:$D$5000,SMALL(IF('Work Items'!$A$6:$A$5000="Risk",ROW('Work Items'!$A$6:$A$5000)-ROW('Work Items'!$A$6)+1),22)),"")</f>
        <v/>
      </c>
      <c r="F26">
        <f t="array" ref="F26">IFERROR(INDEX('Work Items'!$E$6:$E$5000,SMALL(IF('Work Items'!$A$6:$A$5000="Risk",ROW('Work Items'!$A$6:$A$5000)-ROW('Work Items'!$A$6)+1),22)),"")</f>
        <v/>
      </c>
      <c r="G26">
        <f t="array" ref="G26">IFERROR(INDEX('Work Items'!$F$6:$F$5000,SMALL(IF('Work Items'!$A$6:$A$5000="Risk",ROW('Work Items'!$A$6:$A$5000)-ROW('Work Items'!$A$6)+1),22)),"")</f>
        <v/>
      </c>
      <c r="H26">
        <f t="array" ref="H26">IFERROR(INDEX('Work Items'!$J$6:$J$5000,SMALL(IF('Work Items'!$A$6:$A$5000="Risk",ROW('Work Items'!$A$6:$A$5000)-ROW('Work Items'!$A$6)+1),22)),"")</f>
        <v/>
      </c>
      <c r="I26">
        <f t="array" ref="I26">IFERROR(INDEX('Work Items'!$K$6:$K$5000,SMALL(IF('Work Items'!$A$6:$A$5000="Risk",ROW('Work Items'!$A$6:$A$5000)-ROW('Work Items'!$A$6)+1),22)),"")</f>
        <v/>
      </c>
      <c r="J26">
        <f t="array" ref="J26">IFERROR(INDEX('Work Items'!$L$6:$L$5000,SMALL(IF('Work Items'!$A$6:$A$5000="Risk",ROW('Work Items'!$A$6:$A$5000)-ROW('Work Items'!$A$6)+1),22)),"")</f>
        <v/>
      </c>
      <c r="K26">
        <f t="array" ref="K26">IFERROR(IF(AND(INDEX('Work Items'!$R$6:$R$5000,SMALL(IF('Work Items'!$A$6:$A$5000="Risk",ROW('Work Items'!$A$6:$A$5000)-ROW('Work Items'!$A$6)+1),22))&lt;&gt;"",INDEX('Work Items'!$S$6:$S$5000,SMALL(IF('Work Items'!$A$6:$A$5000="Risk",ROW('Work Items'!$A$6:$A$5000)-ROW('Work Items'!$A$6)+1),22))&lt;&gt;""),INDEX('Work Items'!$R$6:$R$5000,SMALL(IF('Work Items'!$A$6:$A$5000="Risk",ROW('Work Items'!$A$6:$A$5000)-ROW('Work Items'!$A$6)+1),22))*INDEX('Work Items'!$S$6:$S$5000,SMALL(IF('Work Items'!$A$6:$A$5000="Risk",ROW('Work Items'!$A$6:$A$5000)-ROW('Work Items'!$A$6)+1),22)),INDEX('Work Items'!$U$6:$U$5000,SMALL(IF('Work Items'!$A$6:$A$5000="Risk",ROW('Work Items'!$A$6:$A$5000)-ROW('Work Items'!$A$6)+1),22))),"")</f>
        <v/>
      </c>
      <c r="L26" s="217">
        <f t="array" ref="L26">IFERROR(INDEX('Work Items'!$Q$6:$Q$5000,SMALL(IF('Work Items'!$A$6:$A$5000="Risk",ROW('Work Items'!$A$6:$A$5000)-ROW('Work Items'!$A$6)+1),22)),"")</f>
        <v/>
      </c>
      <c r="M26">
        <f t="array" ref="M26">IFERROR(INDEX('Work Items'!$T$6:$T$5000,SMALL(IF('Work Items'!$A$6:$A$5000="Risk",ROW('Work Items'!$A$6:$A$5000)-ROW('Work Items'!$A$6)+1),22)),"")</f>
        <v/>
      </c>
    </row>
    <row r="27">
      <c r="A27">
        <f t="array" ref="A27">IFERROR(INDEX('Work Items'!$A$6:$A$5000,SMALL(IF('Work Items'!$A$6:$A$5000="Risk",ROW('Work Items'!$A$6:$A$5000)-ROW('Work Items'!$A$6)+1),23)),"")</f>
        <v/>
      </c>
      <c r="B27">
        <f t="array" ref="B27">IFERROR(INDEX('Work Items'!$B$6:$B$5000,SMALL(IF('Work Items'!$A$6:$A$5000="Risk",ROW('Work Items'!$A$6:$A$5000)-ROW('Work Items'!$A$6)+1),23)),"")</f>
        <v/>
      </c>
      <c r="C27">
        <f>IF(E27="","",IFERROR(INDEX('Projects Master'!$A:$A,MATCH(E27,'Projects Master'!$B:$B,0)),"OrgRisk"))</f>
        <v/>
      </c>
      <c r="D27">
        <f t="array" ref="D27">IFERROR(INDEX('Work Items'!$C$6:$C$5000,SMALL(IF('Work Items'!$A$6:$A$5000="Risk",ROW('Work Items'!$A$6:$A$5000)-ROW('Work Items'!$A$6)+1),23)),"")</f>
        <v/>
      </c>
      <c r="E27">
        <f t="array" ref="E27">IFERROR(INDEX('Work Items'!$D$6:$D$5000,SMALL(IF('Work Items'!$A$6:$A$5000="Risk",ROW('Work Items'!$A$6:$A$5000)-ROW('Work Items'!$A$6)+1),23)),"")</f>
        <v/>
      </c>
      <c r="F27">
        <f t="array" ref="F27">IFERROR(INDEX('Work Items'!$E$6:$E$5000,SMALL(IF('Work Items'!$A$6:$A$5000="Risk",ROW('Work Items'!$A$6:$A$5000)-ROW('Work Items'!$A$6)+1),23)),"")</f>
        <v/>
      </c>
      <c r="G27">
        <f t="array" ref="G27">IFERROR(INDEX('Work Items'!$F$6:$F$5000,SMALL(IF('Work Items'!$A$6:$A$5000="Risk",ROW('Work Items'!$A$6:$A$5000)-ROW('Work Items'!$A$6)+1),23)),"")</f>
        <v/>
      </c>
      <c r="H27">
        <f t="array" ref="H27">IFERROR(INDEX('Work Items'!$J$6:$J$5000,SMALL(IF('Work Items'!$A$6:$A$5000="Risk",ROW('Work Items'!$A$6:$A$5000)-ROW('Work Items'!$A$6)+1),23)),"")</f>
        <v/>
      </c>
      <c r="I27">
        <f t="array" ref="I27">IFERROR(INDEX('Work Items'!$K$6:$K$5000,SMALL(IF('Work Items'!$A$6:$A$5000="Risk",ROW('Work Items'!$A$6:$A$5000)-ROW('Work Items'!$A$6)+1),23)),"")</f>
        <v/>
      </c>
      <c r="J27">
        <f t="array" ref="J27">IFERROR(INDEX('Work Items'!$L$6:$L$5000,SMALL(IF('Work Items'!$A$6:$A$5000="Risk",ROW('Work Items'!$A$6:$A$5000)-ROW('Work Items'!$A$6)+1),23)),"")</f>
        <v/>
      </c>
      <c r="K27">
        <f t="array" ref="K27">IFERROR(IF(AND(INDEX('Work Items'!$R$6:$R$5000,SMALL(IF('Work Items'!$A$6:$A$5000="Risk",ROW('Work Items'!$A$6:$A$5000)-ROW('Work Items'!$A$6)+1),23))&lt;&gt;"",INDEX('Work Items'!$S$6:$S$5000,SMALL(IF('Work Items'!$A$6:$A$5000="Risk",ROW('Work Items'!$A$6:$A$5000)-ROW('Work Items'!$A$6)+1),23))&lt;&gt;""),INDEX('Work Items'!$R$6:$R$5000,SMALL(IF('Work Items'!$A$6:$A$5000="Risk",ROW('Work Items'!$A$6:$A$5000)-ROW('Work Items'!$A$6)+1),23))*INDEX('Work Items'!$S$6:$S$5000,SMALL(IF('Work Items'!$A$6:$A$5000="Risk",ROW('Work Items'!$A$6:$A$5000)-ROW('Work Items'!$A$6)+1),23)),INDEX('Work Items'!$U$6:$U$5000,SMALL(IF('Work Items'!$A$6:$A$5000="Risk",ROW('Work Items'!$A$6:$A$5000)-ROW('Work Items'!$A$6)+1),23))),"")</f>
        <v/>
      </c>
      <c r="L27" s="217">
        <f t="array" ref="L27">IFERROR(INDEX('Work Items'!$Q$6:$Q$5000,SMALL(IF('Work Items'!$A$6:$A$5000="Risk",ROW('Work Items'!$A$6:$A$5000)-ROW('Work Items'!$A$6)+1),23)),"")</f>
        <v/>
      </c>
      <c r="M27">
        <f t="array" ref="M27">IFERROR(INDEX('Work Items'!$T$6:$T$5000,SMALL(IF('Work Items'!$A$6:$A$5000="Risk",ROW('Work Items'!$A$6:$A$5000)-ROW('Work Items'!$A$6)+1),23)),"")</f>
        <v/>
      </c>
    </row>
    <row r="28">
      <c r="A28">
        <f t="array" ref="A28">IFERROR(INDEX('Work Items'!$A$6:$A$5000,SMALL(IF('Work Items'!$A$6:$A$5000="Risk",ROW('Work Items'!$A$6:$A$5000)-ROW('Work Items'!$A$6)+1),24)),"")</f>
        <v/>
      </c>
      <c r="B28">
        <f t="array" ref="B28">IFERROR(INDEX('Work Items'!$B$6:$B$5000,SMALL(IF('Work Items'!$A$6:$A$5000="Risk",ROW('Work Items'!$A$6:$A$5000)-ROW('Work Items'!$A$6)+1),24)),"")</f>
        <v/>
      </c>
      <c r="C28">
        <f>IF(E28="","",IFERROR(INDEX('Projects Master'!$A:$A,MATCH(E28,'Projects Master'!$B:$B,0)),"OrgRisk"))</f>
        <v/>
      </c>
      <c r="D28">
        <f t="array" ref="D28">IFERROR(INDEX('Work Items'!$C$6:$C$5000,SMALL(IF('Work Items'!$A$6:$A$5000="Risk",ROW('Work Items'!$A$6:$A$5000)-ROW('Work Items'!$A$6)+1),24)),"")</f>
        <v/>
      </c>
      <c r="E28">
        <f t="array" ref="E28">IFERROR(INDEX('Work Items'!$D$6:$D$5000,SMALL(IF('Work Items'!$A$6:$A$5000="Risk",ROW('Work Items'!$A$6:$A$5000)-ROW('Work Items'!$A$6)+1),24)),"")</f>
        <v/>
      </c>
      <c r="F28">
        <f t="array" ref="F28">IFERROR(INDEX('Work Items'!$E$6:$E$5000,SMALL(IF('Work Items'!$A$6:$A$5000="Risk",ROW('Work Items'!$A$6:$A$5000)-ROW('Work Items'!$A$6)+1),24)),"")</f>
        <v/>
      </c>
      <c r="G28">
        <f t="array" ref="G28">IFERROR(INDEX('Work Items'!$F$6:$F$5000,SMALL(IF('Work Items'!$A$6:$A$5000="Risk",ROW('Work Items'!$A$6:$A$5000)-ROW('Work Items'!$A$6)+1),24)),"")</f>
        <v/>
      </c>
      <c r="H28">
        <f t="array" ref="H28">IFERROR(INDEX('Work Items'!$J$6:$J$5000,SMALL(IF('Work Items'!$A$6:$A$5000="Risk",ROW('Work Items'!$A$6:$A$5000)-ROW('Work Items'!$A$6)+1),24)),"")</f>
        <v/>
      </c>
      <c r="I28">
        <f t="array" ref="I28">IFERROR(INDEX('Work Items'!$K$6:$K$5000,SMALL(IF('Work Items'!$A$6:$A$5000="Risk",ROW('Work Items'!$A$6:$A$5000)-ROW('Work Items'!$A$6)+1),24)),"")</f>
        <v/>
      </c>
      <c r="J28">
        <f t="array" ref="J28">IFERROR(INDEX('Work Items'!$L$6:$L$5000,SMALL(IF('Work Items'!$A$6:$A$5000="Risk",ROW('Work Items'!$A$6:$A$5000)-ROW('Work Items'!$A$6)+1),24)),"")</f>
        <v/>
      </c>
      <c r="K28">
        <f t="array" ref="K28">IFERROR(IF(AND(INDEX('Work Items'!$R$6:$R$5000,SMALL(IF('Work Items'!$A$6:$A$5000="Risk",ROW('Work Items'!$A$6:$A$5000)-ROW('Work Items'!$A$6)+1),24))&lt;&gt;"",INDEX('Work Items'!$S$6:$S$5000,SMALL(IF('Work Items'!$A$6:$A$5000="Risk",ROW('Work Items'!$A$6:$A$5000)-ROW('Work Items'!$A$6)+1),24))&lt;&gt;""),INDEX('Work Items'!$R$6:$R$5000,SMALL(IF('Work Items'!$A$6:$A$5000="Risk",ROW('Work Items'!$A$6:$A$5000)-ROW('Work Items'!$A$6)+1),24))*INDEX('Work Items'!$S$6:$S$5000,SMALL(IF('Work Items'!$A$6:$A$5000="Risk",ROW('Work Items'!$A$6:$A$5000)-ROW('Work Items'!$A$6)+1),24)),INDEX('Work Items'!$U$6:$U$5000,SMALL(IF('Work Items'!$A$6:$A$5000="Risk",ROW('Work Items'!$A$6:$A$5000)-ROW('Work Items'!$A$6)+1),24))),"")</f>
        <v/>
      </c>
      <c r="L28" s="217">
        <f t="array" ref="L28">IFERROR(INDEX('Work Items'!$Q$6:$Q$5000,SMALL(IF('Work Items'!$A$6:$A$5000="Risk",ROW('Work Items'!$A$6:$A$5000)-ROW('Work Items'!$A$6)+1),24)),"")</f>
        <v/>
      </c>
      <c r="M28">
        <f t="array" ref="M28">IFERROR(INDEX('Work Items'!$T$6:$T$5000,SMALL(IF('Work Items'!$A$6:$A$5000="Risk",ROW('Work Items'!$A$6:$A$5000)-ROW('Work Items'!$A$6)+1),24)),"")</f>
        <v/>
      </c>
    </row>
    <row r="29">
      <c r="A29">
        <f t="array" ref="A29">IFERROR(INDEX('Work Items'!$A$6:$A$5000,SMALL(IF('Work Items'!$A$6:$A$5000="Risk",ROW('Work Items'!$A$6:$A$5000)-ROW('Work Items'!$A$6)+1),25)),"")</f>
        <v/>
      </c>
      <c r="B29">
        <f t="array" ref="B29">IFERROR(INDEX('Work Items'!$B$6:$B$5000,SMALL(IF('Work Items'!$A$6:$A$5000="Risk",ROW('Work Items'!$A$6:$A$5000)-ROW('Work Items'!$A$6)+1),25)),"")</f>
        <v/>
      </c>
      <c r="C29">
        <f>IF(E29="","",IFERROR(INDEX('Projects Master'!$A:$A,MATCH(E29,'Projects Master'!$B:$B,0)),"OrgRisk"))</f>
        <v/>
      </c>
      <c r="D29">
        <f t="array" ref="D29">IFERROR(INDEX('Work Items'!$C$6:$C$5000,SMALL(IF('Work Items'!$A$6:$A$5000="Risk",ROW('Work Items'!$A$6:$A$5000)-ROW('Work Items'!$A$6)+1),25)),"")</f>
        <v/>
      </c>
      <c r="E29">
        <f t="array" ref="E29">IFERROR(INDEX('Work Items'!$D$6:$D$5000,SMALL(IF('Work Items'!$A$6:$A$5000="Risk",ROW('Work Items'!$A$6:$A$5000)-ROW('Work Items'!$A$6)+1),25)),"")</f>
        <v/>
      </c>
      <c r="F29">
        <f t="array" ref="F29">IFERROR(INDEX('Work Items'!$E$6:$E$5000,SMALL(IF('Work Items'!$A$6:$A$5000="Risk",ROW('Work Items'!$A$6:$A$5000)-ROW('Work Items'!$A$6)+1),25)),"")</f>
        <v/>
      </c>
      <c r="G29">
        <f t="array" ref="G29">IFERROR(INDEX('Work Items'!$F$6:$F$5000,SMALL(IF('Work Items'!$A$6:$A$5000="Risk",ROW('Work Items'!$A$6:$A$5000)-ROW('Work Items'!$A$6)+1),25)),"")</f>
        <v/>
      </c>
      <c r="H29">
        <f t="array" ref="H29">IFERROR(INDEX('Work Items'!$J$6:$J$5000,SMALL(IF('Work Items'!$A$6:$A$5000="Risk",ROW('Work Items'!$A$6:$A$5000)-ROW('Work Items'!$A$6)+1),25)),"")</f>
        <v/>
      </c>
      <c r="I29">
        <f t="array" ref="I29">IFERROR(INDEX('Work Items'!$K$6:$K$5000,SMALL(IF('Work Items'!$A$6:$A$5000="Risk",ROW('Work Items'!$A$6:$A$5000)-ROW('Work Items'!$A$6)+1),25)),"")</f>
        <v/>
      </c>
      <c r="J29">
        <f t="array" ref="J29">IFERROR(INDEX('Work Items'!$L$6:$L$5000,SMALL(IF('Work Items'!$A$6:$A$5000="Risk",ROW('Work Items'!$A$6:$A$5000)-ROW('Work Items'!$A$6)+1),25)),"")</f>
        <v/>
      </c>
      <c r="K29">
        <f t="array" ref="K29">IFERROR(IF(AND(INDEX('Work Items'!$R$6:$R$5000,SMALL(IF('Work Items'!$A$6:$A$5000="Risk",ROW('Work Items'!$A$6:$A$5000)-ROW('Work Items'!$A$6)+1),25))&lt;&gt;"",INDEX('Work Items'!$S$6:$S$5000,SMALL(IF('Work Items'!$A$6:$A$5000="Risk",ROW('Work Items'!$A$6:$A$5000)-ROW('Work Items'!$A$6)+1),25))&lt;&gt;""),INDEX('Work Items'!$R$6:$R$5000,SMALL(IF('Work Items'!$A$6:$A$5000="Risk",ROW('Work Items'!$A$6:$A$5000)-ROW('Work Items'!$A$6)+1),25))*INDEX('Work Items'!$S$6:$S$5000,SMALL(IF('Work Items'!$A$6:$A$5000="Risk",ROW('Work Items'!$A$6:$A$5000)-ROW('Work Items'!$A$6)+1),25)),INDEX('Work Items'!$U$6:$U$5000,SMALL(IF('Work Items'!$A$6:$A$5000="Risk",ROW('Work Items'!$A$6:$A$5000)-ROW('Work Items'!$A$6)+1),25))),"")</f>
        <v/>
      </c>
      <c r="L29" s="217">
        <f t="array" ref="L29">IFERROR(INDEX('Work Items'!$Q$6:$Q$5000,SMALL(IF('Work Items'!$A$6:$A$5000="Risk",ROW('Work Items'!$A$6:$A$5000)-ROW('Work Items'!$A$6)+1),25)),"")</f>
        <v/>
      </c>
      <c r="M29">
        <f t="array" ref="M29">IFERROR(INDEX('Work Items'!$T$6:$T$5000,SMALL(IF('Work Items'!$A$6:$A$5000="Risk",ROW('Work Items'!$A$6:$A$5000)-ROW('Work Items'!$A$6)+1),25)),"")</f>
        <v/>
      </c>
    </row>
    <row r="30">
      <c r="A30">
        <f t="array" ref="A30">IFERROR(INDEX('Work Items'!$A$6:$A$5000,SMALL(IF('Work Items'!$A$6:$A$5000="Risk",ROW('Work Items'!$A$6:$A$5000)-ROW('Work Items'!$A$6)+1),26)),"")</f>
        <v/>
      </c>
      <c r="B30">
        <f t="array" ref="B30">IFERROR(INDEX('Work Items'!$B$6:$B$5000,SMALL(IF('Work Items'!$A$6:$A$5000="Risk",ROW('Work Items'!$A$6:$A$5000)-ROW('Work Items'!$A$6)+1),26)),"")</f>
        <v/>
      </c>
      <c r="C30">
        <f>IF(E30="","",IFERROR(INDEX('Projects Master'!$A:$A,MATCH(E30,'Projects Master'!$B:$B,0)),"OrgRisk"))</f>
        <v/>
      </c>
      <c r="D30">
        <f t="array" ref="D30">IFERROR(INDEX('Work Items'!$C$6:$C$5000,SMALL(IF('Work Items'!$A$6:$A$5000="Risk",ROW('Work Items'!$A$6:$A$5000)-ROW('Work Items'!$A$6)+1),26)),"")</f>
        <v/>
      </c>
      <c r="E30">
        <f t="array" ref="E30">IFERROR(INDEX('Work Items'!$D$6:$D$5000,SMALL(IF('Work Items'!$A$6:$A$5000="Risk",ROW('Work Items'!$A$6:$A$5000)-ROW('Work Items'!$A$6)+1),26)),"")</f>
        <v/>
      </c>
      <c r="F30">
        <f t="array" ref="F30">IFERROR(INDEX('Work Items'!$E$6:$E$5000,SMALL(IF('Work Items'!$A$6:$A$5000="Risk",ROW('Work Items'!$A$6:$A$5000)-ROW('Work Items'!$A$6)+1),26)),"")</f>
        <v/>
      </c>
      <c r="G30">
        <f t="array" ref="G30">IFERROR(INDEX('Work Items'!$F$6:$F$5000,SMALL(IF('Work Items'!$A$6:$A$5000="Risk",ROW('Work Items'!$A$6:$A$5000)-ROW('Work Items'!$A$6)+1),26)),"")</f>
        <v/>
      </c>
      <c r="H30">
        <f t="array" ref="H30">IFERROR(INDEX('Work Items'!$J$6:$J$5000,SMALL(IF('Work Items'!$A$6:$A$5000="Risk",ROW('Work Items'!$A$6:$A$5000)-ROW('Work Items'!$A$6)+1),26)),"")</f>
        <v/>
      </c>
      <c r="I30">
        <f t="array" ref="I30">IFERROR(INDEX('Work Items'!$K$6:$K$5000,SMALL(IF('Work Items'!$A$6:$A$5000="Risk",ROW('Work Items'!$A$6:$A$5000)-ROW('Work Items'!$A$6)+1),26)),"")</f>
        <v/>
      </c>
      <c r="J30">
        <f t="array" ref="J30">IFERROR(INDEX('Work Items'!$L$6:$L$5000,SMALL(IF('Work Items'!$A$6:$A$5000="Risk",ROW('Work Items'!$A$6:$A$5000)-ROW('Work Items'!$A$6)+1),26)),"")</f>
        <v/>
      </c>
      <c r="K30">
        <f t="array" ref="K30">IFERROR(IF(AND(INDEX('Work Items'!$R$6:$R$5000,SMALL(IF('Work Items'!$A$6:$A$5000="Risk",ROW('Work Items'!$A$6:$A$5000)-ROW('Work Items'!$A$6)+1),26))&lt;&gt;"",INDEX('Work Items'!$S$6:$S$5000,SMALL(IF('Work Items'!$A$6:$A$5000="Risk",ROW('Work Items'!$A$6:$A$5000)-ROW('Work Items'!$A$6)+1),26))&lt;&gt;""),INDEX('Work Items'!$R$6:$R$5000,SMALL(IF('Work Items'!$A$6:$A$5000="Risk",ROW('Work Items'!$A$6:$A$5000)-ROW('Work Items'!$A$6)+1),26))*INDEX('Work Items'!$S$6:$S$5000,SMALL(IF('Work Items'!$A$6:$A$5000="Risk",ROW('Work Items'!$A$6:$A$5000)-ROW('Work Items'!$A$6)+1),26)),INDEX('Work Items'!$U$6:$U$5000,SMALL(IF('Work Items'!$A$6:$A$5000="Risk",ROW('Work Items'!$A$6:$A$5000)-ROW('Work Items'!$A$6)+1),26))),"")</f>
        <v/>
      </c>
      <c r="L30" s="217">
        <f t="array" ref="L30">IFERROR(INDEX('Work Items'!$Q$6:$Q$5000,SMALL(IF('Work Items'!$A$6:$A$5000="Risk",ROW('Work Items'!$A$6:$A$5000)-ROW('Work Items'!$A$6)+1),26)),"")</f>
        <v/>
      </c>
      <c r="M30">
        <f t="array" ref="M30">IFERROR(INDEX('Work Items'!$T$6:$T$5000,SMALL(IF('Work Items'!$A$6:$A$5000="Risk",ROW('Work Items'!$A$6:$A$5000)-ROW('Work Items'!$A$6)+1),26)),"")</f>
        <v/>
      </c>
    </row>
    <row r="31">
      <c r="A31">
        <f t="array" ref="A31">IFERROR(INDEX('Work Items'!$A$6:$A$5000,SMALL(IF('Work Items'!$A$6:$A$5000="Risk",ROW('Work Items'!$A$6:$A$5000)-ROW('Work Items'!$A$6)+1),27)),"")</f>
        <v/>
      </c>
      <c r="B31">
        <f t="array" ref="B31">IFERROR(INDEX('Work Items'!$B$6:$B$5000,SMALL(IF('Work Items'!$A$6:$A$5000="Risk",ROW('Work Items'!$A$6:$A$5000)-ROW('Work Items'!$A$6)+1),27)),"")</f>
        <v/>
      </c>
      <c r="C31">
        <f>IF(E31="","",IFERROR(INDEX('Projects Master'!$A:$A,MATCH(E31,'Projects Master'!$B:$B,0)),"OrgRisk"))</f>
        <v/>
      </c>
      <c r="D31">
        <f t="array" ref="D31">IFERROR(INDEX('Work Items'!$C$6:$C$5000,SMALL(IF('Work Items'!$A$6:$A$5000="Risk",ROW('Work Items'!$A$6:$A$5000)-ROW('Work Items'!$A$6)+1),27)),"")</f>
        <v/>
      </c>
      <c r="E31">
        <f t="array" ref="E31">IFERROR(INDEX('Work Items'!$D$6:$D$5000,SMALL(IF('Work Items'!$A$6:$A$5000="Risk",ROW('Work Items'!$A$6:$A$5000)-ROW('Work Items'!$A$6)+1),27)),"")</f>
        <v/>
      </c>
      <c r="F31">
        <f t="array" ref="F31">IFERROR(INDEX('Work Items'!$E$6:$E$5000,SMALL(IF('Work Items'!$A$6:$A$5000="Risk",ROW('Work Items'!$A$6:$A$5000)-ROW('Work Items'!$A$6)+1),27)),"")</f>
        <v/>
      </c>
      <c r="G31">
        <f t="array" ref="G31">IFERROR(INDEX('Work Items'!$F$6:$F$5000,SMALL(IF('Work Items'!$A$6:$A$5000="Risk",ROW('Work Items'!$A$6:$A$5000)-ROW('Work Items'!$A$6)+1),27)),"")</f>
        <v/>
      </c>
      <c r="H31">
        <f t="array" ref="H31">IFERROR(INDEX('Work Items'!$J$6:$J$5000,SMALL(IF('Work Items'!$A$6:$A$5000="Risk",ROW('Work Items'!$A$6:$A$5000)-ROW('Work Items'!$A$6)+1),27)),"")</f>
        <v/>
      </c>
      <c r="I31">
        <f t="array" ref="I31">IFERROR(INDEX('Work Items'!$K$6:$K$5000,SMALL(IF('Work Items'!$A$6:$A$5000="Risk",ROW('Work Items'!$A$6:$A$5000)-ROW('Work Items'!$A$6)+1),27)),"")</f>
        <v/>
      </c>
      <c r="J31">
        <f t="array" ref="J31">IFERROR(INDEX('Work Items'!$L$6:$L$5000,SMALL(IF('Work Items'!$A$6:$A$5000="Risk",ROW('Work Items'!$A$6:$A$5000)-ROW('Work Items'!$A$6)+1),27)),"")</f>
        <v/>
      </c>
      <c r="K31">
        <f t="array" ref="K31">IFERROR(IF(AND(INDEX('Work Items'!$R$6:$R$5000,SMALL(IF('Work Items'!$A$6:$A$5000="Risk",ROW('Work Items'!$A$6:$A$5000)-ROW('Work Items'!$A$6)+1),27))&lt;&gt;"",INDEX('Work Items'!$S$6:$S$5000,SMALL(IF('Work Items'!$A$6:$A$5000="Risk",ROW('Work Items'!$A$6:$A$5000)-ROW('Work Items'!$A$6)+1),27))&lt;&gt;""),INDEX('Work Items'!$R$6:$R$5000,SMALL(IF('Work Items'!$A$6:$A$5000="Risk",ROW('Work Items'!$A$6:$A$5000)-ROW('Work Items'!$A$6)+1),27))*INDEX('Work Items'!$S$6:$S$5000,SMALL(IF('Work Items'!$A$6:$A$5000="Risk",ROW('Work Items'!$A$6:$A$5000)-ROW('Work Items'!$A$6)+1),27)),INDEX('Work Items'!$U$6:$U$5000,SMALL(IF('Work Items'!$A$6:$A$5000="Risk",ROW('Work Items'!$A$6:$A$5000)-ROW('Work Items'!$A$6)+1),27))),"")</f>
        <v/>
      </c>
      <c r="L31" s="217">
        <f t="array" ref="L31">IFERROR(INDEX('Work Items'!$Q$6:$Q$5000,SMALL(IF('Work Items'!$A$6:$A$5000="Risk",ROW('Work Items'!$A$6:$A$5000)-ROW('Work Items'!$A$6)+1),27)),"")</f>
        <v/>
      </c>
      <c r="M31">
        <f t="array" ref="M31">IFERROR(INDEX('Work Items'!$T$6:$T$5000,SMALL(IF('Work Items'!$A$6:$A$5000="Risk",ROW('Work Items'!$A$6:$A$5000)-ROW('Work Items'!$A$6)+1),27)),"")</f>
        <v/>
      </c>
    </row>
    <row r="32">
      <c r="A32">
        <f t="array" ref="A32">IFERROR(INDEX('Work Items'!$A$6:$A$5000,SMALL(IF('Work Items'!$A$6:$A$5000="Risk",ROW('Work Items'!$A$6:$A$5000)-ROW('Work Items'!$A$6)+1),28)),"")</f>
        <v/>
      </c>
      <c r="B32">
        <f t="array" ref="B32">IFERROR(INDEX('Work Items'!$B$6:$B$5000,SMALL(IF('Work Items'!$A$6:$A$5000="Risk",ROW('Work Items'!$A$6:$A$5000)-ROW('Work Items'!$A$6)+1),28)),"")</f>
        <v/>
      </c>
      <c r="C32">
        <f>IF(E32="","",IFERROR(INDEX('Projects Master'!$A:$A,MATCH(E32,'Projects Master'!$B:$B,0)),"OrgRisk"))</f>
        <v/>
      </c>
      <c r="D32">
        <f t="array" ref="D32">IFERROR(INDEX('Work Items'!$C$6:$C$5000,SMALL(IF('Work Items'!$A$6:$A$5000="Risk",ROW('Work Items'!$A$6:$A$5000)-ROW('Work Items'!$A$6)+1),28)),"")</f>
        <v/>
      </c>
      <c r="E32">
        <f t="array" ref="E32">IFERROR(INDEX('Work Items'!$D$6:$D$5000,SMALL(IF('Work Items'!$A$6:$A$5000="Risk",ROW('Work Items'!$A$6:$A$5000)-ROW('Work Items'!$A$6)+1),28)),"")</f>
        <v/>
      </c>
      <c r="F32">
        <f t="array" ref="F32">IFERROR(INDEX('Work Items'!$E$6:$E$5000,SMALL(IF('Work Items'!$A$6:$A$5000="Risk",ROW('Work Items'!$A$6:$A$5000)-ROW('Work Items'!$A$6)+1),28)),"")</f>
        <v/>
      </c>
      <c r="G32">
        <f t="array" ref="G32">IFERROR(INDEX('Work Items'!$F$6:$F$5000,SMALL(IF('Work Items'!$A$6:$A$5000="Risk",ROW('Work Items'!$A$6:$A$5000)-ROW('Work Items'!$A$6)+1),28)),"")</f>
        <v/>
      </c>
      <c r="H32">
        <f t="array" ref="H32">IFERROR(INDEX('Work Items'!$J$6:$J$5000,SMALL(IF('Work Items'!$A$6:$A$5000="Risk",ROW('Work Items'!$A$6:$A$5000)-ROW('Work Items'!$A$6)+1),28)),"")</f>
        <v/>
      </c>
      <c r="I32">
        <f t="array" ref="I32">IFERROR(INDEX('Work Items'!$K$6:$K$5000,SMALL(IF('Work Items'!$A$6:$A$5000="Risk",ROW('Work Items'!$A$6:$A$5000)-ROW('Work Items'!$A$6)+1),28)),"")</f>
        <v/>
      </c>
      <c r="J32">
        <f t="array" ref="J32">IFERROR(INDEX('Work Items'!$L$6:$L$5000,SMALL(IF('Work Items'!$A$6:$A$5000="Risk",ROW('Work Items'!$A$6:$A$5000)-ROW('Work Items'!$A$6)+1),28)),"")</f>
        <v/>
      </c>
      <c r="K32">
        <f t="array" ref="K32">IFERROR(IF(AND(INDEX('Work Items'!$R$6:$R$5000,SMALL(IF('Work Items'!$A$6:$A$5000="Risk",ROW('Work Items'!$A$6:$A$5000)-ROW('Work Items'!$A$6)+1),28))&lt;&gt;"",INDEX('Work Items'!$S$6:$S$5000,SMALL(IF('Work Items'!$A$6:$A$5000="Risk",ROW('Work Items'!$A$6:$A$5000)-ROW('Work Items'!$A$6)+1),28))&lt;&gt;""),INDEX('Work Items'!$R$6:$R$5000,SMALL(IF('Work Items'!$A$6:$A$5000="Risk",ROW('Work Items'!$A$6:$A$5000)-ROW('Work Items'!$A$6)+1),28))*INDEX('Work Items'!$S$6:$S$5000,SMALL(IF('Work Items'!$A$6:$A$5000="Risk",ROW('Work Items'!$A$6:$A$5000)-ROW('Work Items'!$A$6)+1),28)),INDEX('Work Items'!$U$6:$U$5000,SMALL(IF('Work Items'!$A$6:$A$5000="Risk",ROW('Work Items'!$A$6:$A$5000)-ROW('Work Items'!$A$6)+1),28))),"")</f>
        <v/>
      </c>
      <c r="L32" s="217">
        <f t="array" ref="L32">IFERROR(INDEX('Work Items'!$Q$6:$Q$5000,SMALL(IF('Work Items'!$A$6:$A$5000="Risk",ROW('Work Items'!$A$6:$A$5000)-ROW('Work Items'!$A$6)+1),28)),"")</f>
        <v/>
      </c>
      <c r="M32">
        <f t="array" ref="M32">IFERROR(INDEX('Work Items'!$T$6:$T$5000,SMALL(IF('Work Items'!$A$6:$A$5000="Risk",ROW('Work Items'!$A$6:$A$5000)-ROW('Work Items'!$A$6)+1),28)),"")</f>
        <v/>
      </c>
    </row>
    <row r="33">
      <c r="A33">
        <f t="array" ref="A33">IFERROR(INDEX('Work Items'!$A$6:$A$5000,SMALL(IF('Work Items'!$A$6:$A$5000="Risk",ROW('Work Items'!$A$6:$A$5000)-ROW('Work Items'!$A$6)+1),29)),"")</f>
        <v/>
      </c>
      <c r="B33">
        <f t="array" ref="B33">IFERROR(INDEX('Work Items'!$B$6:$B$5000,SMALL(IF('Work Items'!$A$6:$A$5000="Risk",ROW('Work Items'!$A$6:$A$5000)-ROW('Work Items'!$A$6)+1),29)),"")</f>
        <v/>
      </c>
      <c r="C33">
        <f>IF(E33="","",IFERROR(INDEX('Projects Master'!$A:$A,MATCH(E33,'Projects Master'!$B:$B,0)),"OrgRisk"))</f>
        <v/>
      </c>
      <c r="D33">
        <f t="array" ref="D33">IFERROR(INDEX('Work Items'!$C$6:$C$5000,SMALL(IF('Work Items'!$A$6:$A$5000="Risk",ROW('Work Items'!$A$6:$A$5000)-ROW('Work Items'!$A$6)+1),29)),"")</f>
        <v/>
      </c>
      <c r="E33">
        <f t="array" ref="E33">IFERROR(INDEX('Work Items'!$D$6:$D$5000,SMALL(IF('Work Items'!$A$6:$A$5000="Risk",ROW('Work Items'!$A$6:$A$5000)-ROW('Work Items'!$A$6)+1),29)),"")</f>
        <v/>
      </c>
      <c r="F33">
        <f t="array" ref="F33">IFERROR(INDEX('Work Items'!$E$6:$E$5000,SMALL(IF('Work Items'!$A$6:$A$5000="Risk",ROW('Work Items'!$A$6:$A$5000)-ROW('Work Items'!$A$6)+1),29)),"")</f>
        <v/>
      </c>
      <c r="G33">
        <f t="array" ref="G33">IFERROR(INDEX('Work Items'!$F$6:$F$5000,SMALL(IF('Work Items'!$A$6:$A$5000="Risk",ROW('Work Items'!$A$6:$A$5000)-ROW('Work Items'!$A$6)+1),29)),"")</f>
        <v/>
      </c>
      <c r="H33">
        <f t="array" ref="H33">IFERROR(INDEX('Work Items'!$J$6:$J$5000,SMALL(IF('Work Items'!$A$6:$A$5000="Risk",ROW('Work Items'!$A$6:$A$5000)-ROW('Work Items'!$A$6)+1),29)),"")</f>
        <v/>
      </c>
      <c r="I33">
        <f t="array" ref="I33">IFERROR(INDEX('Work Items'!$K$6:$K$5000,SMALL(IF('Work Items'!$A$6:$A$5000="Risk",ROW('Work Items'!$A$6:$A$5000)-ROW('Work Items'!$A$6)+1),29)),"")</f>
        <v/>
      </c>
      <c r="J33">
        <f t="array" ref="J33">IFERROR(INDEX('Work Items'!$L$6:$L$5000,SMALL(IF('Work Items'!$A$6:$A$5000="Risk",ROW('Work Items'!$A$6:$A$5000)-ROW('Work Items'!$A$6)+1),29)),"")</f>
        <v/>
      </c>
      <c r="K33">
        <f t="array" ref="K33">IFERROR(IF(AND(INDEX('Work Items'!$R$6:$R$5000,SMALL(IF('Work Items'!$A$6:$A$5000="Risk",ROW('Work Items'!$A$6:$A$5000)-ROW('Work Items'!$A$6)+1),29))&lt;&gt;"",INDEX('Work Items'!$S$6:$S$5000,SMALL(IF('Work Items'!$A$6:$A$5000="Risk",ROW('Work Items'!$A$6:$A$5000)-ROW('Work Items'!$A$6)+1),29))&lt;&gt;""),INDEX('Work Items'!$R$6:$R$5000,SMALL(IF('Work Items'!$A$6:$A$5000="Risk",ROW('Work Items'!$A$6:$A$5000)-ROW('Work Items'!$A$6)+1),29))*INDEX('Work Items'!$S$6:$S$5000,SMALL(IF('Work Items'!$A$6:$A$5000="Risk",ROW('Work Items'!$A$6:$A$5000)-ROW('Work Items'!$A$6)+1),29)),INDEX('Work Items'!$U$6:$U$5000,SMALL(IF('Work Items'!$A$6:$A$5000="Risk",ROW('Work Items'!$A$6:$A$5000)-ROW('Work Items'!$A$6)+1),29))),"")</f>
        <v/>
      </c>
      <c r="L33" s="217">
        <f t="array" ref="L33">IFERROR(INDEX('Work Items'!$Q$6:$Q$5000,SMALL(IF('Work Items'!$A$6:$A$5000="Risk",ROW('Work Items'!$A$6:$A$5000)-ROW('Work Items'!$A$6)+1),29)),"")</f>
        <v/>
      </c>
      <c r="M33">
        <f t="array" ref="M33">IFERROR(INDEX('Work Items'!$T$6:$T$5000,SMALL(IF('Work Items'!$A$6:$A$5000="Risk",ROW('Work Items'!$A$6:$A$5000)-ROW('Work Items'!$A$6)+1),29)),"")</f>
        <v/>
      </c>
    </row>
    <row r="34">
      <c r="A34">
        <f t="array" ref="A34">IFERROR(INDEX('Work Items'!$A$6:$A$5000,SMALL(IF('Work Items'!$A$6:$A$5000="Risk",ROW('Work Items'!$A$6:$A$5000)-ROW('Work Items'!$A$6)+1),30)),"")</f>
        <v/>
      </c>
      <c r="B34">
        <f t="array" ref="B34">IFERROR(INDEX('Work Items'!$B$6:$B$5000,SMALL(IF('Work Items'!$A$6:$A$5000="Risk",ROW('Work Items'!$A$6:$A$5000)-ROW('Work Items'!$A$6)+1),30)),"")</f>
        <v/>
      </c>
      <c r="C34">
        <f>IF(E34="","",IFERROR(INDEX('Projects Master'!$A:$A,MATCH(E34,'Projects Master'!$B:$B,0)),"OrgRisk"))</f>
        <v/>
      </c>
      <c r="D34">
        <f t="array" ref="D34">IFERROR(INDEX('Work Items'!$C$6:$C$5000,SMALL(IF('Work Items'!$A$6:$A$5000="Risk",ROW('Work Items'!$A$6:$A$5000)-ROW('Work Items'!$A$6)+1),30)),"")</f>
        <v/>
      </c>
      <c r="E34">
        <f t="array" ref="E34">IFERROR(INDEX('Work Items'!$D$6:$D$5000,SMALL(IF('Work Items'!$A$6:$A$5000="Risk",ROW('Work Items'!$A$6:$A$5000)-ROW('Work Items'!$A$6)+1),30)),"")</f>
        <v/>
      </c>
      <c r="F34">
        <f t="array" ref="F34">IFERROR(INDEX('Work Items'!$E$6:$E$5000,SMALL(IF('Work Items'!$A$6:$A$5000="Risk",ROW('Work Items'!$A$6:$A$5000)-ROW('Work Items'!$A$6)+1),30)),"")</f>
        <v/>
      </c>
      <c r="G34">
        <f t="array" ref="G34">IFERROR(INDEX('Work Items'!$F$6:$F$5000,SMALL(IF('Work Items'!$A$6:$A$5000="Risk",ROW('Work Items'!$A$6:$A$5000)-ROW('Work Items'!$A$6)+1),30)),"")</f>
        <v/>
      </c>
      <c r="H34">
        <f t="array" ref="H34">IFERROR(INDEX('Work Items'!$J$6:$J$5000,SMALL(IF('Work Items'!$A$6:$A$5000="Risk",ROW('Work Items'!$A$6:$A$5000)-ROW('Work Items'!$A$6)+1),30)),"")</f>
        <v/>
      </c>
      <c r="I34">
        <f t="array" ref="I34">IFERROR(INDEX('Work Items'!$K$6:$K$5000,SMALL(IF('Work Items'!$A$6:$A$5000="Risk",ROW('Work Items'!$A$6:$A$5000)-ROW('Work Items'!$A$6)+1),30)),"")</f>
        <v/>
      </c>
      <c r="J34">
        <f t="array" ref="J34">IFERROR(INDEX('Work Items'!$L$6:$L$5000,SMALL(IF('Work Items'!$A$6:$A$5000="Risk",ROW('Work Items'!$A$6:$A$5000)-ROW('Work Items'!$A$6)+1),30)),"")</f>
        <v/>
      </c>
      <c r="K34">
        <f t="array" ref="K34">IFERROR(IF(AND(INDEX('Work Items'!$R$6:$R$5000,SMALL(IF('Work Items'!$A$6:$A$5000="Risk",ROW('Work Items'!$A$6:$A$5000)-ROW('Work Items'!$A$6)+1),30))&lt;&gt;"",INDEX('Work Items'!$S$6:$S$5000,SMALL(IF('Work Items'!$A$6:$A$5000="Risk",ROW('Work Items'!$A$6:$A$5000)-ROW('Work Items'!$A$6)+1),30))&lt;&gt;""),INDEX('Work Items'!$R$6:$R$5000,SMALL(IF('Work Items'!$A$6:$A$5000="Risk",ROW('Work Items'!$A$6:$A$5000)-ROW('Work Items'!$A$6)+1),30))*INDEX('Work Items'!$S$6:$S$5000,SMALL(IF('Work Items'!$A$6:$A$5000="Risk",ROW('Work Items'!$A$6:$A$5000)-ROW('Work Items'!$A$6)+1),30)),INDEX('Work Items'!$U$6:$U$5000,SMALL(IF('Work Items'!$A$6:$A$5000="Risk",ROW('Work Items'!$A$6:$A$5000)-ROW('Work Items'!$A$6)+1),30))),"")</f>
        <v/>
      </c>
      <c r="L34" s="217">
        <f t="array" ref="L34">IFERROR(INDEX('Work Items'!$Q$6:$Q$5000,SMALL(IF('Work Items'!$A$6:$A$5000="Risk",ROW('Work Items'!$A$6:$A$5000)-ROW('Work Items'!$A$6)+1),30)),"")</f>
        <v/>
      </c>
      <c r="M34">
        <f t="array" ref="M34">IFERROR(INDEX('Work Items'!$T$6:$T$5000,SMALL(IF('Work Items'!$A$6:$A$5000="Risk",ROW('Work Items'!$A$6:$A$5000)-ROW('Work Items'!$A$6)+1),30)),"")</f>
        <v/>
      </c>
    </row>
    <row r="35">
      <c r="A35">
        <f t="array" ref="A35">IFERROR(INDEX('Work Items'!$A$6:$A$5000,SMALL(IF('Work Items'!$A$6:$A$5000="Risk",ROW('Work Items'!$A$6:$A$5000)-ROW('Work Items'!$A$6)+1),31)),"")</f>
        <v/>
      </c>
      <c r="B35">
        <f t="array" ref="B35">IFERROR(INDEX('Work Items'!$B$6:$B$5000,SMALL(IF('Work Items'!$A$6:$A$5000="Risk",ROW('Work Items'!$A$6:$A$5000)-ROW('Work Items'!$A$6)+1),31)),"")</f>
        <v/>
      </c>
      <c r="C35">
        <f>IF(E35="","",IFERROR(INDEX('Projects Master'!$A:$A,MATCH(E35,'Projects Master'!$B:$B,0)),"OrgRisk"))</f>
        <v/>
      </c>
      <c r="D35">
        <f t="array" ref="D35">IFERROR(INDEX('Work Items'!$C$6:$C$5000,SMALL(IF('Work Items'!$A$6:$A$5000="Risk",ROW('Work Items'!$A$6:$A$5000)-ROW('Work Items'!$A$6)+1),31)),"")</f>
        <v/>
      </c>
      <c r="E35">
        <f t="array" ref="E35">IFERROR(INDEX('Work Items'!$D$6:$D$5000,SMALL(IF('Work Items'!$A$6:$A$5000="Risk",ROW('Work Items'!$A$6:$A$5000)-ROW('Work Items'!$A$6)+1),31)),"")</f>
        <v/>
      </c>
      <c r="F35">
        <f t="array" ref="F35">IFERROR(INDEX('Work Items'!$E$6:$E$5000,SMALL(IF('Work Items'!$A$6:$A$5000="Risk",ROW('Work Items'!$A$6:$A$5000)-ROW('Work Items'!$A$6)+1),31)),"")</f>
        <v/>
      </c>
      <c r="G35">
        <f t="array" ref="G35">IFERROR(INDEX('Work Items'!$F$6:$F$5000,SMALL(IF('Work Items'!$A$6:$A$5000="Risk",ROW('Work Items'!$A$6:$A$5000)-ROW('Work Items'!$A$6)+1),31)),"")</f>
        <v/>
      </c>
      <c r="H35">
        <f t="array" ref="H35">IFERROR(INDEX('Work Items'!$J$6:$J$5000,SMALL(IF('Work Items'!$A$6:$A$5000="Risk",ROW('Work Items'!$A$6:$A$5000)-ROW('Work Items'!$A$6)+1),31)),"")</f>
        <v/>
      </c>
      <c r="I35">
        <f t="array" ref="I35">IFERROR(INDEX('Work Items'!$K$6:$K$5000,SMALL(IF('Work Items'!$A$6:$A$5000="Risk",ROW('Work Items'!$A$6:$A$5000)-ROW('Work Items'!$A$6)+1),31)),"")</f>
        <v/>
      </c>
      <c r="J35">
        <f t="array" ref="J35">IFERROR(INDEX('Work Items'!$L$6:$L$5000,SMALL(IF('Work Items'!$A$6:$A$5000="Risk",ROW('Work Items'!$A$6:$A$5000)-ROW('Work Items'!$A$6)+1),31)),"")</f>
        <v/>
      </c>
      <c r="K35">
        <f t="array" ref="K35">IFERROR(IF(AND(INDEX('Work Items'!$R$6:$R$5000,SMALL(IF('Work Items'!$A$6:$A$5000="Risk",ROW('Work Items'!$A$6:$A$5000)-ROW('Work Items'!$A$6)+1),31))&lt;&gt;"",INDEX('Work Items'!$S$6:$S$5000,SMALL(IF('Work Items'!$A$6:$A$5000="Risk",ROW('Work Items'!$A$6:$A$5000)-ROW('Work Items'!$A$6)+1),31))&lt;&gt;""),INDEX('Work Items'!$R$6:$R$5000,SMALL(IF('Work Items'!$A$6:$A$5000="Risk",ROW('Work Items'!$A$6:$A$5000)-ROW('Work Items'!$A$6)+1),31))*INDEX('Work Items'!$S$6:$S$5000,SMALL(IF('Work Items'!$A$6:$A$5000="Risk",ROW('Work Items'!$A$6:$A$5000)-ROW('Work Items'!$A$6)+1),31)),INDEX('Work Items'!$U$6:$U$5000,SMALL(IF('Work Items'!$A$6:$A$5000="Risk",ROW('Work Items'!$A$6:$A$5000)-ROW('Work Items'!$A$6)+1),31))),"")</f>
        <v/>
      </c>
      <c r="L35" s="217">
        <f t="array" ref="L35">IFERROR(INDEX('Work Items'!$Q$6:$Q$5000,SMALL(IF('Work Items'!$A$6:$A$5000="Risk",ROW('Work Items'!$A$6:$A$5000)-ROW('Work Items'!$A$6)+1),31)),"")</f>
        <v/>
      </c>
      <c r="M35">
        <f t="array" ref="M35">IFERROR(INDEX('Work Items'!$T$6:$T$5000,SMALL(IF('Work Items'!$A$6:$A$5000="Risk",ROW('Work Items'!$A$6:$A$5000)-ROW('Work Items'!$A$6)+1),31)),"")</f>
        <v/>
      </c>
    </row>
    <row r="36">
      <c r="A36">
        <f t="array" ref="A36">IFERROR(INDEX('Work Items'!$A$6:$A$5000,SMALL(IF('Work Items'!$A$6:$A$5000="Risk",ROW('Work Items'!$A$6:$A$5000)-ROW('Work Items'!$A$6)+1),32)),"")</f>
        <v/>
      </c>
      <c r="B36">
        <f t="array" ref="B36">IFERROR(INDEX('Work Items'!$B$6:$B$5000,SMALL(IF('Work Items'!$A$6:$A$5000="Risk",ROW('Work Items'!$A$6:$A$5000)-ROW('Work Items'!$A$6)+1),32)),"")</f>
        <v/>
      </c>
      <c r="C36">
        <f>IF(E36="","",IFERROR(INDEX('Projects Master'!$A:$A,MATCH(E36,'Projects Master'!$B:$B,0)),"OrgRisk"))</f>
        <v/>
      </c>
      <c r="D36">
        <f t="array" ref="D36">IFERROR(INDEX('Work Items'!$C$6:$C$5000,SMALL(IF('Work Items'!$A$6:$A$5000="Risk",ROW('Work Items'!$A$6:$A$5000)-ROW('Work Items'!$A$6)+1),32)),"")</f>
        <v/>
      </c>
      <c r="E36">
        <f t="array" ref="E36">IFERROR(INDEX('Work Items'!$D$6:$D$5000,SMALL(IF('Work Items'!$A$6:$A$5000="Risk",ROW('Work Items'!$A$6:$A$5000)-ROW('Work Items'!$A$6)+1),32)),"")</f>
        <v/>
      </c>
      <c r="F36">
        <f t="array" ref="F36">IFERROR(INDEX('Work Items'!$E$6:$E$5000,SMALL(IF('Work Items'!$A$6:$A$5000="Risk",ROW('Work Items'!$A$6:$A$5000)-ROW('Work Items'!$A$6)+1),32)),"")</f>
        <v/>
      </c>
      <c r="G36">
        <f t="array" ref="G36">IFERROR(INDEX('Work Items'!$F$6:$F$5000,SMALL(IF('Work Items'!$A$6:$A$5000="Risk",ROW('Work Items'!$A$6:$A$5000)-ROW('Work Items'!$A$6)+1),32)),"")</f>
        <v/>
      </c>
      <c r="H36">
        <f t="array" ref="H36">IFERROR(INDEX('Work Items'!$J$6:$J$5000,SMALL(IF('Work Items'!$A$6:$A$5000="Risk",ROW('Work Items'!$A$6:$A$5000)-ROW('Work Items'!$A$6)+1),32)),"")</f>
        <v/>
      </c>
      <c r="I36">
        <f t="array" ref="I36">IFERROR(INDEX('Work Items'!$K$6:$K$5000,SMALL(IF('Work Items'!$A$6:$A$5000="Risk",ROW('Work Items'!$A$6:$A$5000)-ROW('Work Items'!$A$6)+1),32)),"")</f>
        <v/>
      </c>
      <c r="J36">
        <f t="array" ref="J36">IFERROR(INDEX('Work Items'!$L$6:$L$5000,SMALL(IF('Work Items'!$A$6:$A$5000="Risk",ROW('Work Items'!$A$6:$A$5000)-ROW('Work Items'!$A$6)+1),32)),"")</f>
        <v/>
      </c>
      <c r="K36">
        <f t="array" ref="K36">IFERROR(IF(AND(INDEX('Work Items'!$R$6:$R$5000,SMALL(IF('Work Items'!$A$6:$A$5000="Risk",ROW('Work Items'!$A$6:$A$5000)-ROW('Work Items'!$A$6)+1),32))&lt;&gt;"",INDEX('Work Items'!$S$6:$S$5000,SMALL(IF('Work Items'!$A$6:$A$5000="Risk",ROW('Work Items'!$A$6:$A$5000)-ROW('Work Items'!$A$6)+1),32))&lt;&gt;""),INDEX('Work Items'!$R$6:$R$5000,SMALL(IF('Work Items'!$A$6:$A$5000="Risk",ROW('Work Items'!$A$6:$A$5000)-ROW('Work Items'!$A$6)+1),32))*INDEX('Work Items'!$S$6:$S$5000,SMALL(IF('Work Items'!$A$6:$A$5000="Risk",ROW('Work Items'!$A$6:$A$5000)-ROW('Work Items'!$A$6)+1),32)),INDEX('Work Items'!$U$6:$U$5000,SMALL(IF('Work Items'!$A$6:$A$5000="Risk",ROW('Work Items'!$A$6:$A$5000)-ROW('Work Items'!$A$6)+1),32))),"")</f>
        <v/>
      </c>
      <c r="L36" s="217">
        <f t="array" ref="L36">IFERROR(INDEX('Work Items'!$Q$6:$Q$5000,SMALL(IF('Work Items'!$A$6:$A$5000="Risk",ROW('Work Items'!$A$6:$A$5000)-ROW('Work Items'!$A$6)+1),32)),"")</f>
        <v/>
      </c>
      <c r="M36">
        <f t="array" ref="M36">IFERROR(INDEX('Work Items'!$T$6:$T$5000,SMALL(IF('Work Items'!$A$6:$A$5000="Risk",ROW('Work Items'!$A$6:$A$5000)-ROW('Work Items'!$A$6)+1),32)),"")</f>
        <v/>
      </c>
    </row>
    <row r="37">
      <c r="A37">
        <f t="array" ref="A37">IFERROR(INDEX('Work Items'!$A$6:$A$5000,SMALL(IF('Work Items'!$A$6:$A$5000="Risk",ROW('Work Items'!$A$6:$A$5000)-ROW('Work Items'!$A$6)+1),33)),"")</f>
        <v/>
      </c>
      <c r="B37">
        <f t="array" ref="B37">IFERROR(INDEX('Work Items'!$B$6:$B$5000,SMALL(IF('Work Items'!$A$6:$A$5000="Risk",ROW('Work Items'!$A$6:$A$5000)-ROW('Work Items'!$A$6)+1),33)),"")</f>
        <v/>
      </c>
      <c r="C37">
        <f>IF(E37="","",IFERROR(INDEX('Projects Master'!$A:$A,MATCH(E37,'Projects Master'!$B:$B,0)),"OrgRisk"))</f>
        <v/>
      </c>
      <c r="D37">
        <f t="array" ref="D37">IFERROR(INDEX('Work Items'!$C$6:$C$5000,SMALL(IF('Work Items'!$A$6:$A$5000="Risk",ROW('Work Items'!$A$6:$A$5000)-ROW('Work Items'!$A$6)+1),33)),"")</f>
        <v/>
      </c>
      <c r="E37">
        <f t="array" ref="E37">IFERROR(INDEX('Work Items'!$D$6:$D$5000,SMALL(IF('Work Items'!$A$6:$A$5000="Risk",ROW('Work Items'!$A$6:$A$5000)-ROW('Work Items'!$A$6)+1),33)),"")</f>
        <v/>
      </c>
      <c r="F37">
        <f t="array" ref="F37">IFERROR(INDEX('Work Items'!$E$6:$E$5000,SMALL(IF('Work Items'!$A$6:$A$5000="Risk",ROW('Work Items'!$A$6:$A$5000)-ROW('Work Items'!$A$6)+1),33)),"")</f>
        <v/>
      </c>
      <c r="G37">
        <f t="array" ref="G37">IFERROR(INDEX('Work Items'!$F$6:$F$5000,SMALL(IF('Work Items'!$A$6:$A$5000="Risk",ROW('Work Items'!$A$6:$A$5000)-ROW('Work Items'!$A$6)+1),33)),"")</f>
        <v/>
      </c>
      <c r="H37">
        <f t="array" ref="H37">IFERROR(INDEX('Work Items'!$J$6:$J$5000,SMALL(IF('Work Items'!$A$6:$A$5000="Risk",ROW('Work Items'!$A$6:$A$5000)-ROW('Work Items'!$A$6)+1),33)),"")</f>
        <v/>
      </c>
      <c r="I37">
        <f t="array" ref="I37">IFERROR(INDEX('Work Items'!$K$6:$K$5000,SMALL(IF('Work Items'!$A$6:$A$5000="Risk",ROW('Work Items'!$A$6:$A$5000)-ROW('Work Items'!$A$6)+1),33)),"")</f>
        <v/>
      </c>
      <c r="J37">
        <f t="array" ref="J37">IFERROR(INDEX('Work Items'!$L$6:$L$5000,SMALL(IF('Work Items'!$A$6:$A$5000="Risk",ROW('Work Items'!$A$6:$A$5000)-ROW('Work Items'!$A$6)+1),33)),"")</f>
        <v/>
      </c>
      <c r="K37">
        <f t="array" ref="K37">IFERROR(IF(AND(INDEX('Work Items'!$R$6:$R$5000,SMALL(IF('Work Items'!$A$6:$A$5000="Risk",ROW('Work Items'!$A$6:$A$5000)-ROW('Work Items'!$A$6)+1),33))&lt;&gt;"",INDEX('Work Items'!$S$6:$S$5000,SMALL(IF('Work Items'!$A$6:$A$5000="Risk",ROW('Work Items'!$A$6:$A$5000)-ROW('Work Items'!$A$6)+1),33))&lt;&gt;""),INDEX('Work Items'!$R$6:$R$5000,SMALL(IF('Work Items'!$A$6:$A$5000="Risk",ROW('Work Items'!$A$6:$A$5000)-ROW('Work Items'!$A$6)+1),33))*INDEX('Work Items'!$S$6:$S$5000,SMALL(IF('Work Items'!$A$6:$A$5000="Risk",ROW('Work Items'!$A$6:$A$5000)-ROW('Work Items'!$A$6)+1),33)),INDEX('Work Items'!$U$6:$U$5000,SMALL(IF('Work Items'!$A$6:$A$5000="Risk",ROW('Work Items'!$A$6:$A$5000)-ROW('Work Items'!$A$6)+1),33))),"")</f>
        <v/>
      </c>
      <c r="L37" s="217">
        <f t="array" ref="L37">IFERROR(INDEX('Work Items'!$Q$6:$Q$5000,SMALL(IF('Work Items'!$A$6:$A$5000="Risk",ROW('Work Items'!$A$6:$A$5000)-ROW('Work Items'!$A$6)+1),33)),"")</f>
        <v/>
      </c>
      <c r="M37">
        <f t="array" ref="M37">IFERROR(INDEX('Work Items'!$T$6:$T$5000,SMALL(IF('Work Items'!$A$6:$A$5000="Risk",ROW('Work Items'!$A$6:$A$5000)-ROW('Work Items'!$A$6)+1),33)),"")</f>
        <v/>
      </c>
    </row>
    <row r="38">
      <c r="A38">
        <f t="array" ref="A38">IFERROR(INDEX('Work Items'!$A$6:$A$5000,SMALL(IF('Work Items'!$A$6:$A$5000="Risk",ROW('Work Items'!$A$6:$A$5000)-ROW('Work Items'!$A$6)+1),34)),"")</f>
        <v/>
      </c>
      <c r="B38">
        <f t="array" ref="B38">IFERROR(INDEX('Work Items'!$B$6:$B$5000,SMALL(IF('Work Items'!$A$6:$A$5000="Risk",ROW('Work Items'!$A$6:$A$5000)-ROW('Work Items'!$A$6)+1),34)),"")</f>
        <v/>
      </c>
      <c r="C38">
        <f>IF(E38="","",IFERROR(INDEX('Projects Master'!$A:$A,MATCH(E38,'Projects Master'!$B:$B,0)),"OrgRisk"))</f>
        <v/>
      </c>
      <c r="D38">
        <f t="array" ref="D38">IFERROR(INDEX('Work Items'!$C$6:$C$5000,SMALL(IF('Work Items'!$A$6:$A$5000="Risk",ROW('Work Items'!$A$6:$A$5000)-ROW('Work Items'!$A$6)+1),34)),"")</f>
        <v/>
      </c>
      <c r="E38">
        <f t="array" ref="E38">IFERROR(INDEX('Work Items'!$D$6:$D$5000,SMALL(IF('Work Items'!$A$6:$A$5000="Risk",ROW('Work Items'!$A$6:$A$5000)-ROW('Work Items'!$A$6)+1),34)),"")</f>
        <v/>
      </c>
      <c r="F38">
        <f t="array" ref="F38">IFERROR(INDEX('Work Items'!$E$6:$E$5000,SMALL(IF('Work Items'!$A$6:$A$5000="Risk",ROW('Work Items'!$A$6:$A$5000)-ROW('Work Items'!$A$6)+1),34)),"")</f>
        <v/>
      </c>
      <c r="G38">
        <f t="array" ref="G38">IFERROR(INDEX('Work Items'!$F$6:$F$5000,SMALL(IF('Work Items'!$A$6:$A$5000="Risk",ROW('Work Items'!$A$6:$A$5000)-ROW('Work Items'!$A$6)+1),34)),"")</f>
        <v/>
      </c>
      <c r="H38">
        <f t="array" ref="H38">IFERROR(INDEX('Work Items'!$J$6:$J$5000,SMALL(IF('Work Items'!$A$6:$A$5000="Risk",ROW('Work Items'!$A$6:$A$5000)-ROW('Work Items'!$A$6)+1),34)),"")</f>
        <v/>
      </c>
      <c r="I38">
        <f t="array" ref="I38">IFERROR(INDEX('Work Items'!$K$6:$K$5000,SMALL(IF('Work Items'!$A$6:$A$5000="Risk",ROW('Work Items'!$A$6:$A$5000)-ROW('Work Items'!$A$6)+1),34)),"")</f>
        <v/>
      </c>
      <c r="J38">
        <f t="array" ref="J38">IFERROR(INDEX('Work Items'!$L$6:$L$5000,SMALL(IF('Work Items'!$A$6:$A$5000="Risk",ROW('Work Items'!$A$6:$A$5000)-ROW('Work Items'!$A$6)+1),34)),"")</f>
        <v/>
      </c>
      <c r="K38">
        <f t="array" ref="K38">IFERROR(IF(AND(INDEX('Work Items'!$R$6:$R$5000,SMALL(IF('Work Items'!$A$6:$A$5000="Risk",ROW('Work Items'!$A$6:$A$5000)-ROW('Work Items'!$A$6)+1),34))&lt;&gt;"",INDEX('Work Items'!$S$6:$S$5000,SMALL(IF('Work Items'!$A$6:$A$5000="Risk",ROW('Work Items'!$A$6:$A$5000)-ROW('Work Items'!$A$6)+1),34))&lt;&gt;""),INDEX('Work Items'!$R$6:$R$5000,SMALL(IF('Work Items'!$A$6:$A$5000="Risk",ROW('Work Items'!$A$6:$A$5000)-ROW('Work Items'!$A$6)+1),34))*INDEX('Work Items'!$S$6:$S$5000,SMALL(IF('Work Items'!$A$6:$A$5000="Risk",ROW('Work Items'!$A$6:$A$5000)-ROW('Work Items'!$A$6)+1),34)),INDEX('Work Items'!$U$6:$U$5000,SMALL(IF('Work Items'!$A$6:$A$5000="Risk",ROW('Work Items'!$A$6:$A$5000)-ROW('Work Items'!$A$6)+1),34))),"")</f>
        <v/>
      </c>
      <c r="L38" s="217">
        <f t="array" ref="L38">IFERROR(INDEX('Work Items'!$Q$6:$Q$5000,SMALL(IF('Work Items'!$A$6:$A$5000="Risk",ROW('Work Items'!$A$6:$A$5000)-ROW('Work Items'!$A$6)+1),34)),"")</f>
        <v/>
      </c>
      <c r="M38">
        <f t="array" ref="M38">IFERROR(INDEX('Work Items'!$T$6:$T$5000,SMALL(IF('Work Items'!$A$6:$A$5000="Risk",ROW('Work Items'!$A$6:$A$5000)-ROW('Work Items'!$A$6)+1),34)),"")</f>
        <v/>
      </c>
    </row>
    <row r="39">
      <c r="A39">
        <f t="array" ref="A39">IFERROR(INDEX('Work Items'!$A$6:$A$5000,SMALL(IF('Work Items'!$A$6:$A$5000="Risk",ROW('Work Items'!$A$6:$A$5000)-ROW('Work Items'!$A$6)+1),35)),"")</f>
        <v/>
      </c>
      <c r="B39">
        <f t="array" ref="B39">IFERROR(INDEX('Work Items'!$B$6:$B$5000,SMALL(IF('Work Items'!$A$6:$A$5000="Risk",ROW('Work Items'!$A$6:$A$5000)-ROW('Work Items'!$A$6)+1),35)),"")</f>
        <v/>
      </c>
      <c r="C39">
        <f>IF(E39="","",IFERROR(INDEX('Projects Master'!$A:$A,MATCH(E39,'Projects Master'!$B:$B,0)),"OrgRisk"))</f>
        <v/>
      </c>
      <c r="D39">
        <f t="array" ref="D39">IFERROR(INDEX('Work Items'!$C$6:$C$5000,SMALL(IF('Work Items'!$A$6:$A$5000="Risk",ROW('Work Items'!$A$6:$A$5000)-ROW('Work Items'!$A$6)+1),35)),"")</f>
        <v/>
      </c>
      <c r="E39">
        <f t="array" ref="E39">IFERROR(INDEX('Work Items'!$D$6:$D$5000,SMALL(IF('Work Items'!$A$6:$A$5000="Risk",ROW('Work Items'!$A$6:$A$5000)-ROW('Work Items'!$A$6)+1),35)),"")</f>
        <v/>
      </c>
      <c r="F39">
        <f t="array" ref="F39">IFERROR(INDEX('Work Items'!$E$6:$E$5000,SMALL(IF('Work Items'!$A$6:$A$5000="Risk",ROW('Work Items'!$A$6:$A$5000)-ROW('Work Items'!$A$6)+1),35)),"")</f>
        <v/>
      </c>
      <c r="G39">
        <f t="array" ref="G39">IFERROR(INDEX('Work Items'!$F$6:$F$5000,SMALL(IF('Work Items'!$A$6:$A$5000="Risk",ROW('Work Items'!$A$6:$A$5000)-ROW('Work Items'!$A$6)+1),35)),"")</f>
        <v/>
      </c>
      <c r="H39">
        <f t="array" ref="H39">IFERROR(INDEX('Work Items'!$J$6:$J$5000,SMALL(IF('Work Items'!$A$6:$A$5000="Risk",ROW('Work Items'!$A$6:$A$5000)-ROW('Work Items'!$A$6)+1),35)),"")</f>
        <v/>
      </c>
      <c r="I39">
        <f t="array" ref="I39">IFERROR(INDEX('Work Items'!$K$6:$K$5000,SMALL(IF('Work Items'!$A$6:$A$5000="Risk",ROW('Work Items'!$A$6:$A$5000)-ROW('Work Items'!$A$6)+1),35)),"")</f>
        <v/>
      </c>
      <c r="J39">
        <f t="array" ref="J39">IFERROR(INDEX('Work Items'!$L$6:$L$5000,SMALL(IF('Work Items'!$A$6:$A$5000="Risk",ROW('Work Items'!$A$6:$A$5000)-ROW('Work Items'!$A$6)+1),35)),"")</f>
        <v/>
      </c>
      <c r="K39">
        <f t="array" ref="K39">IFERROR(IF(AND(INDEX('Work Items'!$R$6:$R$5000,SMALL(IF('Work Items'!$A$6:$A$5000="Risk",ROW('Work Items'!$A$6:$A$5000)-ROW('Work Items'!$A$6)+1),35))&lt;&gt;"",INDEX('Work Items'!$S$6:$S$5000,SMALL(IF('Work Items'!$A$6:$A$5000="Risk",ROW('Work Items'!$A$6:$A$5000)-ROW('Work Items'!$A$6)+1),35))&lt;&gt;""),INDEX('Work Items'!$R$6:$R$5000,SMALL(IF('Work Items'!$A$6:$A$5000="Risk",ROW('Work Items'!$A$6:$A$5000)-ROW('Work Items'!$A$6)+1),35))*INDEX('Work Items'!$S$6:$S$5000,SMALL(IF('Work Items'!$A$6:$A$5000="Risk",ROW('Work Items'!$A$6:$A$5000)-ROW('Work Items'!$A$6)+1),35)),INDEX('Work Items'!$U$6:$U$5000,SMALL(IF('Work Items'!$A$6:$A$5000="Risk",ROW('Work Items'!$A$6:$A$5000)-ROW('Work Items'!$A$6)+1),35))),"")</f>
        <v/>
      </c>
      <c r="L39" s="217">
        <f t="array" ref="L39">IFERROR(INDEX('Work Items'!$Q$6:$Q$5000,SMALL(IF('Work Items'!$A$6:$A$5000="Risk",ROW('Work Items'!$A$6:$A$5000)-ROW('Work Items'!$A$6)+1),35)),"")</f>
        <v/>
      </c>
      <c r="M39">
        <f t="array" ref="M39">IFERROR(INDEX('Work Items'!$T$6:$T$5000,SMALL(IF('Work Items'!$A$6:$A$5000="Risk",ROW('Work Items'!$A$6:$A$5000)-ROW('Work Items'!$A$6)+1),35)),"")</f>
        <v/>
      </c>
    </row>
    <row r="40">
      <c r="A40">
        <f t="array" ref="A40">IFERROR(INDEX('Work Items'!$A$6:$A$5000,SMALL(IF('Work Items'!$A$6:$A$5000="Risk",ROW('Work Items'!$A$6:$A$5000)-ROW('Work Items'!$A$6)+1),36)),"")</f>
        <v/>
      </c>
      <c r="B40">
        <f t="array" ref="B40">IFERROR(INDEX('Work Items'!$B$6:$B$5000,SMALL(IF('Work Items'!$A$6:$A$5000="Risk",ROW('Work Items'!$A$6:$A$5000)-ROW('Work Items'!$A$6)+1),36)),"")</f>
        <v/>
      </c>
      <c r="C40">
        <f>IF(E40="","",IFERROR(INDEX('Projects Master'!$A:$A,MATCH(E40,'Projects Master'!$B:$B,0)),"OrgRisk"))</f>
        <v/>
      </c>
      <c r="D40">
        <f t="array" ref="D40">IFERROR(INDEX('Work Items'!$C$6:$C$5000,SMALL(IF('Work Items'!$A$6:$A$5000="Risk",ROW('Work Items'!$A$6:$A$5000)-ROW('Work Items'!$A$6)+1),36)),"")</f>
        <v/>
      </c>
      <c r="E40">
        <f t="array" ref="E40">IFERROR(INDEX('Work Items'!$D$6:$D$5000,SMALL(IF('Work Items'!$A$6:$A$5000="Risk",ROW('Work Items'!$A$6:$A$5000)-ROW('Work Items'!$A$6)+1),36)),"")</f>
        <v/>
      </c>
      <c r="F40">
        <f t="array" ref="F40">IFERROR(INDEX('Work Items'!$E$6:$E$5000,SMALL(IF('Work Items'!$A$6:$A$5000="Risk",ROW('Work Items'!$A$6:$A$5000)-ROW('Work Items'!$A$6)+1),36)),"")</f>
        <v/>
      </c>
      <c r="G40">
        <f t="array" ref="G40">IFERROR(INDEX('Work Items'!$F$6:$F$5000,SMALL(IF('Work Items'!$A$6:$A$5000="Risk",ROW('Work Items'!$A$6:$A$5000)-ROW('Work Items'!$A$6)+1),36)),"")</f>
        <v/>
      </c>
      <c r="H40">
        <f t="array" ref="H40">IFERROR(INDEX('Work Items'!$J$6:$J$5000,SMALL(IF('Work Items'!$A$6:$A$5000="Risk",ROW('Work Items'!$A$6:$A$5000)-ROW('Work Items'!$A$6)+1),36)),"")</f>
        <v/>
      </c>
      <c r="I40">
        <f t="array" ref="I40">IFERROR(INDEX('Work Items'!$K$6:$K$5000,SMALL(IF('Work Items'!$A$6:$A$5000="Risk",ROW('Work Items'!$A$6:$A$5000)-ROW('Work Items'!$A$6)+1),36)),"")</f>
        <v/>
      </c>
      <c r="J40">
        <f t="array" ref="J40">IFERROR(INDEX('Work Items'!$L$6:$L$5000,SMALL(IF('Work Items'!$A$6:$A$5000="Risk",ROW('Work Items'!$A$6:$A$5000)-ROW('Work Items'!$A$6)+1),36)),"")</f>
        <v/>
      </c>
      <c r="K40">
        <f t="array" ref="K40">IFERROR(IF(AND(INDEX('Work Items'!$R$6:$R$5000,SMALL(IF('Work Items'!$A$6:$A$5000="Risk",ROW('Work Items'!$A$6:$A$5000)-ROW('Work Items'!$A$6)+1),36))&lt;&gt;"",INDEX('Work Items'!$S$6:$S$5000,SMALL(IF('Work Items'!$A$6:$A$5000="Risk",ROW('Work Items'!$A$6:$A$5000)-ROW('Work Items'!$A$6)+1),36))&lt;&gt;""),INDEX('Work Items'!$R$6:$R$5000,SMALL(IF('Work Items'!$A$6:$A$5000="Risk",ROW('Work Items'!$A$6:$A$5000)-ROW('Work Items'!$A$6)+1),36))*INDEX('Work Items'!$S$6:$S$5000,SMALL(IF('Work Items'!$A$6:$A$5000="Risk",ROW('Work Items'!$A$6:$A$5000)-ROW('Work Items'!$A$6)+1),36)),INDEX('Work Items'!$U$6:$U$5000,SMALL(IF('Work Items'!$A$6:$A$5000="Risk",ROW('Work Items'!$A$6:$A$5000)-ROW('Work Items'!$A$6)+1),36))),"")</f>
        <v/>
      </c>
      <c r="L40" s="217">
        <f t="array" ref="L40">IFERROR(INDEX('Work Items'!$Q$6:$Q$5000,SMALL(IF('Work Items'!$A$6:$A$5000="Risk",ROW('Work Items'!$A$6:$A$5000)-ROW('Work Items'!$A$6)+1),36)),"")</f>
        <v/>
      </c>
      <c r="M40">
        <f t="array" ref="M40">IFERROR(INDEX('Work Items'!$T$6:$T$5000,SMALL(IF('Work Items'!$A$6:$A$5000="Risk",ROW('Work Items'!$A$6:$A$5000)-ROW('Work Items'!$A$6)+1),36)),"")</f>
        <v/>
      </c>
    </row>
    <row r="41">
      <c r="A41">
        <f t="array" ref="A41">IFERROR(INDEX('Work Items'!$A$6:$A$5000,SMALL(IF('Work Items'!$A$6:$A$5000="Risk",ROW('Work Items'!$A$6:$A$5000)-ROW('Work Items'!$A$6)+1),37)),"")</f>
        <v/>
      </c>
      <c r="B41">
        <f t="array" ref="B41">IFERROR(INDEX('Work Items'!$B$6:$B$5000,SMALL(IF('Work Items'!$A$6:$A$5000="Risk",ROW('Work Items'!$A$6:$A$5000)-ROW('Work Items'!$A$6)+1),37)),"")</f>
        <v/>
      </c>
      <c r="C41">
        <f>IF(E41="","",IFERROR(INDEX('Projects Master'!$A:$A,MATCH(E41,'Projects Master'!$B:$B,0)),"OrgRisk"))</f>
        <v/>
      </c>
      <c r="D41">
        <f t="array" ref="D41">IFERROR(INDEX('Work Items'!$C$6:$C$5000,SMALL(IF('Work Items'!$A$6:$A$5000="Risk",ROW('Work Items'!$A$6:$A$5000)-ROW('Work Items'!$A$6)+1),37)),"")</f>
        <v/>
      </c>
      <c r="E41">
        <f t="array" ref="E41">IFERROR(INDEX('Work Items'!$D$6:$D$5000,SMALL(IF('Work Items'!$A$6:$A$5000="Risk",ROW('Work Items'!$A$6:$A$5000)-ROW('Work Items'!$A$6)+1),37)),"")</f>
        <v/>
      </c>
      <c r="F41">
        <f t="array" ref="F41">IFERROR(INDEX('Work Items'!$E$6:$E$5000,SMALL(IF('Work Items'!$A$6:$A$5000="Risk",ROW('Work Items'!$A$6:$A$5000)-ROW('Work Items'!$A$6)+1),37)),"")</f>
        <v/>
      </c>
      <c r="G41">
        <f t="array" ref="G41">IFERROR(INDEX('Work Items'!$F$6:$F$5000,SMALL(IF('Work Items'!$A$6:$A$5000="Risk",ROW('Work Items'!$A$6:$A$5000)-ROW('Work Items'!$A$6)+1),37)),"")</f>
        <v/>
      </c>
      <c r="H41">
        <f t="array" ref="H41">IFERROR(INDEX('Work Items'!$J$6:$J$5000,SMALL(IF('Work Items'!$A$6:$A$5000="Risk",ROW('Work Items'!$A$6:$A$5000)-ROW('Work Items'!$A$6)+1),37)),"")</f>
        <v/>
      </c>
      <c r="I41">
        <f t="array" ref="I41">IFERROR(INDEX('Work Items'!$K$6:$K$5000,SMALL(IF('Work Items'!$A$6:$A$5000="Risk",ROW('Work Items'!$A$6:$A$5000)-ROW('Work Items'!$A$6)+1),37)),"")</f>
        <v/>
      </c>
      <c r="J41">
        <f t="array" ref="J41">IFERROR(INDEX('Work Items'!$L$6:$L$5000,SMALL(IF('Work Items'!$A$6:$A$5000="Risk",ROW('Work Items'!$A$6:$A$5000)-ROW('Work Items'!$A$6)+1),37)),"")</f>
        <v/>
      </c>
      <c r="K41">
        <f t="array" ref="K41">IFERROR(IF(AND(INDEX('Work Items'!$R$6:$R$5000,SMALL(IF('Work Items'!$A$6:$A$5000="Risk",ROW('Work Items'!$A$6:$A$5000)-ROW('Work Items'!$A$6)+1),37))&lt;&gt;"",INDEX('Work Items'!$S$6:$S$5000,SMALL(IF('Work Items'!$A$6:$A$5000="Risk",ROW('Work Items'!$A$6:$A$5000)-ROW('Work Items'!$A$6)+1),37))&lt;&gt;""),INDEX('Work Items'!$R$6:$R$5000,SMALL(IF('Work Items'!$A$6:$A$5000="Risk",ROW('Work Items'!$A$6:$A$5000)-ROW('Work Items'!$A$6)+1),37))*INDEX('Work Items'!$S$6:$S$5000,SMALL(IF('Work Items'!$A$6:$A$5000="Risk",ROW('Work Items'!$A$6:$A$5000)-ROW('Work Items'!$A$6)+1),37)),INDEX('Work Items'!$U$6:$U$5000,SMALL(IF('Work Items'!$A$6:$A$5000="Risk",ROW('Work Items'!$A$6:$A$5000)-ROW('Work Items'!$A$6)+1),37))),"")</f>
        <v/>
      </c>
      <c r="L41" s="217">
        <f t="array" ref="L41">IFERROR(INDEX('Work Items'!$Q$6:$Q$5000,SMALL(IF('Work Items'!$A$6:$A$5000="Risk",ROW('Work Items'!$A$6:$A$5000)-ROW('Work Items'!$A$6)+1),37)),"")</f>
        <v/>
      </c>
      <c r="M41">
        <f t="array" ref="M41">IFERROR(INDEX('Work Items'!$T$6:$T$5000,SMALL(IF('Work Items'!$A$6:$A$5000="Risk",ROW('Work Items'!$A$6:$A$5000)-ROW('Work Items'!$A$6)+1),37)),"")</f>
        <v/>
      </c>
    </row>
    <row r="42">
      <c r="A42">
        <f t="array" ref="A42">IFERROR(INDEX('Work Items'!$A$6:$A$5000,SMALL(IF('Work Items'!$A$6:$A$5000="Risk",ROW('Work Items'!$A$6:$A$5000)-ROW('Work Items'!$A$6)+1),38)),"")</f>
        <v/>
      </c>
      <c r="B42">
        <f t="array" ref="B42">IFERROR(INDEX('Work Items'!$B$6:$B$5000,SMALL(IF('Work Items'!$A$6:$A$5000="Risk",ROW('Work Items'!$A$6:$A$5000)-ROW('Work Items'!$A$6)+1),38)),"")</f>
        <v/>
      </c>
      <c r="C42">
        <f>IF(E42="","",IFERROR(INDEX('Projects Master'!$A:$A,MATCH(E42,'Projects Master'!$B:$B,0)),"OrgRisk"))</f>
        <v/>
      </c>
      <c r="D42">
        <f t="array" ref="D42">IFERROR(INDEX('Work Items'!$C$6:$C$5000,SMALL(IF('Work Items'!$A$6:$A$5000="Risk",ROW('Work Items'!$A$6:$A$5000)-ROW('Work Items'!$A$6)+1),38)),"")</f>
        <v/>
      </c>
      <c r="E42">
        <f t="array" ref="E42">IFERROR(INDEX('Work Items'!$D$6:$D$5000,SMALL(IF('Work Items'!$A$6:$A$5000="Risk",ROW('Work Items'!$A$6:$A$5000)-ROW('Work Items'!$A$6)+1),38)),"")</f>
        <v/>
      </c>
      <c r="F42">
        <f t="array" ref="F42">IFERROR(INDEX('Work Items'!$E$6:$E$5000,SMALL(IF('Work Items'!$A$6:$A$5000="Risk",ROW('Work Items'!$A$6:$A$5000)-ROW('Work Items'!$A$6)+1),38)),"")</f>
        <v/>
      </c>
      <c r="G42">
        <f t="array" ref="G42">IFERROR(INDEX('Work Items'!$F$6:$F$5000,SMALL(IF('Work Items'!$A$6:$A$5000="Risk",ROW('Work Items'!$A$6:$A$5000)-ROW('Work Items'!$A$6)+1),38)),"")</f>
        <v/>
      </c>
      <c r="H42">
        <f t="array" ref="H42">IFERROR(INDEX('Work Items'!$J$6:$J$5000,SMALL(IF('Work Items'!$A$6:$A$5000="Risk",ROW('Work Items'!$A$6:$A$5000)-ROW('Work Items'!$A$6)+1),38)),"")</f>
        <v/>
      </c>
      <c r="I42">
        <f t="array" ref="I42">IFERROR(INDEX('Work Items'!$K$6:$K$5000,SMALL(IF('Work Items'!$A$6:$A$5000="Risk",ROW('Work Items'!$A$6:$A$5000)-ROW('Work Items'!$A$6)+1),38)),"")</f>
        <v/>
      </c>
      <c r="J42">
        <f t="array" ref="J42">IFERROR(INDEX('Work Items'!$L$6:$L$5000,SMALL(IF('Work Items'!$A$6:$A$5000="Risk",ROW('Work Items'!$A$6:$A$5000)-ROW('Work Items'!$A$6)+1),38)),"")</f>
        <v/>
      </c>
      <c r="K42">
        <f t="array" ref="K42">IFERROR(IF(AND(INDEX('Work Items'!$R$6:$R$5000,SMALL(IF('Work Items'!$A$6:$A$5000="Risk",ROW('Work Items'!$A$6:$A$5000)-ROW('Work Items'!$A$6)+1),38))&lt;&gt;"",INDEX('Work Items'!$S$6:$S$5000,SMALL(IF('Work Items'!$A$6:$A$5000="Risk",ROW('Work Items'!$A$6:$A$5000)-ROW('Work Items'!$A$6)+1),38))&lt;&gt;""),INDEX('Work Items'!$R$6:$R$5000,SMALL(IF('Work Items'!$A$6:$A$5000="Risk",ROW('Work Items'!$A$6:$A$5000)-ROW('Work Items'!$A$6)+1),38))*INDEX('Work Items'!$S$6:$S$5000,SMALL(IF('Work Items'!$A$6:$A$5000="Risk",ROW('Work Items'!$A$6:$A$5000)-ROW('Work Items'!$A$6)+1),38)),INDEX('Work Items'!$U$6:$U$5000,SMALL(IF('Work Items'!$A$6:$A$5000="Risk",ROW('Work Items'!$A$6:$A$5000)-ROW('Work Items'!$A$6)+1),38))),"")</f>
        <v/>
      </c>
      <c r="L42" s="217">
        <f t="array" ref="L42">IFERROR(INDEX('Work Items'!$Q$6:$Q$5000,SMALL(IF('Work Items'!$A$6:$A$5000="Risk",ROW('Work Items'!$A$6:$A$5000)-ROW('Work Items'!$A$6)+1),38)),"")</f>
        <v/>
      </c>
      <c r="M42">
        <f t="array" ref="M42">IFERROR(INDEX('Work Items'!$T$6:$T$5000,SMALL(IF('Work Items'!$A$6:$A$5000="Risk",ROW('Work Items'!$A$6:$A$5000)-ROW('Work Items'!$A$6)+1),38)),"")</f>
        <v/>
      </c>
    </row>
    <row r="43">
      <c r="A43">
        <f t="array" ref="A43">IFERROR(INDEX('Work Items'!$A$6:$A$5000,SMALL(IF('Work Items'!$A$6:$A$5000="Risk",ROW('Work Items'!$A$6:$A$5000)-ROW('Work Items'!$A$6)+1),39)),"")</f>
        <v/>
      </c>
      <c r="B43">
        <f t="array" ref="B43">IFERROR(INDEX('Work Items'!$B$6:$B$5000,SMALL(IF('Work Items'!$A$6:$A$5000="Risk",ROW('Work Items'!$A$6:$A$5000)-ROW('Work Items'!$A$6)+1),39)),"")</f>
        <v/>
      </c>
      <c r="C43">
        <f>IF(E43="","",IFERROR(INDEX('Projects Master'!$A:$A,MATCH(E43,'Projects Master'!$B:$B,0)),"OrgRisk"))</f>
        <v/>
      </c>
      <c r="D43">
        <f t="array" ref="D43">IFERROR(INDEX('Work Items'!$C$6:$C$5000,SMALL(IF('Work Items'!$A$6:$A$5000="Risk",ROW('Work Items'!$A$6:$A$5000)-ROW('Work Items'!$A$6)+1),39)),"")</f>
        <v/>
      </c>
      <c r="E43">
        <f t="array" ref="E43">IFERROR(INDEX('Work Items'!$D$6:$D$5000,SMALL(IF('Work Items'!$A$6:$A$5000="Risk",ROW('Work Items'!$A$6:$A$5000)-ROW('Work Items'!$A$6)+1),39)),"")</f>
        <v/>
      </c>
      <c r="F43">
        <f t="array" ref="F43">IFERROR(INDEX('Work Items'!$E$6:$E$5000,SMALL(IF('Work Items'!$A$6:$A$5000="Risk",ROW('Work Items'!$A$6:$A$5000)-ROW('Work Items'!$A$6)+1),39)),"")</f>
        <v/>
      </c>
      <c r="G43">
        <f t="array" ref="G43">IFERROR(INDEX('Work Items'!$F$6:$F$5000,SMALL(IF('Work Items'!$A$6:$A$5000="Risk",ROW('Work Items'!$A$6:$A$5000)-ROW('Work Items'!$A$6)+1),39)),"")</f>
        <v/>
      </c>
      <c r="H43">
        <f t="array" ref="H43">IFERROR(INDEX('Work Items'!$J$6:$J$5000,SMALL(IF('Work Items'!$A$6:$A$5000="Risk",ROW('Work Items'!$A$6:$A$5000)-ROW('Work Items'!$A$6)+1),39)),"")</f>
        <v/>
      </c>
      <c r="I43">
        <f t="array" ref="I43">IFERROR(INDEX('Work Items'!$K$6:$K$5000,SMALL(IF('Work Items'!$A$6:$A$5000="Risk",ROW('Work Items'!$A$6:$A$5000)-ROW('Work Items'!$A$6)+1),39)),"")</f>
        <v/>
      </c>
      <c r="J43">
        <f t="array" ref="J43">IFERROR(INDEX('Work Items'!$L$6:$L$5000,SMALL(IF('Work Items'!$A$6:$A$5000="Risk",ROW('Work Items'!$A$6:$A$5000)-ROW('Work Items'!$A$6)+1),39)),"")</f>
        <v/>
      </c>
      <c r="K43">
        <f t="array" ref="K43">IFERROR(IF(AND(INDEX('Work Items'!$R$6:$R$5000,SMALL(IF('Work Items'!$A$6:$A$5000="Risk",ROW('Work Items'!$A$6:$A$5000)-ROW('Work Items'!$A$6)+1),39))&lt;&gt;"",INDEX('Work Items'!$S$6:$S$5000,SMALL(IF('Work Items'!$A$6:$A$5000="Risk",ROW('Work Items'!$A$6:$A$5000)-ROW('Work Items'!$A$6)+1),39))&lt;&gt;""),INDEX('Work Items'!$R$6:$R$5000,SMALL(IF('Work Items'!$A$6:$A$5000="Risk",ROW('Work Items'!$A$6:$A$5000)-ROW('Work Items'!$A$6)+1),39))*INDEX('Work Items'!$S$6:$S$5000,SMALL(IF('Work Items'!$A$6:$A$5000="Risk",ROW('Work Items'!$A$6:$A$5000)-ROW('Work Items'!$A$6)+1),39)),INDEX('Work Items'!$U$6:$U$5000,SMALL(IF('Work Items'!$A$6:$A$5000="Risk",ROW('Work Items'!$A$6:$A$5000)-ROW('Work Items'!$A$6)+1),39))),"")</f>
        <v/>
      </c>
      <c r="L43" s="217">
        <f t="array" ref="L43">IFERROR(INDEX('Work Items'!$Q$6:$Q$5000,SMALL(IF('Work Items'!$A$6:$A$5000="Risk",ROW('Work Items'!$A$6:$A$5000)-ROW('Work Items'!$A$6)+1),39)),"")</f>
        <v/>
      </c>
      <c r="M43">
        <f t="array" ref="M43">IFERROR(INDEX('Work Items'!$T$6:$T$5000,SMALL(IF('Work Items'!$A$6:$A$5000="Risk",ROW('Work Items'!$A$6:$A$5000)-ROW('Work Items'!$A$6)+1),39)),"")</f>
        <v/>
      </c>
    </row>
    <row r="44">
      <c r="A44">
        <f t="array" ref="A44">IFERROR(INDEX('Work Items'!$A$6:$A$5000,SMALL(IF('Work Items'!$A$6:$A$5000="Risk",ROW('Work Items'!$A$6:$A$5000)-ROW('Work Items'!$A$6)+1),40)),"")</f>
        <v/>
      </c>
      <c r="B44">
        <f t="array" ref="B44">IFERROR(INDEX('Work Items'!$B$6:$B$5000,SMALL(IF('Work Items'!$A$6:$A$5000="Risk",ROW('Work Items'!$A$6:$A$5000)-ROW('Work Items'!$A$6)+1),40)),"")</f>
        <v/>
      </c>
      <c r="C44">
        <f>IF(E44="","",IFERROR(INDEX('Projects Master'!$A:$A,MATCH(E44,'Projects Master'!$B:$B,0)),"OrgRisk"))</f>
        <v/>
      </c>
      <c r="D44">
        <f t="array" ref="D44">IFERROR(INDEX('Work Items'!$C$6:$C$5000,SMALL(IF('Work Items'!$A$6:$A$5000="Risk",ROW('Work Items'!$A$6:$A$5000)-ROW('Work Items'!$A$6)+1),40)),"")</f>
        <v/>
      </c>
      <c r="E44">
        <f t="array" ref="E44">IFERROR(INDEX('Work Items'!$D$6:$D$5000,SMALL(IF('Work Items'!$A$6:$A$5000="Risk",ROW('Work Items'!$A$6:$A$5000)-ROW('Work Items'!$A$6)+1),40)),"")</f>
        <v/>
      </c>
      <c r="F44">
        <f t="array" ref="F44">IFERROR(INDEX('Work Items'!$E$6:$E$5000,SMALL(IF('Work Items'!$A$6:$A$5000="Risk",ROW('Work Items'!$A$6:$A$5000)-ROW('Work Items'!$A$6)+1),40)),"")</f>
        <v/>
      </c>
      <c r="G44">
        <f t="array" ref="G44">IFERROR(INDEX('Work Items'!$F$6:$F$5000,SMALL(IF('Work Items'!$A$6:$A$5000="Risk",ROW('Work Items'!$A$6:$A$5000)-ROW('Work Items'!$A$6)+1),40)),"")</f>
        <v/>
      </c>
      <c r="H44">
        <f t="array" ref="H44">IFERROR(INDEX('Work Items'!$J$6:$J$5000,SMALL(IF('Work Items'!$A$6:$A$5000="Risk",ROW('Work Items'!$A$6:$A$5000)-ROW('Work Items'!$A$6)+1),40)),"")</f>
        <v/>
      </c>
      <c r="I44">
        <f t="array" ref="I44">IFERROR(INDEX('Work Items'!$K$6:$K$5000,SMALL(IF('Work Items'!$A$6:$A$5000="Risk",ROW('Work Items'!$A$6:$A$5000)-ROW('Work Items'!$A$6)+1),40)),"")</f>
        <v/>
      </c>
      <c r="J44">
        <f t="array" ref="J44">IFERROR(INDEX('Work Items'!$L$6:$L$5000,SMALL(IF('Work Items'!$A$6:$A$5000="Risk",ROW('Work Items'!$A$6:$A$5000)-ROW('Work Items'!$A$6)+1),40)),"")</f>
        <v/>
      </c>
      <c r="K44">
        <f t="array" ref="K44">IFERROR(IF(AND(INDEX('Work Items'!$R$6:$R$5000,SMALL(IF('Work Items'!$A$6:$A$5000="Risk",ROW('Work Items'!$A$6:$A$5000)-ROW('Work Items'!$A$6)+1),40))&lt;&gt;"",INDEX('Work Items'!$S$6:$S$5000,SMALL(IF('Work Items'!$A$6:$A$5000="Risk",ROW('Work Items'!$A$6:$A$5000)-ROW('Work Items'!$A$6)+1),40))&lt;&gt;""),INDEX('Work Items'!$R$6:$R$5000,SMALL(IF('Work Items'!$A$6:$A$5000="Risk",ROW('Work Items'!$A$6:$A$5000)-ROW('Work Items'!$A$6)+1),40))*INDEX('Work Items'!$S$6:$S$5000,SMALL(IF('Work Items'!$A$6:$A$5000="Risk",ROW('Work Items'!$A$6:$A$5000)-ROW('Work Items'!$A$6)+1),40)),INDEX('Work Items'!$U$6:$U$5000,SMALL(IF('Work Items'!$A$6:$A$5000="Risk",ROW('Work Items'!$A$6:$A$5000)-ROW('Work Items'!$A$6)+1),40))),"")</f>
        <v/>
      </c>
      <c r="L44" s="217">
        <f t="array" ref="L44">IFERROR(INDEX('Work Items'!$Q$6:$Q$5000,SMALL(IF('Work Items'!$A$6:$A$5000="Risk",ROW('Work Items'!$A$6:$A$5000)-ROW('Work Items'!$A$6)+1),40)),"")</f>
        <v/>
      </c>
      <c r="M44">
        <f t="array" ref="M44">IFERROR(INDEX('Work Items'!$T$6:$T$5000,SMALL(IF('Work Items'!$A$6:$A$5000="Risk",ROW('Work Items'!$A$6:$A$5000)-ROW('Work Items'!$A$6)+1),40)),"")</f>
        <v/>
      </c>
    </row>
    <row r="45">
      <c r="A45">
        <f t="array" ref="A45">IFERROR(INDEX('Work Items'!$A$6:$A$5000,SMALL(IF('Work Items'!$A$6:$A$5000="Risk",ROW('Work Items'!$A$6:$A$5000)-ROW('Work Items'!$A$6)+1),41)),"")</f>
        <v/>
      </c>
      <c r="B45">
        <f t="array" ref="B45">IFERROR(INDEX('Work Items'!$B$6:$B$5000,SMALL(IF('Work Items'!$A$6:$A$5000="Risk",ROW('Work Items'!$A$6:$A$5000)-ROW('Work Items'!$A$6)+1),41)),"")</f>
        <v/>
      </c>
      <c r="C45">
        <f>IF(E45="","",IFERROR(INDEX('Projects Master'!$A:$A,MATCH(E45,'Projects Master'!$B:$B,0)),"OrgRisk"))</f>
        <v/>
      </c>
      <c r="D45">
        <f t="array" ref="D45">IFERROR(INDEX('Work Items'!$C$6:$C$5000,SMALL(IF('Work Items'!$A$6:$A$5000="Risk",ROW('Work Items'!$A$6:$A$5000)-ROW('Work Items'!$A$6)+1),41)),"")</f>
        <v/>
      </c>
      <c r="E45">
        <f t="array" ref="E45">IFERROR(INDEX('Work Items'!$D$6:$D$5000,SMALL(IF('Work Items'!$A$6:$A$5000="Risk",ROW('Work Items'!$A$6:$A$5000)-ROW('Work Items'!$A$6)+1),41)),"")</f>
        <v/>
      </c>
      <c r="F45">
        <f t="array" ref="F45">IFERROR(INDEX('Work Items'!$E$6:$E$5000,SMALL(IF('Work Items'!$A$6:$A$5000="Risk",ROW('Work Items'!$A$6:$A$5000)-ROW('Work Items'!$A$6)+1),41)),"")</f>
        <v/>
      </c>
      <c r="G45">
        <f t="array" ref="G45">IFERROR(INDEX('Work Items'!$F$6:$F$5000,SMALL(IF('Work Items'!$A$6:$A$5000="Risk",ROW('Work Items'!$A$6:$A$5000)-ROW('Work Items'!$A$6)+1),41)),"")</f>
        <v/>
      </c>
      <c r="H45">
        <f t="array" ref="H45">IFERROR(INDEX('Work Items'!$J$6:$J$5000,SMALL(IF('Work Items'!$A$6:$A$5000="Risk",ROW('Work Items'!$A$6:$A$5000)-ROW('Work Items'!$A$6)+1),41)),"")</f>
        <v/>
      </c>
      <c r="I45">
        <f t="array" ref="I45">IFERROR(INDEX('Work Items'!$K$6:$K$5000,SMALL(IF('Work Items'!$A$6:$A$5000="Risk",ROW('Work Items'!$A$6:$A$5000)-ROW('Work Items'!$A$6)+1),41)),"")</f>
        <v/>
      </c>
      <c r="J45">
        <f t="array" ref="J45">IFERROR(INDEX('Work Items'!$L$6:$L$5000,SMALL(IF('Work Items'!$A$6:$A$5000="Risk",ROW('Work Items'!$A$6:$A$5000)-ROW('Work Items'!$A$6)+1),41)),"")</f>
        <v/>
      </c>
      <c r="K45">
        <f t="array" ref="K45">IFERROR(IF(AND(INDEX('Work Items'!$R$6:$R$5000,SMALL(IF('Work Items'!$A$6:$A$5000="Risk",ROW('Work Items'!$A$6:$A$5000)-ROW('Work Items'!$A$6)+1),41))&lt;&gt;"",INDEX('Work Items'!$S$6:$S$5000,SMALL(IF('Work Items'!$A$6:$A$5000="Risk",ROW('Work Items'!$A$6:$A$5000)-ROW('Work Items'!$A$6)+1),41))&lt;&gt;""),INDEX('Work Items'!$R$6:$R$5000,SMALL(IF('Work Items'!$A$6:$A$5000="Risk",ROW('Work Items'!$A$6:$A$5000)-ROW('Work Items'!$A$6)+1),41))*INDEX('Work Items'!$S$6:$S$5000,SMALL(IF('Work Items'!$A$6:$A$5000="Risk",ROW('Work Items'!$A$6:$A$5000)-ROW('Work Items'!$A$6)+1),41)),INDEX('Work Items'!$U$6:$U$5000,SMALL(IF('Work Items'!$A$6:$A$5000="Risk",ROW('Work Items'!$A$6:$A$5000)-ROW('Work Items'!$A$6)+1),41))),"")</f>
        <v/>
      </c>
      <c r="L45" s="217">
        <f t="array" ref="L45">IFERROR(INDEX('Work Items'!$Q$6:$Q$5000,SMALL(IF('Work Items'!$A$6:$A$5000="Risk",ROW('Work Items'!$A$6:$A$5000)-ROW('Work Items'!$A$6)+1),41)),"")</f>
        <v/>
      </c>
      <c r="M45">
        <f t="array" ref="M45">IFERROR(INDEX('Work Items'!$T$6:$T$5000,SMALL(IF('Work Items'!$A$6:$A$5000="Risk",ROW('Work Items'!$A$6:$A$5000)-ROW('Work Items'!$A$6)+1),41)),"")</f>
        <v/>
      </c>
    </row>
    <row r="46">
      <c r="A46">
        <f t="array" ref="A46">IFERROR(INDEX('Work Items'!$A$6:$A$5000,SMALL(IF('Work Items'!$A$6:$A$5000="Risk",ROW('Work Items'!$A$6:$A$5000)-ROW('Work Items'!$A$6)+1),42)),"")</f>
        <v/>
      </c>
      <c r="B46">
        <f t="array" ref="B46">IFERROR(INDEX('Work Items'!$B$6:$B$5000,SMALL(IF('Work Items'!$A$6:$A$5000="Risk",ROW('Work Items'!$A$6:$A$5000)-ROW('Work Items'!$A$6)+1),42)),"")</f>
        <v/>
      </c>
      <c r="C46">
        <f>IF(E46="","",IFERROR(INDEX('Projects Master'!$A:$A,MATCH(E46,'Projects Master'!$B:$B,0)),"OrgRisk"))</f>
        <v/>
      </c>
      <c r="D46">
        <f t="array" ref="D46">IFERROR(INDEX('Work Items'!$C$6:$C$5000,SMALL(IF('Work Items'!$A$6:$A$5000="Risk",ROW('Work Items'!$A$6:$A$5000)-ROW('Work Items'!$A$6)+1),42)),"")</f>
        <v/>
      </c>
      <c r="E46">
        <f t="array" ref="E46">IFERROR(INDEX('Work Items'!$D$6:$D$5000,SMALL(IF('Work Items'!$A$6:$A$5000="Risk",ROW('Work Items'!$A$6:$A$5000)-ROW('Work Items'!$A$6)+1),42)),"")</f>
        <v/>
      </c>
      <c r="F46">
        <f t="array" ref="F46">IFERROR(INDEX('Work Items'!$E$6:$E$5000,SMALL(IF('Work Items'!$A$6:$A$5000="Risk",ROW('Work Items'!$A$6:$A$5000)-ROW('Work Items'!$A$6)+1),42)),"")</f>
        <v/>
      </c>
      <c r="G46">
        <f t="array" ref="G46">IFERROR(INDEX('Work Items'!$F$6:$F$5000,SMALL(IF('Work Items'!$A$6:$A$5000="Risk",ROW('Work Items'!$A$6:$A$5000)-ROW('Work Items'!$A$6)+1),42)),"")</f>
        <v/>
      </c>
      <c r="H46">
        <f t="array" ref="H46">IFERROR(INDEX('Work Items'!$J$6:$J$5000,SMALL(IF('Work Items'!$A$6:$A$5000="Risk",ROW('Work Items'!$A$6:$A$5000)-ROW('Work Items'!$A$6)+1),42)),"")</f>
        <v/>
      </c>
      <c r="I46">
        <f t="array" ref="I46">IFERROR(INDEX('Work Items'!$K$6:$K$5000,SMALL(IF('Work Items'!$A$6:$A$5000="Risk",ROW('Work Items'!$A$6:$A$5000)-ROW('Work Items'!$A$6)+1),42)),"")</f>
        <v/>
      </c>
      <c r="J46">
        <f t="array" ref="J46">IFERROR(INDEX('Work Items'!$L$6:$L$5000,SMALL(IF('Work Items'!$A$6:$A$5000="Risk",ROW('Work Items'!$A$6:$A$5000)-ROW('Work Items'!$A$6)+1),42)),"")</f>
        <v/>
      </c>
      <c r="K46">
        <f t="array" ref="K46">IFERROR(IF(AND(INDEX('Work Items'!$R$6:$R$5000,SMALL(IF('Work Items'!$A$6:$A$5000="Risk",ROW('Work Items'!$A$6:$A$5000)-ROW('Work Items'!$A$6)+1),42))&lt;&gt;"",INDEX('Work Items'!$S$6:$S$5000,SMALL(IF('Work Items'!$A$6:$A$5000="Risk",ROW('Work Items'!$A$6:$A$5000)-ROW('Work Items'!$A$6)+1),42))&lt;&gt;""),INDEX('Work Items'!$R$6:$R$5000,SMALL(IF('Work Items'!$A$6:$A$5000="Risk",ROW('Work Items'!$A$6:$A$5000)-ROW('Work Items'!$A$6)+1),42))*INDEX('Work Items'!$S$6:$S$5000,SMALL(IF('Work Items'!$A$6:$A$5000="Risk",ROW('Work Items'!$A$6:$A$5000)-ROW('Work Items'!$A$6)+1),42)),INDEX('Work Items'!$U$6:$U$5000,SMALL(IF('Work Items'!$A$6:$A$5000="Risk",ROW('Work Items'!$A$6:$A$5000)-ROW('Work Items'!$A$6)+1),42))),"")</f>
        <v/>
      </c>
      <c r="L46" s="217">
        <f t="array" ref="L46">IFERROR(INDEX('Work Items'!$Q$6:$Q$5000,SMALL(IF('Work Items'!$A$6:$A$5000="Risk",ROW('Work Items'!$A$6:$A$5000)-ROW('Work Items'!$A$6)+1),42)),"")</f>
        <v/>
      </c>
      <c r="M46">
        <f t="array" ref="M46">IFERROR(INDEX('Work Items'!$T$6:$T$5000,SMALL(IF('Work Items'!$A$6:$A$5000="Risk",ROW('Work Items'!$A$6:$A$5000)-ROW('Work Items'!$A$6)+1),42)),"")</f>
        <v/>
      </c>
    </row>
    <row r="47">
      <c r="A47">
        <f t="array" ref="A47">IFERROR(INDEX('Work Items'!$A$6:$A$5000,SMALL(IF('Work Items'!$A$6:$A$5000="Risk",ROW('Work Items'!$A$6:$A$5000)-ROW('Work Items'!$A$6)+1),43)),"")</f>
        <v/>
      </c>
      <c r="B47">
        <f t="array" ref="B47">IFERROR(INDEX('Work Items'!$B$6:$B$5000,SMALL(IF('Work Items'!$A$6:$A$5000="Risk",ROW('Work Items'!$A$6:$A$5000)-ROW('Work Items'!$A$6)+1),43)),"")</f>
        <v/>
      </c>
      <c r="C47">
        <f>IF(E47="","",IFERROR(INDEX('Projects Master'!$A:$A,MATCH(E47,'Projects Master'!$B:$B,0)),"OrgRisk"))</f>
        <v/>
      </c>
      <c r="D47">
        <f t="array" ref="D47">IFERROR(INDEX('Work Items'!$C$6:$C$5000,SMALL(IF('Work Items'!$A$6:$A$5000="Risk",ROW('Work Items'!$A$6:$A$5000)-ROW('Work Items'!$A$6)+1),43)),"")</f>
        <v/>
      </c>
      <c r="E47">
        <f t="array" ref="E47">IFERROR(INDEX('Work Items'!$D$6:$D$5000,SMALL(IF('Work Items'!$A$6:$A$5000="Risk",ROW('Work Items'!$A$6:$A$5000)-ROW('Work Items'!$A$6)+1),43)),"")</f>
        <v/>
      </c>
      <c r="F47">
        <f t="array" ref="F47">IFERROR(INDEX('Work Items'!$E$6:$E$5000,SMALL(IF('Work Items'!$A$6:$A$5000="Risk",ROW('Work Items'!$A$6:$A$5000)-ROW('Work Items'!$A$6)+1),43)),"")</f>
        <v/>
      </c>
      <c r="G47">
        <f t="array" ref="G47">IFERROR(INDEX('Work Items'!$F$6:$F$5000,SMALL(IF('Work Items'!$A$6:$A$5000="Risk",ROW('Work Items'!$A$6:$A$5000)-ROW('Work Items'!$A$6)+1),43)),"")</f>
        <v/>
      </c>
      <c r="H47">
        <f t="array" ref="H47">IFERROR(INDEX('Work Items'!$J$6:$J$5000,SMALL(IF('Work Items'!$A$6:$A$5000="Risk",ROW('Work Items'!$A$6:$A$5000)-ROW('Work Items'!$A$6)+1),43)),"")</f>
        <v/>
      </c>
      <c r="I47">
        <f t="array" ref="I47">IFERROR(INDEX('Work Items'!$K$6:$K$5000,SMALL(IF('Work Items'!$A$6:$A$5000="Risk",ROW('Work Items'!$A$6:$A$5000)-ROW('Work Items'!$A$6)+1),43)),"")</f>
        <v/>
      </c>
      <c r="J47">
        <f t="array" ref="J47">IFERROR(INDEX('Work Items'!$L$6:$L$5000,SMALL(IF('Work Items'!$A$6:$A$5000="Risk",ROW('Work Items'!$A$6:$A$5000)-ROW('Work Items'!$A$6)+1),43)),"")</f>
        <v/>
      </c>
      <c r="K47">
        <f t="array" ref="K47">IFERROR(IF(AND(INDEX('Work Items'!$R$6:$R$5000,SMALL(IF('Work Items'!$A$6:$A$5000="Risk",ROW('Work Items'!$A$6:$A$5000)-ROW('Work Items'!$A$6)+1),43))&lt;&gt;"",INDEX('Work Items'!$S$6:$S$5000,SMALL(IF('Work Items'!$A$6:$A$5000="Risk",ROW('Work Items'!$A$6:$A$5000)-ROW('Work Items'!$A$6)+1),43))&lt;&gt;""),INDEX('Work Items'!$R$6:$R$5000,SMALL(IF('Work Items'!$A$6:$A$5000="Risk",ROW('Work Items'!$A$6:$A$5000)-ROW('Work Items'!$A$6)+1),43))*INDEX('Work Items'!$S$6:$S$5000,SMALL(IF('Work Items'!$A$6:$A$5000="Risk",ROW('Work Items'!$A$6:$A$5000)-ROW('Work Items'!$A$6)+1),43)),INDEX('Work Items'!$U$6:$U$5000,SMALL(IF('Work Items'!$A$6:$A$5000="Risk",ROW('Work Items'!$A$6:$A$5000)-ROW('Work Items'!$A$6)+1),43))),"")</f>
        <v/>
      </c>
      <c r="L47" s="217">
        <f t="array" ref="L47">IFERROR(INDEX('Work Items'!$Q$6:$Q$5000,SMALL(IF('Work Items'!$A$6:$A$5000="Risk",ROW('Work Items'!$A$6:$A$5000)-ROW('Work Items'!$A$6)+1),43)),"")</f>
        <v/>
      </c>
      <c r="M47">
        <f t="array" ref="M47">IFERROR(INDEX('Work Items'!$T$6:$T$5000,SMALL(IF('Work Items'!$A$6:$A$5000="Risk",ROW('Work Items'!$A$6:$A$5000)-ROW('Work Items'!$A$6)+1),43)),"")</f>
        <v/>
      </c>
    </row>
    <row r="48">
      <c r="A48">
        <f t="array" ref="A48">IFERROR(INDEX('Work Items'!$A$6:$A$5000,SMALL(IF('Work Items'!$A$6:$A$5000="Risk",ROW('Work Items'!$A$6:$A$5000)-ROW('Work Items'!$A$6)+1),44)),"")</f>
        <v/>
      </c>
      <c r="B48">
        <f t="array" ref="B48">IFERROR(INDEX('Work Items'!$B$6:$B$5000,SMALL(IF('Work Items'!$A$6:$A$5000="Risk",ROW('Work Items'!$A$6:$A$5000)-ROW('Work Items'!$A$6)+1),44)),"")</f>
        <v/>
      </c>
      <c r="C48">
        <f>IF(E48="","",IFERROR(INDEX('Projects Master'!$A:$A,MATCH(E48,'Projects Master'!$B:$B,0)),"OrgRisk"))</f>
        <v/>
      </c>
      <c r="D48">
        <f t="array" ref="D48">IFERROR(INDEX('Work Items'!$C$6:$C$5000,SMALL(IF('Work Items'!$A$6:$A$5000="Risk",ROW('Work Items'!$A$6:$A$5000)-ROW('Work Items'!$A$6)+1),44)),"")</f>
        <v/>
      </c>
      <c r="E48">
        <f t="array" ref="E48">IFERROR(INDEX('Work Items'!$D$6:$D$5000,SMALL(IF('Work Items'!$A$6:$A$5000="Risk",ROW('Work Items'!$A$6:$A$5000)-ROW('Work Items'!$A$6)+1),44)),"")</f>
        <v/>
      </c>
      <c r="F48">
        <f t="array" ref="F48">IFERROR(INDEX('Work Items'!$E$6:$E$5000,SMALL(IF('Work Items'!$A$6:$A$5000="Risk",ROW('Work Items'!$A$6:$A$5000)-ROW('Work Items'!$A$6)+1),44)),"")</f>
        <v/>
      </c>
      <c r="G48">
        <f t="array" ref="G48">IFERROR(INDEX('Work Items'!$F$6:$F$5000,SMALL(IF('Work Items'!$A$6:$A$5000="Risk",ROW('Work Items'!$A$6:$A$5000)-ROW('Work Items'!$A$6)+1),44)),"")</f>
        <v/>
      </c>
      <c r="H48">
        <f t="array" ref="H48">IFERROR(INDEX('Work Items'!$J$6:$J$5000,SMALL(IF('Work Items'!$A$6:$A$5000="Risk",ROW('Work Items'!$A$6:$A$5000)-ROW('Work Items'!$A$6)+1),44)),"")</f>
        <v/>
      </c>
      <c r="I48">
        <f t="array" ref="I48">IFERROR(INDEX('Work Items'!$K$6:$K$5000,SMALL(IF('Work Items'!$A$6:$A$5000="Risk",ROW('Work Items'!$A$6:$A$5000)-ROW('Work Items'!$A$6)+1),44)),"")</f>
        <v/>
      </c>
      <c r="J48">
        <f t="array" ref="J48">IFERROR(INDEX('Work Items'!$L$6:$L$5000,SMALL(IF('Work Items'!$A$6:$A$5000="Risk",ROW('Work Items'!$A$6:$A$5000)-ROW('Work Items'!$A$6)+1),44)),"")</f>
        <v/>
      </c>
      <c r="K48">
        <f t="array" ref="K48">IFERROR(IF(AND(INDEX('Work Items'!$R$6:$R$5000,SMALL(IF('Work Items'!$A$6:$A$5000="Risk",ROW('Work Items'!$A$6:$A$5000)-ROW('Work Items'!$A$6)+1),44))&lt;&gt;"",INDEX('Work Items'!$S$6:$S$5000,SMALL(IF('Work Items'!$A$6:$A$5000="Risk",ROW('Work Items'!$A$6:$A$5000)-ROW('Work Items'!$A$6)+1),44))&lt;&gt;""),INDEX('Work Items'!$R$6:$R$5000,SMALL(IF('Work Items'!$A$6:$A$5000="Risk",ROW('Work Items'!$A$6:$A$5000)-ROW('Work Items'!$A$6)+1),44))*INDEX('Work Items'!$S$6:$S$5000,SMALL(IF('Work Items'!$A$6:$A$5000="Risk",ROW('Work Items'!$A$6:$A$5000)-ROW('Work Items'!$A$6)+1),44)),INDEX('Work Items'!$U$6:$U$5000,SMALL(IF('Work Items'!$A$6:$A$5000="Risk",ROW('Work Items'!$A$6:$A$5000)-ROW('Work Items'!$A$6)+1),44))),"")</f>
        <v/>
      </c>
      <c r="L48" s="217">
        <f t="array" ref="L48">IFERROR(INDEX('Work Items'!$Q$6:$Q$5000,SMALL(IF('Work Items'!$A$6:$A$5000="Risk",ROW('Work Items'!$A$6:$A$5000)-ROW('Work Items'!$A$6)+1),44)),"")</f>
        <v/>
      </c>
      <c r="M48">
        <f t="array" ref="M48">IFERROR(INDEX('Work Items'!$T$6:$T$5000,SMALL(IF('Work Items'!$A$6:$A$5000="Risk",ROW('Work Items'!$A$6:$A$5000)-ROW('Work Items'!$A$6)+1),44)),"")</f>
        <v/>
      </c>
    </row>
    <row r="49">
      <c r="A49">
        <f t="array" ref="A49">IFERROR(INDEX('Work Items'!$A$6:$A$5000,SMALL(IF('Work Items'!$A$6:$A$5000="Risk",ROW('Work Items'!$A$6:$A$5000)-ROW('Work Items'!$A$6)+1),45)),"")</f>
        <v/>
      </c>
      <c r="B49">
        <f t="array" ref="B49">IFERROR(INDEX('Work Items'!$B$6:$B$5000,SMALL(IF('Work Items'!$A$6:$A$5000="Risk",ROW('Work Items'!$A$6:$A$5000)-ROW('Work Items'!$A$6)+1),45)),"")</f>
        <v/>
      </c>
      <c r="C49">
        <f>IF(E49="","",IFERROR(INDEX('Projects Master'!$A:$A,MATCH(E49,'Projects Master'!$B:$B,0)),"OrgRisk"))</f>
        <v/>
      </c>
      <c r="D49">
        <f t="array" ref="D49">IFERROR(INDEX('Work Items'!$C$6:$C$5000,SMALL(IF('Work Items'!$A$6:$A$5000="Risk",ROW('Work Items'!$A$6:$A$5000)-ROW('Work Items'!$A$6)+1),45)),"")</f>
        <v/>
      </c>
      <c r="E49">
        <f t="array" ref="E49">IFERROR(INDEX('Work Items'!$D$6:$D$5000,SMALL(IF('Work Items'!$A$6:$A$5000="Risk",ROW('Work Items'!$A$6:$A$5000)-ROW('Work Items'!$A$6)+1),45)),"")</f>
        <v/>
      </c>
      <c r="F49">
        <f t="array" ref="F49">IFERROR(INDEX('Work Items'!$E$6:$E$5000,SMALL(IF('Work Items'!$A$6:$A$5000="Risk",ROW('Work Items'!$A$6:$A$5000)-ROW('Work Items'!$A$6)+1),45)),"")</f>
        <v/>
      </c>
      <c r="G49">
        <f t="array" ref="G49">IFERROR(INDEX('Work Items'!$F$6:$F$5000,SMALL(IF('Work Items'!$A$6:$A$5000="Risk",ROW('Work Items'!$A$6:$A$5000)-ROW('Work Items'!$A$6)+1),45)),"")</f>
        <v/>
      </c>
      <c r="H49">
        <f t="array" ref="H49">IFERROR(INDEX('Work Items'!$J$6:$J$5000,SMALL(IF('Work Items'!$A$6:$A$5000="Risk",ROW('Work Items'!$A$6:$A$5000)-ROW('Work Items'!$A$6)+1),45)),"")</f>
        <v/>
      </c>
      <c r="I49">
        <f t="array" ref="I49">IFERROR(INDEX('Work Items'!$K$6:$K$5000,SMALL(IF('Work Items'!$A$6:$A$5000="Risk",ROW('Work Items'!$A$6:$A$5000)-ROW('Work Items'!$A$6)+1),45)),"")</f>
        <v/>
      </c>
      <c r="J49">
        <f t="array" ref="J49">IFERROR(INDEX('Work Items'!$L$6:$L$5000,SMALL(IF('Work Items'!$A$6:$A$5000="Risk",ROW('Work Items'!$A$6:$A$5000)-ROW('Work Items'!$A$6)+1),45)),"")</f>
        <v/>
      </c>
      <c r="K49">
        <f t="array" ref="K49">IFERROR(IF(AND(INDEX('Work Items'!$R$6:$R$5000,SMALL(IF('Work Items'!$A$6:$A$5000="Risk",ROW('Work Items'!$A$6:$A$5000)-ROW('Work Items'!$A$6)+1),45))&lt;&gt;"",INDEX('Work Items'!$S$6:$S$5000,SMALL(IF('Work Items'!$A$6:$A$5000="Risk",ROW('Work Items'!$A$6:$A$5000)-ROW('Work Items'!$A$6)+1),45))&lt;&gt;""),INDEX('Work Items'!$R$6:$R$5000,SMALL(IF('Work Items'!$A$6:$A$5000="Risk",ROW('Work Items'!$A$6:$A$5000)-ROW('Work Items'!$A$6)+1),45))*INDEX('Work Items'!$S$6:$S$5000,SMALL(IF('Work Items'!$A$6:$A$5000="Risk",ROW('Work Items'!$A$6:$A$5000)-ROW('Work Items'!$A$6)+1),45)),INDEX('Work Items'!$U$6:$U$5000,SMALL(IF('Work Items'!$A$6:$A$5000="Risk",ROW('Work Items'!$A$6:$A$5000)-ROW('Work Items'!$A$6)+1),45))),"")</f>
        <v/>
      </c>
      <c r="L49" s="217">
        <f t="array" ref="L49">IFERROR(INDEX('Work Items'!$Q$6:$Q$5000,SMALL(IF('Work Items'!$A$6:$A$5000="Risk",ROW('Work Items'!$A$6:$A$5000)-ROW('Work Items'!$A$6)+1),45)),"")</f>
        <v/>
      </c>
      <c r="M49">
        <f t="array" ref="M49">IFERROR(INDEX('Work Items'!$T$6:$T$5000,SMALL(IF('Work Items'!$A$6:$A$5000="Risk",ROW('Work Items'!$A$6:$A$5000)-ROW('Work Items'!$A$6)+1),45)),"")</f>
        <v/>
      </c>
    </row>
    <row r="50">
      <c r="A50">
        <f t="array" ref="A50">IFERROR(INDEX('Work Items'!$A$6:$A$5000,SMALL(IF('Work Items'!$A$6:$A$5000="Risk",ROW('Work Items'!$A$6:$A$5000)-ROW('Work Items'!$A$6)+1),46)),"")</f>
        <v/>
      </c>
      <c r="B50">
        <f t="array" ref="B50">IFERROR(INDEX('Work Items'!$B$6:$B$5000,SMALL(IF('Work Items'!$A$6:$A$5000="Risk",ROW('Work Items'!$A$6:$A$5000)-ROW('Work Items'!$A$6)+1),46)),"")</f>
        <v/>
      </c>
      <c r="C50">
        <f>IF(E50="","",IFERROR(INDEX('Projects Master'!$A:$A,MATCH(E50,'Projects Master'!$B:$B,0)),"OrgRisk"))</f>
        <v/>
      </c>
      <c r="D50">
        <f t="array" ref="D50">IFERROR(INDEX('Work Items'!$C$6:$C$5000,SMALL(IF('Work Items'!$A$6:$A$5000="Risk",ROW('Work Items'!$A$6:$A$5000)-ROW('Work Items'!$A$6)+1),46)),"")</f>
        <v/>
      </c>
      <c r="E50">
        <f t="array" ref="E50">IFERROR(INDEX('Work Items'!$D$6:$D$5000,SMALL(IF('Work Items'!$A$6:$A$5000="Risk",ROW('Work Items'!$A$6:$A$5000)-ROW('Work Items'!$A$6)+1),46)),"")</f>
        <v/>
      </c>
      <c r="F50">
        <f t="array" ref="F50">IFERROR(INDEX('Work Items'!$E$6:$E$5000,SMALL(IF('Work Items'!$A$6:$A$5000="Risk",ROW('Work Items'!$A$6:$A$5000)-ROW('Work Items'!$A$6)+1),46)),"")</f>
        <v/>
      </c>
      <c r="G50">
        <f t="array" ref="G50">IFERROR(INDEX('Work Items'!$F$6:$F$5000,SMALL(IF('Work Items'!$A$6:$A$5000="Risk",ROW('Work Items'!$A$6:$A$5000)-ROW('Work Items'!$A$6)+1),46)),"")</f>
        <v/>
      </c>
      <c r="H50">
        <f t="array" ref="H50">IFERROR(INDEX('Work Items'!$J$6:$J$5000,SMALL(IF('Work Items'!$A$6:$A$5000="Risk",ROW('Work Items'!$A$6:$A$5000)-ROW('Work Items'!$A$6)+1),46)),"")</f>
        <v/>
      </c>
      <c r="I50">
        <f t="array" ref="I50">IFERROR(INDEX('Work Items'!$K$6:$K$5000,SMALL(IF('Work Items'!$A$6:$A$5000="Risk",ROW('Work Items'!$A$6:$A$5000)-ROW('Work Items'!$A$6)+1),46)),"")</f>
        <v/>
      </c>
      <c r="J50">
        <f t="array" ref="J50">IFERROR(INDEX('Work Items'!$L$6:$L$5000,SMALL(IF('Work Items'!$A$6:$A$5000="Risk",ROW('Work Items'!$A$6:$A$5000)-ROW('Work Items'!$A$6)+1),46)),"")</f>
        <v/>
      </c>
      <c r="K50">
        <f t="array" ref="K50">IFERROR(IF(AND(INDEX('Work Items'!$R$6:$R$5000,SMALL(IF('Work Items'!$A$6:$A$5000="Risk",ROW('Work Items'!$A$6:$A$5000)-ROW('Work Items'!$A$6)+1),46))&lt;&gt;"",INDEX('Work Items'!$S$6:$S$5000,SMALL(IF('Work Items'!$A$6:$A$5000="Risk",ROW('Work Items'!$A$6:$A$5000)-ROW('Work Items'!$A$6)+1),46))&lt;&gt;""),INDEX('Work Items'!$R$6:$R$5000,SMALL(IF('Work Items'!$A$6:$A$5000="Risk",ROW('Work Items'!$A$6:$A$5000)-ROW('Work Items'!$A$6)+1),46))*INDEX('Work Items'!$S$6:$S$5000,SMALL(IF('Work Items'!$A$6:$A$5000="Risk",ROW('Work Items'!$A$6:$A$5000)-ROW('Work Items'!$A$6)+1),46)),INDEX('Work Items'!$U$6:$U$5000,SMALL(IF('Work Items'!$A$6:$A$5000="Risk",ROW('Work Items'!$A$6:$A$5000)-ROW('Work Items'!$A$6)+1),46))),"")</f>
        <v/>
      </c>
      <c r="L50" s="217">
        <f t="array" ref="L50">IFERROR(INDEX('Work Items'!$Q$6:$Q$5000,SMALL(IF('Work Items'!$A$6:$A$5000="Risk",ROW('Work Items'!$A$6:$A$5000)-ROW('Work Items'!$A$6)+1),46)),"")</f>
        <v/>
      </c>
      <c r="M50">
        <f t="array" ref="M50">IFERROR(INDEX('Work Items'!$T$6:$T$5000,SMALL(IF('Work Items'!$A$6:$A$5000="Risk",ROW('Work Items'!$A$6:$A$5000)-ROW('Work Items'!$A$6)+1),46)),"")</f>
        <v/>
      </c>
    </row>
    <row r="51">
      <c r="A51">
        <f t="array" ref="A51">IFERROR(INDEX('Work Items'!$A$6:$A$5000,SMALL(IF('Work Items'!$A$6:$A$5000="Risk",ROW('Work Items'!$A$6:$A$5000)-ROW('Work Items'!$A$6)+1),47)),"")</f>
        <v/>
      </c>
      <c r="B51">
        <f t="array" ref="B51">IFERROR(INDEX('Work Items'!$B$6:$B$5000,SMALL(IF('Work Items'!$A$6:$A$5000="Risk",ROW('Work Items'!$A$6:$A$5000)-ROW('Work Items'!$A$6)+1),47)),"")</f>
        <v/>
      </c>
      <c r="C51">
        <f>IF(E51="","",IFERROR(INDEX('Projects Master'!$A:$A,MATCH(E51,'Projects Master'!$B:$B,0)),"OrgRisk"))</f>
        <v/>
      </c>
      <c r="D51">
        <f t="array" ref="D51">IFERROR(INDEX('Work Items'!$C$6:$C$5000,SMALL(IF('Work Items'!$A$6:$A$5000="Risk",ROW('Work Items'!$A$6:$A$5000)-ROW('Work Items'!$A$6)+1),47)),"")</f>
        <v/>
      </c>
      <c r="E51">
        <f t="array" ref="E51">IFERROR(INDEX('Work Items'!$D$6:$D$5000,SMALL(IF('Work Items'!$A$6:$A$5000="Risk",ROW('Work Items'!$A$6:$A$5000)-ROW('Work Items'!$A$6)+1),47)),"")</f>
        <v/>
      </c>
      <c r="F51">
        <f t="array" ref="F51">IFERROR(INDEX('Work Items'!$E$6:$E$5000,SMALL(IF('Work Items'!$A$6:$A$5000="Risk",ROW('Work Items'!$A$6:$A$5000)-ROW('Work Items'!$A$6)+1),47)),"")</f>
        <v/>
      </c>
      <c r="G51">
        <f t="array" ref="G51">IFERROR(INDEX('Work Items'!$F$6:$F$5000,SMALL(IF('Work Items'!$A$6:$A$5000="Risk",ROW('Work Items'!$A$6:$A$5000)-ROW('Work Items'!$A$6)+1),47)),"")</f>
        <v/>
      </c>
      <c r="H51">
        <f t="array" ref="H51">IFERROR(INDEX('Work Items'!$J$6:$J$5000,SMALL(IF('Work Items'!$A$6:$A$5000="Risk",ROW('Work Items'!$A$6:$A$5000)-ROW('Work Items'!$A$6)+1),47)),"")</f>
        <v/>
      </c>
      <c r="I51">
        <f t="array" ref="I51">IFERROR(INDEX('Work Items'!$K$6:$K$5000,SMALL(IF('Work Items'!$A$6:$A$5000="Risk",ROW('Work Items'!$A$6:$A$5000)-ROW('Work Items'!$A$6)+1),47)),"")</f>
        <v/>
      </c>
      <c r="J51">
        <f t="array" ref="J51">IFERROR(INDEX('Work Items'!$L$6:$L$5000,SMALL(IF('Work Items'!$A$6:$A$5000="Risk",ROW('Work Items'!$A$6:$A$5000)-ROW('Work Items'!$A$6)+1),47)),"")</f>
        <v/>
      </c>
      <c r="K51">
        <f t="array" ref="K51">IFERROR(IF(AND(INDEX('Work Items'!$R$6:$R$5000,SMALL(IF('Work Items'!$A$6:$A$5000="Risk",ROW('Work Items'!$A$6:$A$5000)-ROW('Work Items'!$A$6)+1),47))&lt;&gt;"",INDEX('Work Items'!$S$6:$S$5000,SMALL(IF('Work Items'!$A$6:$A$5000="Risk",ROW('Work Items'!$A$6:$A$5000)-ROW('Work Items'!$A$6)+1),47))&lt;&gt;""),INDEX('Work Items'!$R$6:$R$5000,SMALL(IF('Work Items'!$A$6:$A$5000="Risk",ROW('Work Items'!$A$6:$A$5000)-ROW('Work Items'!$A$6)+1),47))*INDEX('Work Items'!$S$6:$S$5000,SMALL(IF('Work Items'!$A$6:$A$5000="Risk",ROW('Work Items'!$A$6:$A$5000)-ROW('Work Items'!$A$6)+1),47)),INDEX('Work Items'!$U$6:$U$5000,SMALL(IF('Work Items'!$A$6:$A$5000="Risk",ROW('Work Items'!$A$6:$A$5000)-ROW('Work Items'!$A$6)+1),47))),"")</f>
        <v/>
      </c>
      <c r="L51" s="217">
        <f t="array" ref="L51">IFERROR(INDEX('Work Items'!$Q$6:$Q$5000,SMALL(IF('Work Items'!$A$6:$A$5000="Risk",ROW('Work Items'!$A$6:$A$5000)-ROW('Work Items'!$A$6)+1),47)),"")</f>
        <v/>
      </c>
      <c r="M51">
        <f t="array" ref="M51">IFERROR(INDEX('Work Items'!$T$6:$T$5000,SMALL(IF('Work Items'!$A$6:$A$5000="Risk",ROW('Work Items'!$A$6:$A$5000)-ROW('Work Items'!$A$6)+1),47)),"")</f>
        <v/>
      </c>
    </row>
    <row r="52">
      <c r="A52">
        <f t="array" ref="A52">IFERROR(INDEX('Work Items'!$A$6:$A$5000,SMALL(IF('Work Items'!$A$6:$A$5000="Risk",ROW('Work Items'!$A$6:$A$5000)-ROW('Work Items'!$A$6)+1),48)),"")</f>
        <v/>
      </c>
      <c r="B52">
        <f t="array" ref="B52">IFERROR(INDEX('Work Items'!$B$6:$B$5000,SMALL(IF('Work Items'!$A$6:$A$5000="Risk",ROW('Work Items'!$A$6:$A$5000)-ROW('Work Items'!$A$6)+1),48)),"")</f>
        <v/>
      </c>
      <c r="C52">
        <f>IF(E52="","",IFERROR(INDEX('Projects Master'!$A:$A,MATCH(E52,'Projects Master'!$B:$B,0)),"OrgRisk"))</f>
        <v/>
      </c>
      <c r="D52">
        <f t="array" ref="D52">IFERROR(INDEX('Work Items'!$C$6:$C$5000,SMALL(IF('Work Items'!$A$6:$A$5000="Risk",ROW('Work Items'!$A$6:$A$5000)-ROW('Work Items'!$A$6)+1),48)),"")</f>
        <v/>
      </c>
      <c r="E52">
        <f t="array" ref="E52">IFERROR(INDEX('Work Items'!$D$6:$D$5000,SMALL(IF('Work Items'!$A$6:$A$5000="Risk",ROW('Work Items'!$A$6:$A$5000)-ROW('Work Items'!$A$6)+1),48)),"")</f>
        <v/>
      </c>
      <c r="F52">
        <f t="array" ref="F52">IFERROR(INDEX('Work Items'!$E$6:$E$5000,SMALL(IF('Work Items'!$A$6:$A$5000="Risk",ROW('Work Items'!$A$6:$A$5000)-ROW('Work Items'!$A$6)+1),48)),"")</f>
        <v/>
      </c>
      <c r="G52">
        <f t="array" ref="G52">IFERROR(INDEX('Work Items'!$F$6:$F$5000,SMALL(IF('Work Items'!$A$6:$A$5000="Risk",ROW('Work Items'!$A$6:$A$5000)-ROW('Work Items'!$A$6)+1),48)),"")</f>
        <v/>
      </c>
      <c r="H52">
        <f t="array" ref="H52">IFERROR(INDEX('Work Items'!$J$6:$J$5000,SMALL(IF('Work Items'!$A$6:$A$5000="Risk",ROW('Work Items'!$A$6:$A$5000)-ROW('Work Items'!$A$6)+1),48)),"")</f>
        <v/>
      </c>
      <c r="I52">
        <f t="array" ref="I52">IFERROR(INDEX('Work Items'!$K$6:$K$5000,SMALL(IF('Work Items'!$A$6:$A$5000="Risk",ROW('Work Items'!$A$6:$A$5000)-ROW('Work Items'!$A$6)+1),48)),"")</f>
        <v/>
      </c>
      <c r="J52">
        <f t="array" ref="J52">IFERROR(INDEX('Work Items'!$L$6:$L$5000,SMALL(IF('Work Items'!$A$6:$A$5000="Risk",ROW('Work Items'!$A$6:$A$5000)-ROW('Work Items'!$A$6)+1),48)),"")</f>
        <v/>
      </c>
      <c r="K52">
        <f t="array" ref="K52">IFERROR(IF(AND(INDEX('Work Items'!$R$6:$R$5000,SMALL(IF('Work Items'!$A$6:$A$5000="Risk",ROW('Work Items'!$A$6:$A$5000)-ROW('Work Items'!$A$6)+1),48))&lt;&gt;"",INDEX('Work Items'!$S$6:$S$5000,SMALL(IF('Work Items'!$A$6:$A$5000="Risk",ROW('Work Items'!$A$6:$A$5000)-ROW('Work Items'!$A$6)+1),48))&lt;&gt;""),INDEX('Work Items'!$R$6:$R$5000,SMALL(IF('Work Items'!$A$6:$A$5000="Risk",ROW('Work Items'!$A$6:$A$5000)-ROW('Work Items'!$A$6)+1),48))*INDEX('Work Items'!$S$6:$S$5000,SMALL(IF('Work Items'!$A$6:$A$5000="Risk",ROW('Work Items'!$A$6:$A$5000)-ROW('Work Items'!$A$6)+1),48)),INDEX('Work Items'!$U$6:$U$5000,SMALL(IF('Work Items'!$A$6:$A$5000="Risk",ROW('Work Items'!$A$6:$A$5000)-ROW('Work Items'!$A$6)+1),48))),"")</f>
        <v/>
      </c>
      <c r="L52" s="217">
        <f t="array" ref="L52">IFERROR(INDEX('Work Items'!$Q$6:$Q$5000,SMALL(IF('Work Items'!$A$6:$A$5000="Risk",ROW('Work Items'!$A$6:$A$5000)-ROW('Work Items'!$A$6)+1),48)),"")</f>
        <v/>
      </c>
      <c r="M52">
        <f t="array" ref="M52">IFERROR(INDEX('Work Items'!$T$6:$T$5000,SMALL(IF('Work Items'!$A$6:$A$5000="Risk",ROW('Work Items'!$A$6:$A$5000)-ROW('Work Items'!$A$6)+1),48)),"")</f>
        <v/>
      </c>
    </row>
    <row r="53">
      <c r="A53">
        <f t="array" ref="A53">IFERROR(INDEX('Work Items'!$A$6:$A$5000,SMALL(IF('Work Items'!$A$6:$A$5000="Risk",ROW('Work Items'!$A$6:$A$5000)-ROW('Work Items'!$A$6)+1),49)),"")</f>
        <v/>
      </c>
      <c r="B53">
        <f t="array" ref="B53">IFERROR(INDEX('Work Items'!$B$6:$B$5000,SMALL(IF('Work Items'!$A$6:$A$5000="Risk",ROW('Work Items'!$A$6:$A$5000)-ROW('Work Items'!$A$6)+1),49)),"")</f>
        <v/>
      </c>
      <c r="C53">
        <f>IF(E53="","",IFERROR(INDEX('Projects Master'!$A:$A,MATCH(E53,'Projects Master'!$B:$B,0)),"OrgRisk"))</f>
        <v/>
      </c>
      <c r="D53">
        <f t="array" ref="D53">IFERROR(INDEX('Work Items'!$C$6:$C$5000,SMALL(IF('Work Items'!$A$6:$A$5000="Risk",ROW('Work Items'!$A$6:$A$5000)-ROW('Work Items'!$A$6)+1),49)),"")</f>
        <v/>
      </c>
      <c r="E53">
        <f t="array" ref="E53">IFERROR(INDEX('Work Items'!$D$6:$D$5000,SMALL(IF('Work Items'!$A$6:$A$5000="Risk",ROW('Work Items'!$A$6:$A$5000)-ROW('Work Items'!$A$6)+1),49)),"")</f>
        <v/>
      </c>
      <c r="F53">
        <f t="array" ref="F53">IFERROR(INDEX('Work Items'!$E$6:$E$5000,SMALL(IF('Work Items'!$A$6:$A$5000="Risk",ROW('Work Items'!$A$6:$A$5000)-ROW('Work Items'!$A$6)+1),49)),"")</f>
        <v/>
      </c>
      <c r="G53">
        <f t="array" ref="G53">IFERROR(INDEX('Work Items'!$F$6:$F$5000,SMALL(IF('Work Items'!$A$6:$A$5000="Risk",ROW('Work Items'!$A$6:$A$5000)-ROW('Work Items'!$A$6)+1),49)),"")</f>
        <v/>
      </c>
      <c r="H53">
        <f t="array" ref="H53">IFERROR(INDEX('Work Items'!$J$6:$J$5000,SMALL(IF('Work Items'!$A$6:$A$5000="Risk",ROW('Work Items'!$A$6:$A$5000)-ROW('Work Items'!$A$6)+1),49)),"")</f>
        <v/>
      </c>
      <c r="I53">
        <f t="array" ref="I53">IFERROR(INDEX('Work Items'!$K$6:$K$5000,SMALL(IF('Work Items'!$A$6:$A$5000="Risk",ROW('Work Items'!$A$6:$A$5000)-ROW('Work Items'!$A$6)+1),49)),"")</f>
        <v/>
      </c>
      <c r="J53">
        <f t="array" ref="J53">IFERROR(INDEX('Work Items'!$L$6:$L$5000,SMALL(IF('Work Items'!$A$6:$A$5000="Risk",ROW('Work Items'!$A$6:$A$5000)-ROW('Work Items'!$A$6)+1),49)),"")</f>
        <v/>
      </c>
      <c r="K53">
        <f t="array" ref="K53">IFERROR(IF(AND(INDEX('Work Items'!$R$6:$R$5000,SMALL(IF('Work Items'!$A$6:$A$5000="Risk",ROW('Work Items'!$A$6:$A$5000)-ROW('Work Items'!$A$6)+1),49))&lt;&gt;"",INDEX('Work Items'!$S$6:$S$5000,SMALL(IF('Work Items'!$A$6:$A$5000="Risk",ROW('Work Items'!$A$6:$A$5000)-ROW('Work Items'!$A$6)+1),49))&lt;&gt;""),INDEX('Work Items'!$R$6:$R$5000,SMALL(IF('Work Items'!$A$6:$A$5000="Risk",ROW('Work Items'!$A$6:$A$5000)-ROW('Work Items'!$A$6)+1),49))*INDEX('Work Items'!$S$6:$S$5000,SMALL(IF('Work Items'!$A$6:$A$5000="Risk",ROW('Work Items'!$A$6:$A$5000)-ROW('Work Items'!$A$6)+1),49)),INDEX('Work Items'!$U$6:$U$5000,SMALL(IF('Work Items'!$A$6:$A$5000="Risk",ROW('Work Items'!$A$6:$A$5000)-ROW('Work Items'!$A$6)+1),49))),"")</f>
        <v/>
      </c>
      <c r="L53" s="217">
        <f t="array" ref="L53">IFERROR(INDEX('Work Items'!$Q$6:$Q$5000,SMALL(IF('Work Items'!$A$6:$A$5000="Risk",ROW('Work Items'!$A$6:$A$5000)-ROW('Work Items'!$A$6)+1),49)),"")</f>
        <v/>
      </c>
      <c r="M53">
        <f t="array" ref="M53">IFERROR(INDEX('Work Items'!$T$6:$T$5000,SMALL(IF('Work Items'!$A$6:$A$5000="Risk",ROW('Work Items'!$A$6:$A$5000)-ROW('Work Items'!$A$6)+1),49)),"")</f>
        <v/>
      </c>
    </row>
    <row r="54">
      <c r="A54">
        <f t="array" ref="A54">IFERROR(INDEX('Work Items'!$A$6:$A$5000,SMALL(IF('Work Items'!$A$6:$A$5000="Risk",ROW('Work Items'!$A$6:$A$5000)-ROW('Work Items'!$A$6)+1),50)),"")</f>
        <v/>
      </c>
      <c r="B54">
        <f t="array" ref="B54">IFERROR(INDEX('Work Items'!$B$6:$B$5000,SMALL(IF('Work Items'!$A$6:$A$5000="Risk",ROW('Work Items'!$A$6:$A$5000)-ROW('Work Items'!$A$6)+1),50)),"")</f>
        <v/>
      </c>
      <c r="C54">
        <f>IF(E54="","",IFERROR(INDEX('Projects Master'!$A:$A,MATCH(E54,'Projects Master'!$B:$B,0)),"OrgRisk"))</f>
        <v/>
      </c>
      <c r="D54">
        <f t="array" ref="D54">IFERROR(INDEX('Work Items'!$C$6:$C$5000,SMALL(IF('Work Items'!$A$6:$A$5000="Risk",ROW('Work Items'!$A$6:$A$5000)-ROW('Work Items'!$A$6)+1),50)),"")</f>
        <v/>
      </c>
      <c r="E54">
        <f t="array" ref="E54">IFERROR(INDEX('Work Items'!$D$6:$D$5000,SMALL(IF('Work Items'!$A$6:$A$5000="Risk",ROW('Work Items'!$A$6:$A$5000)-ROW('Work Items'!$A$6)+1),50)),"")</f>
        <v/>
      </c>
      <c r="F54">
        <f t="array" ref="F54">IFERROR(INDEX('Work Items'!$E$6:$E$5000,SMALL(IF('Work Items'!$A$6:$A$5000="Risk",ROW('Work Items'!$A$6:$A$5000)-ROW('Work Items'!$A$6)+1),50)),"")</f>
        <v/>
      </c>
      <c r="G54">
        <f t="array" ref="G54">IFERROR(INDEX('Work Items'!$F$6:$F$5000,SMALL(IF('Work Items'!$A$6:$A$5000="Risk",ROW('Work Items'!$A$6:$A$5000)-ROW('Work Items'!$A$6)+1),50)),"")</f>
        <v/>
      </c>
      <c r="H54">
        <f t="array" ref="H54">IFERROR(INDEX('Work Items'!$J$6:$J$5000,SMALL(IF('Work Items'!$A$6:$A$5000="Risk",ROW('Work Items'!$A$6:$A$5000)-ROW('Work Items'!$A$6)+1),50)),"")</f>
        <v/>
      </c>
      <c r="I54">
        <f t="array" ref="I54">IFERROR(INDEX('Work Items'!$K$6:$K$5000,SMALL(IF('Work Items'!$A$6:$A$5000="Risk",ROW('Work Items'!$A$6:$A$5000)-ROW('Work Items'!$A$6)+1),50)),"")</f>
        <v/>
      </c>
      <c r="J54">
        <f t="array" ref="J54">IFERROR(INDEX('Work Items'!$L$6:$L$5000,SMALL(IF('Work Items'!$A$6:$A$5000="Risk",ROW('Work Items'!$A$6:$A$5000)-ROW('Work Items'!$A$6)+1),50)),"")</f>
        <v/>
      </c>
      <c r="K54">
        <f t="array" ref="K54">IFERROR(IF(AND(INDEX('Work Items'!$R$6:$R$5000,SMALL(IF('Work Items'!$A$6:$A$5000="Risk",ROW('Work Items'!$A$6:$A$5000)-ROW('Work Items'!$A$6)+1),50))&lt;&gt;"",INDEX('Work Items'!$S$6:$S$5000,SMALL(IF('Work Items'!$A$6:$A$5000="Risk",ROW('Work Items'!$A$6:$A$5000)-ROW('Work Items'!$A$6)+1),50))&lt;&gt;""),INDEX('Work Items'!$R$6:$R$5000,SMALL(IF('Work Items'!$A$6:$A$5000="Risk",ROW('Work Items'!$A$6:$A$5000)-ROW('Work Items'!$A$6)+1),50))*INDEX('Work Items'!$S$6:$S$5000,SMALL(IF('Work Items'!$A$6:$A$5000="Risk",ROW('Work Items'!$A$6:$A$5000)-ROW('Work Items'!$A$6)+1),50)),INDEX('Work Items'!$U$6:$U$5000,SMALL(IF('Work Items'!$A$6:$A$5000="Risk",ROW('Work Items'!$A$6:$A$5000)-ROW('Work Items'!$A$6)+1),50))),"")</f>
        <v/>
      </c>
      <c r="L54" s="217">
        <f t="array" ref="L54">IFERROR(INDEX('Work Items'!$Q$6:$Q$5000,SMALL(IF('Work Items'!$A$6:$A$5000="Risk",ROW('Work Items'!$A$6:$A$5000)-ROW('Work Items'!$A$6)+1),50)),"")</f>
        <v/>
      </c>
      <c r="M54">
        <f t="array" ref="M54">IFERROR(INDEX('Work Items'!$T$6:$T$5000,SMALL(IF('Work Items'!$A$6:$A$5000="Risk",ROW('Work Items'!$A$6:$A$5000)-ROW('Work Items'!$A$6)+1),50)),"")</f>
        <v/>
      </c>
    </row>
    <row r="55">
      <c r="A55">
        <f t="array" ref="A55">IFERROR(INDEX('Work Items'!$A$6:$A$5000,SMALL(IF('Work Items'!$A$6:$A$5000="Risk",ROW('Work Items'!$A$6:$A$5000)-ROW('Work Items'!$A$6)+1),51)),"")</f>
        <v/>
      </c>
      <c r="B55">
        <f t="array" ref="B55">IFERROR(INDEX('Work Items'!$B$6:$B$5000,SMALL(IF('Work Items'!$A$6:$A$5000="Risk",ROW('Work Items'!$A$6:$A$5000)-ROW('Work Items'!$A$6)+1),51)),"")</f>
        <v/>
      </c>
      <c r="C55">
        <f>IF(E55="","",IFERROR(INDEX('Projects Master'!$A:$A,MATCH(E55,'Projects Master'!$B:$B,0)),"OrgRisk"))</f>
        <v/>
      </c>
      <c r="D55">
        <f t="array" ref="D55">IFERROR(INDEX('Work Items'!$C$6:$C$5000,SMALL(IF('Work Items'!$A$6:$A$5000="Risk",ROW('Work Items'!$A$6:$A$5000)-ROW('Work Items'!$A$6)+1),51)),"")</f>
        <v/>
      </c>
      <c r="E55">
        <f t="array" ref="E55">IFERROR(INDEX('Work Items'!$D$6:$D$5000,SMALL(IF('Work Items'!$A$6:$A$5000="Risk",ROW('Work Items'!$A$6:$A$5000)-ROW('Work Items'!$A$6)+1),51)),"")</f>
        <v/>
      </c>
      <c r="F55">
        <f t="array" ref="F55">IFERROR(INDEX('Work Items'!$E$6:$E$5000,SMALL(IF('Work Items'!$A$6:$A$5000="Risk",ROW('Work Items'!$A$6:$A$5000)-ROW('Work Items'!$A$6)+1),51)),"")</f>
        <v/>
      </c>
      <c r="G55">
        <f t="array" ref="G55">IFERROR(INDEX('Work Items'!$F$6:$F$5000,SMALL(IF('Work Items'!$A$6:$A$5000="Risk",ROW('Work Items'!$A$6:$A$5000)-ROW('Work Items'!$A$6)+1),51)),"")</f>
        <v/>
      </c>
      <c r="H55">
        <f t="array" ref="H55">IFERROR(INDEX('Work Items'!$J$6:$J$5000,SMALL(IF('Work Items'!$A$6:$A$5000="Risk",ROW('Work Items'!$A$6:$A$5000)-ROW('Work Items'!$A$6)+1),51)),"")</f>
        <v/>
      </c>
      <c r="I55">
        <f t="array" ref="I55">IFERROR(INDEX('Work Items'!$K$6:$K$5000,SMALL(IF('Work Items'!$A$6:$A$5000="Risk",ROW('Work Items'!$A$6:$A$5000)-ROW('Work Items'!$A$6)+1),51)),"")</f>
        <v/>
      </c>
      <c r="J55">
        <f t="array" ref="J55">IFERROR(INDEX('Work Items'!$L$6:$L$5000,SMALL(IF('Work Items'!$A$6:$A$5000="Risk",ROW('Work Items'!$A$6:$A$5000)-ROW('Work Items'!$A$6)+1),51)),"")</f>
        <v/>
      </c>
      <c r="K55">
        <f t="array" ref="K55">IFERROR(IF(AND(INDEX('Work Items'!$R$6:$R$5000,SMALL(IF('Work Items'!$A$6:$A$5000="Risk",ROW('Work Items'!$A$6:$A$5000)-ROW('Work Items'!$A$6)+1),51))&lt;&gt;"",INDEX('Work Items'!$S$6:$S$5000,SMALL(IF('Work Items'!$A$6:$A$5000="Risk",ROW('Work Items'!$A$6:$A$5000)-ROW('Work Items'!$A$6)+1),51))&lt;&gt;""),INDEX('Work Items'!$R$6:$R$5000,SMALL(IF('Work Items'!$A$6:$A$5000="Risk",ROW('Work Items'!$A$6:$A$5000)-ROW('Work Items'!$A$6)+1),51))*INDEX('Work Items'!$S$6:$S$5000,SMALL(IF('Work Items'!$A$6:$A$5000="Risk",ROW('Work Items'!$A$6:$A$5000)-ROW('Work Items'!$A$6)+1),51)),INDEX('Work Items'!$U$6:$U$5000,SMALL(IF('Work Items'!$A$6:$A$5000="Risk",ROW('Work Items'!$A$6:$A$5000)-ROW('Work Items'!$A$6)+1),51))),"")</f>
        <v/>
      </c>
      <c r="L55" s="217">
        <f t="array" ref="L55">IFERROR(INDEX('Work Items'!$Q$6:$Q$5000,SMALL(IF('Work Items'!$A$6:$A$5000="Risk",ROW('Work Items'!$A$6:$A$5000)-ROW('Work Items'!$A$6)+1),51)),"")</f>
        <v/>
      </c>
      <c r="M55">
        <f t="array" ref="M55">IFERROR(INDEX('Work Items'!$T$6:$T$5000,SMALL(IF('Work Items'!$A$6:$A$5000="Risk",ROW('Work Items'!$A$6:$A$5000)-ROW('Work Items'!$A$6)+1),51)),"")</f>
        <v/>
      </c>
    </row>
    <row r="56">
      <c r="A56">
        <f t="array" ref="A56">IFERROR(INDEX('Work Items'!$A$6:$A$5000,SMALL(IF('Work Items'!$A$6:$A$5000="Risk",ROW('Work Items'!$A$6:$A$5000)-ROW('Work Items'!$A$6)+1),52)),"")</f>
        <v/>
      </c>
      <c r="B56">
        <f t="array" ref="B56">IFERROR(INDEX('Work Items'!$B$6:$B$5000,SMALL(IF('Work Items'!$A$6:$A$5000="Risk",ROW('Work Items'!$A$6:$A$5000)-ROW('Work Items'!$A$6)+1),52)),"")</f>
        <v/>
      </c>
      <c r="C56">
        <f>IF(E56="","",IFERROR(INDEX('Projects Master'!$A:$A,MATCH(E56,'Projects Master'!$B:$B,0)),"OrgRisk"))</f>
        <v/>
      </c>
      <c r="D56">
        <f t="array" ref="D56">IFERROR(INDEX('Work Items'!$C$6:$C$5000,SMALL(IF('Work Items'!$A$6:$A$5000="Risk",ROW('Work Items'!$A$6:$A$5000)-ROW('Work Items'!$A$6)+1),52)),"")</f>
        <v/>
      </c>
      <c r="E56">
        <f t="array" ref="E56">IFERROR(INDEX('Work Items'!$D$6:$D$5000,SMALL(IF('Work Items'!$A$6:$A$5000="Risk",ROW('Work Items'!$A$6:$A$5000)-ROW('Work Items'!$A$6)+1),52)),"")</f>
        <v/>
      </c>
      <c r="F56">
        <f t="array" ref="F56">IFERROR(INDEX('Work Items'!$E$6:$E$5000,SMALL(IF('Work Items'!$A$6:$A$5000="Risk",ROW('Work Items'!$A$6:$A$5000)-ROW('Work Items'!$A$6)+1),52)),"")</f>
        <v/>
      </c>
      <c r="G56">
        <f t="array" ref="G56">IFERROR(INDEX('Work Items'!$F$6:$F$5000,SMALL(IF('Work Items'!$A$6:$A$5000="Risk",ROW('Work Items'!$A$6:$A$5000)-ROW('Work Items'!$A$6)+1),52)),"")</f>
        <v/>
      </c>
      <c r="H56">
        <f t="array" ref="H56">IFERROR(INDEX('Work Items'!$J$6:$J$5000,SMALL(IF('Work Items'!$A$6:$A$5000="Risk",ROW('Work Items'!$A$6:$A$5000)-ROW('Work Items'!$A$6)+1),52)),"")</f>
        <v/>
      </c>
      <c r="I56">
        <f t="array" ref="I56">IFERROR(INDEX('Work Items'!$K$6:$K$5000,SMALL(IF('Work Items'!$A$6:$A$5000="Risk",ROW('Work Items'!$A$6:$A$5000)-ROW('Work Items'!$A$6)+1),52)),"")</f>
        <v/>
      </c>
      <c r="J56">
        <f t="array" ref="J56">IFERROR(INDEX('Work Items'!$L$6:$L$5000,SMALL(IF('Work Items'!$A$6:$A$5000="Risk",ROW('Work Items'!$A$6:$A$5000)-ROW('Work Items'!$A$6)+1),52)),"")</f>
        <v/>
      </c>
      <c r="K56">
        <f t="array" ref="K56">IFERROR(IF(AND(INDEX('Work Items'!$R$6:$R$5000,SMALL(IF('Work Items'!$A$6:$A$5000="Risk",ROW('Work Items'!$A$6:$A$5000)-ROW('Work Items'!$A$6)+1),52))&lt;&gt;"",INDEX('Work Items'!$S$6:$S$5000,SMALL(IF('Work Items'!$A$6:$A$5000="Risk",ROW('Work Items'!$A$6:$A$5000)-ROW('Work Items'!$A$6)+1),52))&lt;&gt;""),INDEX('Work Items'!$R$6:$R$5000,SMALL(IF('Work Items'!$A$6:$A$5000="Risk",ROW('Work Items'!$A$6:$A$5000)-ROW('Work Items'!$A$6)+1),52))*INDEX('Work Items'!$S$6:$S$5000,SMALL(IF('Work Items'!$A$6:$A$5000="Risk",ROW('Work Items'!$A$6:$A$5000)-ROW('Work Items'!$A$6)+1),52)),INDEX('Work Items'!$U$6:$U$5000,SMALL(IF('Work Items'!$A$6:$A$5000="Risk",ROW('Work Items'!$A$6:$A$5000)-ROW('Work Items'!$A$6)+1),52))),"")</f>
        <v/>
      </c>
      <c r="L56" s="217">
        <f t="array" ref="L56">IFERROR(INDEX('Work Items'!$Q$6:$Q$5000,SMALL(IF('Work Items'!$A$6:$A$5000="Risk",ROW('Work Items'!$A$6:$A$5000)-ROW('Work Items'!$A$6)+1),52)),"")</f>
        <v/>
      </c>
      <c r="M56">
        <f t="array" ref="M56">IFERROR(INDEX('Work Items'!$T$6:$T$5000,SMALL(IF('Work Items'!$A$6:$A$5000="Risk",ROW('Work Items'!$A$6:$A$5000)-ROW('Work Items'!$A$6)+1),52)),"")</f>
        <v/>
      </c>
    </row>
    <row r="57">
      <c r="A57">
        <f t="array" ref="A57">IFERROR(INDEX('Work Items'!$A$6:$A$5000,SMALL(IF('Work Items'!$A$6:$A$5000="Risk",ROW('Work Items'!$A$6:$A$5000)-ROW('Work Items'!$A$6)+1),53)),"")</f>
        <v/>
      </c>
      <c r="B57">
        <f t="array" ref="B57">IFERROR(INDEX('Work Items'!$B$6:$B$5000,SMALL(IF('Work Items'!$A$6:$A$5000="Risk",ROW('Work Items'!$A$6:$A$5000)-ROW('Work Items'!$A$6)+1),53)),"")</f>
        <v/>
      </c>
      <c r="C57">
        <f>IF(E57="","",IFERROR(INDEX('Projects Master'!$A:$A,MATCH(E57,'Projects Master'!$B:$B,0)),"OrgRisk"))</f>
        <v/>
      </c>
      <c r="D57">
        <f t="array" ref="D57">IFERROR(INDEX('Work Items'!$C$6:$C$5000,SMALL(IF('Work Items'!$A$6:$A$5000="Risk",ROW('Work Items'!$A$6:$A$5000)-ROW('Work Items'!$A$6)+1),53)),"")</f>
        <v/>
      </c>
      <c r="E57">
        <f t="array" ref="E57">IFERROR(INDEX('Work Items'!$D$6:$D$5000,SMALL(IF('Work Items'!$A$6:$A$5000="Risk",ROW('Work Items'!$A$6:$A$5000)-ROW('Work Items'!$A$6)+1),53)),"")</f>
        <v/>
      </c>
      <c r="F57">
        <f t="array" ref="F57">IFERROR(INDEX('Work Items'!$E$6:$E$5000,SMALL(IF('Work Items'!$A$6:$A$5000="Risk",ROW('Work Items'!$A$6:$A$5000)-ROW('Work Items'!$A$6)+1),53)),"")</f>
        <v/>
      </c>
      <c r="G57">
        <f t="array" ref="G57">IFERROR(INDEX('Work Items'!$F$6:$F$5000,SMALL(IF('Work Items'!$A$6:$A$5000="Risk",ROW('Work Items'!$A$6:$A$5000)-ROW('Work Items'!$A$6)+1),53)),"")</f>
        <v/>
      </c>
      <c r="H57">
        <f t="array" ref="H57">IFERROR(INDEX('Work Items'!$J$6:$J$5000,SMALL(IF('Work Items'!$A$6:$A$5000="Risk",ROW('Work Items'!$A$6:$A$5000)-ROW('Work Items'!$A$6)+1),53)),"")</f>
        <v/>
      </c>
      <c r="I57">
        <f t="array" ref="I57">IFERROR(INDEX('Work Items'!$K$6:$K$5000,SMALL(IF('Work Items'!$A$6:$A$5000="Risk",ROW('Work Items'!$A$6:$A$5000)-ROW('Work Items'!$A$6)+1),53)),"")</f>
        <v/>
      </c>
      <c r="J57">
        <f t="array" ref="J57">IFERROR(INDEX('Work Items'!$L$6:$L$5000,SMALL(IF('Work Items'!$A$6:$A$5000="Risk",ROW('Work Items'!$A$6:$A$5000)-ROW('Work Items'!$A$6)+1),53)),"")</f>
        <v/>
      </c>
      <c r="K57">
        <f t="array" ref="K57">IFERROR(IF(AND(INDEX('Work Items'!$R$6:$R$5000,SMALL(IF('Work Items'!$A$6:$A$5000="Risk",ROW('Work Items'!$A$6:$A$5000)-ROW('Work Items'!$A$6)+1),53))&lt;&gt;"",INDEX('Work Items'!$S$6:$S$5000,SMALL(IF('Work Items'!$A$6:$A$5000="Risk",ROW('Work Items'!$A$6:$A$5000)-ROW('Work Items'!$A$6)+1),53))&lt;&gt;""),INDEX('Work Items'!$R$6:$R$5000,SMALL(IF('Work Items'!$A$6:$A$5000="Risk",ROW('Work Items'!$A$6:$A$5000)-ROW('Work Items'!$A$6)+1),53))*INDEX('Work Items'!$S$6:$S$5000,SMALL(IF('Work Items'!$A$6:$A$5000="Risk",ROW('Work Items'!$A$6:$A$5000)-ROW('Work Items'!$A$6)+1),53)),INDEX('Work Items'!$U$6:$U$5000,SMALL(IF('Work Items'!$A$6:$A$5000="Risk",ROW('Work Items'!$A$6:$A$5000)-ROW('Work Items'!$A$6)+1),53))),"")</f>
        <v/>
      </c>
      <c r="L57" s="217">
        <f t="array" ref="L57">IFERROR(INDEX('Work Items'!$Q$6:$Q$5000,SMALL(IF('Work Items'!$A$6:$A$5000="Risk",ROW('Work Items'!$A$6:$A$5000)-ROW('Work Items'!$A$6)+1),53)),"")</f>
        <v/>
      </c>
      <c r="M57">
        <f t="array" ref="M57">IFERROR(INDEX('Work Items'!$T$6:$T$5000,SMALL(IF('Work Items'!$A$6:$A$5000="Risk",ROW('Work Items'!$A$6:$A$5000)-ROW('Work Items'!$A$6)+1),53)),"")</f>
        <v/>
      </c>
    </row>
    <row r="58">
      <c r="A58">
        <f t="array" ref="A58">IFERROR(INDEX('Work Items'!$A$6:$A$5000,SMALL(IF('Work Items'!$A$6:$A$5000="Risk",ROW('Work Items'!$A$6:$A$5000)-ROW('Work Items'!$A$6)+1),54)),"")</f>
        <v/>
      </c>
      <c r="B58">
        <f t="array" ref="B58">IFERROR(INDEX('Work Items'!$B$6:$B$5000,SMALL(IF('Work Items'!$A$6:$A$5000="Risk",ROW('Work Items'!$A$6:$A$5000)-ROW('Work Items'!$A$6)+1),54)),"")</f>
        <v/>
      </c>
      <c r="C58">
        <f>IF(E58="","",IFERROR(INDEX('Projects Master'!$A:$A,MATCH(E58,'Projects Master'!$B:$B,0)),"OrgRisk"))</f>
        <v/>
      </c>
      <c r="D58">
        <f t="array" ref="D58">IFERROR(INDEX('Work Items'!$C$6:$C$5000,SMALL(IF('Work Items'!$A$6:$A$5000="Risk",ROW('Work Items'!$A$6:$A$5000)-ROW('Work Items'!$A$6)+1),54)),"")</f>
        <v/>
      </c>
      <c r="E58">
        <f t="array" ref="E58">IFERROR(INDEX('Work Items'!$D$6:$D$5000,SMALL(IF('Work Items'!$A$6:$A$5000="Risk",ROW('Work Items'!$A$6:$A$5000)-ROW('Work Items'!$A$6)+1),54)),"")</f>
        <v/>
      </c>
      <c r="F58">
        <f t="array" ref="F58">IFERROR(INDEX('Work Items'!$E$6:$E$5000,SMALL(IF('Work Items'!$A$6:$A$5000="Risk",ROW('Work Items'!$A$6:$A$5000)-ROW('Work Items'!$A$6)+1),54)),"")</f>
        <v/>
      </c>
      <c r="G58">
        <f t="array" ref="G58">IFERROR(INDEX('Work Items'!$F$6:$F$5000,SMALL(IF('Work Items'!$A$6:$A$5000="Risk",ROW('Work Items'!$A$6:$A$5000)-ROW('Work Items'!$A$6)+1),54)),"")</f>
        <v/>
      </c>
      <c r="H58">
        <f t="array" ref="H58">IFERROR(INDEX('Work Items'!$J$6:$J$5000,SMALL(IF('Work Items'!$A$6:$A$5000="Risk",ROW('Work Items'!$A$6:$A$5000)-ROW('Work Items'!$A$6)+1),54)),"")</f>
        <v/>
      </c>
      <c r="I58">
        <f t="array" ref="I58">IFERROR(INDEX('Work Items'!$K$6:$K$5000,SMALL(IF('Work Items'!$A$6:$A$5000="Risk",ROW('Work Items'!$A$6:$A$5000)-ROW('Work Items'!$A$6)+1),54)),"")</f>
        <v/>
      </c>
      <c r="J58">
        <f t="array" ref="J58">IFERROR(INDEX('Work Items'!$L$6:$L$5000,SMALL(IF('Work Items'!$A$6:$A$5000="Risk",ROW('Work Items'!$A$6:$A$5000)-ROW('Work Items'!$A$6)+1),54)),"")</f>
        <v/>
      </c>
      <c r="K58">
        <f t="array" ref="K58">IFERROR(IF(AND(INDEX('Work Items'!$R$6:$R$5000,SMALL(IF('Work Items'!$A$6:$A$5000="Risk",ROW('Work Items'!$A$6:$A$5000)-ROW('Work Items'!$A$6)+1),54))&lt;&gt;"",INDEX('Work Items'!$S$6:$S$5000,SMALL(IF('Work Items'!$A$6:$A$5000="Risk",ROW('Work Items'!$A$6:$A$5000)-ROW('Work Items'!$A$6)+1),54))&lt;&gt;""),INDEX('Work Items'!$R$6:$R$5000,SMALL(IF('Work Items'!$A$6:$A$5000="Risk",ROW('Work Items'!$A$6:$A$5000)-ROW('Work Items'!$A$6)+1),54))*INDEX('Work Items'!$S$6:$S$5000,SMALL(IF('Work Items'!$A$6:$A$5000="Risk",ROW('Work Items'!$A$6:$A$5000)-ROW('Work Items'!$A$6)+1),54)),INDEX('Work Items'!$U$6:$U$5000,SMALL(IF('Work Items'!$A$6:$A$5000="Risk",ROW('Work Items'!$A$6:$A$5000)-ROW('Work Items'!$A$6)+1),54))),"")</f>
        <v/>
      </c>
      <c r="L58" s="217">
        <f t="array" ref="L58">IFERROR(INDEX('Work Items'!$Q$6:$Q$5000,SMALL(IF('Work Items'!$A$6:$A$5000="Risk",ROW('Work Items'!$A$6:$A$5000)-ROW('Work Items'!$A$6)+1),54)),"")</f>
        <v/>
      </c>
      <c r="M58">
        <f t="array" ref="M58">IFERROR(INDEX('Work Items'!$T$6:$T$5000,SMALL(IF('Work Items'!$A$6:$A$5000="Risk",ROW('Work Items'!$A$6:$A$5000)-ROW('Work Items'!$A$6)+1),54)),"")</f>
        <v/>
      </c>
    </row>
    <row r="59">
      <c r="A59">
        <f t="array" ref="A59">IFERROR(INDEX('Work Items'!$A$6:$A$5000,SMALL(IF('Work Items'!$A$6:$A$5000="Risk",ROW('Work Items'!$A$6:$A$5000)-ROW('Work Items'!$A$6)+1),55)),"")</f>
        <v/>
      </c>
      <c r="B59">
        <f t="array" ref="B59">IFERROR(INDEX('Work Items'!$B$6:$B$5000,SMALL(IF('Work Items'!$A$6:$A$5000="Risk",ROW('Work Items'!$A$6:$A$5000)-ROW('Work Items'!$A$6)+1),55)),"")</f>
        <v/>
      </c>
      <c r="C59">
        <f>IF(E59="","",IFERROR(INDEX('Projects Master'!$A:$A,MATCH(E59,'Projects Master'!$B:$B,0)),"OrgRisk"))</f>
        <v/>
      </c>
      <c r="D59">
        <f t="array" ref="D59">IFERROR(INDEX('Work Items'!$C$6:$C$5000,SMALL(IF('Work Items'!$A$6:$A$5000="Risk",ROW('Work Items'!$A$6:$A$5000)-ROW('Work Items'!$A$6)+1),55)),"")</f>
        <v/>
      </c>
      <c r="E59">
        <f t="array" ref="E59">IFERROR(INDEX('Work Items'!$D$6:$D$5000,SMALL(IF('Work Items'!$A$6:$A$5000="Risk",ROW('Work Items'!$A$6:$A$5000)-ROW('Work Items'!$A$6)+1),55)),"")</f>
        <v/>
      </c>
      <c r="F59">
        <f t="array" ref="F59">IFERROR(INDEX('Work Items'!$E$6:$E$5000,SMALL(IF('Work Items'!$A$6:$A$5000="Risk",ROW('Work Items'!$A$6:$A$5000)-ROW('Work Items'!$A$6)+1),55)),"")</f>
        <v/>
      </c>
      <c r="G59">
        <f t="array" ref="G59">IFERROR(INDEX('Work Items'!$F$6:$F$5000,SMALL(IF('Work Items'!$A$6:$A$5000="Risk",ROW('Work Items'!$A$6:$A$5000)-ROW('Work Items'!$A$6)+1),55)),"")</f>
        <v/>
      </c>
      <c r="H59">
        <f t="array" ref="H59">IFERROR(INDEX('Work Items'!$J$6:$J$5000,SMALL(IF('Work Items'!$A$6:$A$5000="Risk",ROW('Work Items'!$A$6:$A$5000)-ROW('Work Items'!$A$6)+1),55)),"")</f>
        <v/>
      </c>
      <c r="I59">
        <f t="array" ref="I59">IFERROR(INDEX('Work Items'!$K$6:$K$5000,SMALL(IF('Work Items'!$A$6:$A$5000="Risk",ROW('Work Items'!$A$6:$A$5000)-ROW('Work Items'!$A$6)+1),55)),"")</f>
        <v/>
      </c>
      <c r="J59">
        <f t="array" ref="J59">IFERROR(INDEX('Work Items'!$L$6:$L$5000,SMALL(IF('Work Items'!$A$6:$A$5000="Risk",ROW('Work Items'!$A$6:$A$5000)-ROW('Work Items'!$A$6)+1),55)),"")</f>
        <v/>
      </c>
      <c r="K59">
        <f t="array" ref="K59">IFERROR(IF(AND(INDEX('Work Items'!$R$6:$R$5000,SMALL(IF('Work Items'!$A$6:$A$5000="Risk",ROW('Work Items'!$A$6:$A$5000)-ROW('Work Items'!$A$6)+1),55))&lt;&gt;"",INDEX('Work Items'!$S$6:$S$5000,SMALL(IF('Work Items'!$A$6:$A$5000="Risk",ROW('Work Items'!$A$6:$A$5000)-ROW('Work Items'!$A$6)+1),55))&lt;&gt;""),INDEX('Work Items'!$R$6:$R$5000,SMALL(IF('Work Items'!$A$6:$A$5000="Risk",ROW('Work Items'!$A$6:$A$5000)-ROW('Work Items'!$A$6)+1),55))*INDEX('Work Items'!$S$6:$S$5000,SMALL(IF('Work Items'!$A$6:$A$5000="Risk",ROW('Work Items'!$A$6:$A$5000)-ROW('Work Items'!$A$6)+1),55)),INDEX('Work Items'!$U$6:$U$5000,SMALL(IF('Work Items'!$A$6:$A$5000="Risk",ROW('Work Items'!$A$6:$A$5000)-ROW('Work Items'!$A$6)+1),55))),"")</f>
        <v/>
      </c>
      <c r="L59" s="217">
        <f t="array" ref="L59">IFERROR(INDEX('Work Items'!$Q$6:$Q$5000,SMALL(IF('Work Items'!$A$6:$A$5000="Risk",ROW('Work Items'!$A$6:$A$5000)-ROW('Work Items'!$A$6)+1),55)),"")</f>
        <v/>
      </c>
      <c r="M59">
        <f t="array" ref="M59">IFERROR(INDEX('Work Items'!$T$6:$T$5000,SMALL(IF('Work Items'!$A$6:$A$5000="Risk",ROW('Work Items'!$A$6:$A$5000)-ROW('Work Items'!$A$6)+1),55)),"")</f>
        <v/>
      </c>
    </row>
    <row r="60">
      <c r="A60">
        <f t="array" ref="A60">IFERROR(INDEX('Work Items'!$A$6:$A$5000,SMALL(IF('Work Items'!$A$6:$A$5000="Risk",ROW('Work Items'!$A$6:$A$5000)-ROW('Work Items'!$A$6)+1),56)),"")</f>
        <v/>
      </c>
      <c r="B60">
        <f t="array" ref="B60">IFERROR(INDEX('Work Items'!$B$6:$B$5000,SMALL(IF('Work Items'!$A$6:$A$5000="Risk",ROW('Work Items'!$A$6:$A$5000)-ROW('Work Items'!$A$6)+1),56)),"")</f>
        <v/>
      </c>
      <c r="C60">
        <f>IF(E60="","",IFERROR(INDEX('Projects Master'!$A:$A,MATCH(E60,'Projects Master'!$B:$B,0)),"OrgRisk"))</f>
        <v/>
      </c>
      <c r="D60">
        <f t="array" ref="D60">IFERROR(INDEX('Work Items'!$C$6:$C$5000,SMALL(IF('Work Items'!$A$6:$A$5000="Risk",ROW('Work Items'!$A$6:$A$5000)-ROW('Work Items'!$A$6)+1),56)),"")</f>
        <v/>
      </c>
      <c r="E60">
        <f t="array" ref="E60">IFERROR(INDEX('Work Items'!$D$6:$D$5000,SMALL(IF('Work Items'!$A$6:$A$5000="Risk",ROW('Work Items'!$A$6:$A$5000)-ROW('Work Items'!$A$6)+1),56)),"")</f>
        <v/>
      </c>
      <c r="F60">
        <f t="array" ref="F60">IFERROR(INDEX('Work Items'!$E$6:$E$5000,SMALL(IF('Work Items'!$A$6:$A$5000="Risk",ROW('Work Items'!$A$6:$A$5000)-ROW('Work Items'!$A$6)+1),56)),"")</f>
        <v/>
      </c>
      <c r="G60">
        <f t="array" ref="G60">IFERROR(INDEX('Work Items'!$F$6:$F$5000,SMALL(IF('Work Items'!$A$6:$A$5000="Risk",ROW('Work Items'!$A$6:$A$5000)-ROW('Work Items'!$A$6)+1),56)),"")</f>
        <v/>
      </c>
      <c r="H60">
        <f t="array" ref="H60">IFERROR(INDEX('Work Items'!$J$6:$J$5000,SMALL(IF('Work Items'!$A$6:$A$5000="Risk",ROW('Work Items'!$A$6:$A$5000)-ROW('Work Items'!$A$6)+1),56)),"")</f>
        <v/>
      </c>
      <c r="I60">
        <f t="array" ref="I60">IFERROR(INDEX('Work Items'!$K$6:$K$5000,SMALL(IF('Work Items'!$A$6:$A$5000="Risk",ROW('Work Items'!$A$6:$A$5000)-ROW('Work Items'!$A$6)+1),56)),"")</f>
        <v/>
      </c>
      <c r="J60">
        <f t="array" ref="J60">IFERROR(INDEX('Work Items'!$L$6:$L$5000,SMALL(IF('Work Items'!$A$6:$A$5000="Risk",ROW('Work Items'!$A$6:$A$5000)-ROW('Work Items'!$A$6)+1),56)),"")</f>
        <v/>
      </c>
      <c r="K60">
        <f t="array" ref="K60">IFERROR(IF(AND(INDEX('Work Items'!$R$6:$R$5000,SMALL(IF('Work Items'!$A$6:$A$5000="Risk",ROW('Work Items'!$A$6:$A$5000)-ROW('Work Items'!$A$6)+1),56))&lt;&gt;"",INDEX('Work Items'!$S$6:$S$5000,SMALL(IF('Work Items'!$A$6:$A$5000="Risk",ROW('Work Items'!$A$6:$A$5000)-ROW('Work Items'!$A$6)+1),56))&lt;&gt;""),INDEX('Work Items'!$R$6:$R$5000,SMALL(IF('Work Items'!$A$6:$A$5000="Risk",ROW('Work Items'!$A$6:$A$5000)-ROW('Work Items'!$A$6)+1),56))*INDEX('Work Items'!$S$6:$S$5000,SMALL(IF('Work Items'!$A$6:$A$5000="Risk",ROW('Work Items'!$A$6:$A$5000)-ROW('Work Items'!$A$6)+1),56)),INDEX('Work Items'!$U$6:$U$5000,SMALL(IF('Work Items'!$A$6:$A$5000="Risk",ROW('Work Items'!$A$6:$A$5000)-ROW('Work Items'!$A$6)+1),56))),"")</f>
        <v/>
      </c>
      <c r="L60" s="217">
        <f t="array" ref="L60">IFERROR(INDEX('Work Items'!$Q$6:$Q$5000,SMALL(IF('Work Items'!$A$6:$A$5000="Risk",ROW('Work Items'!$A$6:$A$5000)-ROW('Work Items'!$A$6)+1),56)),"")</f>
        <v/>
      </c>
      <c r="M60">
        <f t="array" ref="M60">IFERROR(INDEX('Work Items'!$T$6:$T$5000,SMALL(IF('Work Items'!$A$6:$A$5000="Risk",ROW('Work Items'!$A$6:$A$5000)-ROW('Work Items'!$A$6)+1),56)),"")</f>
        <v/>
      </c>
    </row>
    <row r="61">
      <c r="A61">
        <f t="array" ref="A61">IFERROR(INDEX('Work Items'!$A$6:$A$5000,SMALL(IF('Work Items'!$A$6:$A$5000="Risk",ROW('Work Items'!$A$6:$A$5000)-ROW('Work Items'!$A$6)+1),57)),"")</f>
        <v/>
      </c>
      <c r="B61">
        <f t="array" ref="B61">IFERROR(INDEX('Work Items'!$B$6:$B$5000,SMALL(IF('Work Items'!$A$6:$A$5000="Risk",ROW('Work Items'!$A$6:$A$5000)-ROW('Work Items'!$A$6)+1),57)),"")</f>
        <v/>
      </c>
      <c r="C61">
        <f>IF(E61="","",IFERROR(INDEX('Projects Master'!$A:$A,MATCH(E61,'Projects Master'!$B:$B,0)),"OrgRisk"))</f>
        <v/>
      </c>
      <c r="D61">
        <f t="array" ref="D61">IFERROR(INDEX('Work Items'!$C$6:$C$5000,SMALL(IF('Work Items'!$A$6:$A$5000="Risk",ROW('Work Items'!$A$6:$A$5000)-ROW('Work Items'!$A$6)+1),57)),"")</f>
        <v/>
      </c>
      <c r="E61">
        <f t="array" ref="E61">IFERROR(INDEX('Work Items'!$D$6:$D$5000,SMALL(IF('Work Items'!$A$6:$A$5000="Risk",ROW('Work Items'!$A$6:$A$5000)-ROW('Work Items'!$A$6)+1),57)),"")</f>
        <v/>
      </c>
      <c r="F61">
        <f t="array" ref="F61">IFERROR(INDEX('Work Items'!$E$6:$E$5000,SMALL(IF('Work Items'!$A$6:$A$5000="Risk",ROW('Work Items'!$A$6:$A$5000)-ROW('Work Items'!$A$6)+1),57)),"")</f>
        <v/>
      </c>
      <c r="G61">
        <f t="array" ref="G61">IFERROR(INDEX('Work Items'!$F$6:$F$5000,SMALL(IF('Work Items'!$A$6:$A$5000="Risk",ROW('Work Items'!$A$6:$A$5000)-ROW('Work Items'!$A$6)+1),57)),"")</f>
        <v/>
      </c>
      <c r="H61">
        <f t="array" ref="H61">IFERROR(INDEX('Work Items'!$J$6:$J$5000,SMALL(IF('Work Items'!$A$6:$A$5000="Risk",ROW('Work Items'!$A$6:$A$5000)-ROW('Work Items'!$A$6)+1),57)),"")</f>
        <v/>
      </c>
      <c r="I61">
        <f t="array" ref="I61">IFERROR(INDEX('Work Items'!$K$6:$K$5000,SMALL(IF('Work Items'!$A$6:$A$5000="Risk",ROW('Work Items'!$A$6:$A$5000)-ROW('Work Items'!$A$6)+1),57)),"")</f>
        <v/>
      </c>
      <c r="J61">
        <f t="array" ref="J61">IFERROR(INDEX('Work Items'!$L$6:$L$5000,SMALL(IF('Work Items'!$A$6:$A$5000="Risk",ROW('Work Items'!$A$6:$A$5000)-ROW('Work Items'!$A$6)+1),57)),"")</f>
        <v/>
      </c>
      <c r="K61">
        <f t="array" ref="K61">IFERROR(IF(AND(INDEX('Work Items'!$R$6:$R$5000,SMALL(IF('Work Items'!$A$6:$A$5000="Risk",ROW('Work Items'!$A$6:$A$5000)-ROW('Work Items'!$A$6)+1),57))&lt;&gt;"",INDEX('Work Items'!$S$6:$S$5000,SMALL(IF('Work Items'!$A$6:$A$5000="Risk",ROW('Work Items'!$A$6:$A$5000)-ROW('Work Items'!$A$6)+1),57))&lt;&gt;""),INDEX('Work Items'!$R$6:$R$5000,SMALL(IF('Work Items'!$A$6:$A$5000="Risk",ROW('Work Items'!$A$6:$A$5000)-ROW('Work Items'!$A$6)+1),57))*INDEX('Work Items'!$S$6:$S$5000,SMALL(IF('Work Items'!$A$6:$A$5000="Risk",ROW('Work Items'!$A$6:$A$5000)-ROW('Work Items'!$A$6)+1),57)),INDEX('Work Items'!$U$6:$U$5000,SMALL(IF('Work Items'!$A$6:$A$5000="Risk",ROW('Work Items'!$A$6:$A$5000)-ROW('Work Items'!$A$6)+1),57))),"")</f>
        <v/>
      </c>
      <c r="L61" s="217">
        <f t="array" ref="L61">IFERROR(INDEX('Work Items'!$Q$6:$Q$5000,SMALL(IF('Work Items'!$A$6:$A$5000="Risk",ROW('Work Items'!$A$6:$A$5000)-ROW('Work Items'!$A$6)+1),57)),"")</f>
        <v/>
      </c>
      <c r="M61">
        <f t="array" ref="M61">IFERROR(INDEX('Work Items'!$T$6:$T$5000,SMALL(IF('Work Items'!$A$6:$A$5000="Risk",ROW('Work Items'!$A$6:$A$5000)-ROW('Work Items'!$A$6)+1),57)),"")</f>
        <v/>
      </c>
    </row>
    <row r="62">
      <c r="A62">
        <f t="array" ref="A62">IFERROR(INDEX('Work Items'!$A$6:$A$5000,SMALL(IF('Work Items'!$A$6:$A$5000="Risk",ROW('Work Items'!$A$6:$A$5000)-ROW('Work Items'!$A$6)+1),58)),"")</f>
        <v/>
      </c>
      <c r="B62">
        <f t="array" ref="B62">IFERROR(INDEX('Work Items'!$B$6:$B$5000,SMALL(IF('Work Items'!$A$6:$A$5000="Risk",ROW('Work Items'!$A$6:$A$5000)-ROW('Work Items'!$A$6)+1),58)),"")</f>
        <v/>
      </c>
      <c r="C62">
        <f>IF(E62="","",IFERROR(INDEX('Projects Master'!$A:$A,MATCH(E62,'Projects Master'!$B:$B,0)),"OrgRisk"))</f>
        <v/>
      </c>
      <c r="D62">
        <f t="array" ref="D62">IFERROR(INDEX('Work Items'!$C$6:$C$5000,SMALL(IF('Work Items'!$A$6:$A$5000="Risk",ROW('Work Items'!$A$6:$A$5000)-ROW('Work Items'!$A$6)+1),58)),"")</f>
        <v/>
      </c>
      <c r="E62">
        <f t="array" ref="E62">IFERROR(INDEX('Work Items'!$D$6:$D$5000,SMALL(IF('Work Items'!$A$6:$A$5000="Risk",ROW('Work Items'!$A$6:$A$5000)-ROW('Work Items'!$A$6)+1),58)),"")</f>
        <v/>
      </c>
      <c r="F62">
        <f t="array" ref="F62">IFERROR(INDEX('Work Items'!$E$6:$E$5000,SMALL(IF('Work Items'!$A$6:$A$5000="Risk",ROW('Work Items'!$A$6:$A$5000)-ROW('Work Items'!$A$6)+1),58)),"")</f>
        <v/>
      </c>
      <c r="G62">
        <f t="array" ref="G62">IFERROR(INDEX('Work Items'!$F$6:$F$5000,SMALL(IF('Work Items'!$A$6:$A$5000="Risk",ROW('Work Items'!$A$6:$A$5000)-ROW('Work Items'!$A$6)+1),58)),"")</f>
        <v/>
      </c>
      <c r="H62">
        <f t="array" ref="H62">IFERROR(INDEX('Work Items'!$J$6:$J$5000,SMALL(IF('Work Items'!$A$6:$A$5000="Risk",ROW('Work Items'!$A$6:$A$5000)-ROW('Work Items'!$A$6)+1),58)),"")</f>
        <v/>
      </c>
      <c r="I62">
        <f t="array" ref="I62">IFERROR(INDEX('Work Items'!$K$6:$K$5000,SMALL(IF('Work Items'!$A$6:$A$5000="Risk",ROW('Work Items'!$A$6:$A$5000)-ROW('Work Items'!$A$6)+1),58)),"")</f>
        <v/>
      </c>
      <c r="J62">
        <f t="array" ref="J62">IFERROR(INDEX('Work Items'!$L$6:$L$5000,SMALL(IF('Work Items'!$A$6:$A$5000="Risk",ROW('Work Items'!$A$6:$A$5000)-ROW('Work Items'!$A$6)+1),58)),"")</f>
        <v/>
      </c>
      <c r="K62">
        <f t="array" ref="K62">IFERROR(IF(AND(INDEX('Work Items'!$R$6:$R$5000,SMALL(IF('Work Items'!$A$6:$A$5000="Risk",ROW('Work Items'!$A$6:$A$5000)-ROW('Work Items'!$A$6)+1),58))&lt;&gt;"",INDEX('Work Items'!$S$6:$S$5000,SMALL(IF('Work Items'!$A$6:$A$5000="Risk",ROW('Work Items'!$A$6:$A$5000)-ROW('Work Items'!$A$6)+1),58))&lt;&gt;""),INDEX('Work Items'!$R$6:$R$5000,SMALL(IF('Work Items'!$A$6:$A$5000="Risk",ROW('Work Items'!$A$6:$A$5000)-ROW('Work Items'!$A$6)+1),58))*INDEX('Work Items'!$S$6:$S$5000,SMALL(IF('Work Items'!$A$6:$A$5000="Risk",ROW('Work Items'!$A$6:$A$5000)-ROW('Work Items'!$A$6)+1),58)),INDEX('Work Items'!$U$6:$U$5000,SMALL(IF('Work Items'!$A$6:$A$5000="Risk",ROW('Work Items'!$A$6:$A$5000)-ROW('Work Items'!$A$6)+1),58))),"")</f>
        <v/>
      </c>
      <c r="L62" s="217">
        <f t="array" ref="L62">IFERROR(INDEX('Work Items'!$Q$6:$Q$5000,SMALL(IF('Work Items'!$A$6:$A$5000="Risk",ROW('Work Items'!$A$6:$A$5000)-ROW('Work Items'!$A$6)+1),58)),"")</f>
        <v/>
      </c>
      <c r="M62">
        <f t="array" ref="M62">IFERROR(INDEX('Work Items'!$T$6:$T$5000,SMALL(IF('Work Items'!$A$6:$A$5000="Risk",ROW('Work Items'!$A$6:$A$5000)-ROW('Work Items'!$A$6)+1),58)),"")</f>
        <v/>
      </c>
    </row>
    <row r="63">
      <c r="A63">
        <f t="array" ref="A63">IFERROR(INDEX('Work Items'!$A$6:$A$5000,SMALL(IF('Work Items'!$A$6:$A$5000="Risk",ROW('Work Items'!$A$6:$A$5000)-ROW('Work Items'!$A$6)+1),59)),"")</f>
        <v/>
      </c>
      <c r="B63">
        <f t="array" ref="B63">IFERROR(INDEX('Work Items'!$B$6:$B$5000,SMALL(IF('Work Items'!$A$6:$A$5000="Risk",ROW('Work Items'!$A$6:$A$5000)-ROW('Work Items'!$A$6)+1),59)),"")</f>
        <v/>
      </c>
      <c r="C63">
        <f>IF(E63="","",IFERROR(INDEX('Projects Master'!$A:$A,MATCH(E63,'Projects Master'!$B:$B,0)),"OrgRisk"))</f>
        <v/>
      </c>
      <c r="D63">
        <f t="array" ref="D63">IFERROR(INDEX('Work Items'!$C$6:$C$5000,SMALL(IF('Work Items'!$A$6:$A$5000="Risk",ROW('Work Items'!$A$6:$A$5000)-ROW('Work Items'!$A$6)+1),59)),"")</f>
        <v/>
      </c>
      <c r="E63">
        <f t="array" ref="E63">IFERROR(INDEX('Work Items'!$D$6:$D$5000,SMALL(IF('Work Items'!$A$6:$A$5000="Risk",ROW('Work Items'!$A$6:$A$5000)-ROW('Work Items'!$A$6)+1),59)),"")</f>
        <v/>
      </c>
      <c r="F63">
        <f t="array" ref="F63">IFERROR(INDEX('Work Items'!$E$6:$E$5000,SMALL(IF('Work Items'!$A$6:$A$5000="Risk",ROW('Work Items'!$A$6:$A$5000)-ROW('Work Items'!$A$6)+1),59)),"")</f>
        <v/>
      </c>
      <c r="G63">
        <f t="array" ref="G63">IFERROR(INDEX('Work Items'!$F$6:$F$5000,SMALL(IF('Work Items'!$A$6:$A$5000="Risk",ROW('Work Items'!$A$6:$A$5000)-ROW('Work Items'!$A$6)+1),59)),"")</f>
        <v/>
      </c>
      <c r="H63">
        <f t="array" ref="H63">IFERROR(INDEX('Work Items'!$J$6:$J$5000,SMALL(IF('Work Items'!$A$6:$A$5000="Risk",ROW('Work Items'!$A$6:$A$5000)-ROW('Work Items'!$A$6)+1),59)),"")</f>
        <v/>
      </c>
      <c r="I63">
        <f t="array" ref="I63">IFERROR(INDEX('Work Items'!$K$6:$K$5000,SMALL(IF('Work Items'!$A$6:$A$5000="Risk",ROW('Work Items'!$A$6:$A$5000)-ROW('Work Items'!$A$6)+1),59)),"")</f>
        <v/>
      </c>
      <c r="J63">
        <f t="array" ref="J63">IFERROR(INDEX('Work Items'!$L$6:$L$5000,SMALL(IF('Work Items'!$A$6:$A$5000="Risk",ROW('Work Items'!$A$6:$A$5000)-ROW('Work Items'!$A$6)+1),59)),"")</f>
        <v/>
      </c>
      <c r="K63">
        <f t="array" ref="K63">IFERROR(IF(AND(INDEX('Work Items'!$R$6:$R$5000,SMALL(IF('Work Items'!$A$6:$A$5000="Risk",ROW('Work Items'!$A$6:$A$5000)-ROW('Work Items'!$A$6)+1),59))&lt;&gt;"",INDEX('Work Items'!$S$6:$S$5000,SMALL(IF('Work Items'!$A$6:$A$5000="Risk",ROW('Work Items'!$A$6:$A$5000)-ROW('Work Items'!$A$6)+1),59))&lt;&gt;""),INDEX('Work Items'!$R$6:$R$5000,SMALL(IF('Work Items'!$A$6:$A$5000="Risk",ROW('Work Items'!$A$6:$A$5000)-ROW('Work Items'!$A$6)+1),59))*INDEX('Work Items'!$S$6:$S$5000,SMALL(IF('Work Items'!$A$6:$A$5000="Risk",ROW('Work Items'!$A$6:$A$5000)-ROW('Work Items'!$A$6)+1),59)),INDEX('Work Items'!$U$6:$U$5000,SMALL(IF('Work Items'!$A$6:$A$5000="Risk",ROW('Work Items'!$A$6:$A$5000)-ROW('Work Items'!$A$6)+1),59))),"")</f>
        <v/>
      </c>
      <c r="L63" s="217">
        <f t="array" ref="L63">IFERROR(INDEX('Work Items'!$Q$6:$Q$5000,SMALL(IF('Work Items'!$A$6:$A$5000="Risk",ROW('Work Items'!$A$6:$A$5000)-ROW('Work Items'!$A$6)+1),59)),"")</f>
        <v/>
      </c>
      <c r="M63">
        <f t="array" ref="M63">IFERROR(INDEX('Work Items'!$T$6:$T$5000,SMALL(IF('Work Items'!$A$6:$A$5000="Risk",ROW('Work Items'!$A$6:$A$5000)-ROW('Work Items'!$A$6)+1),59)),"")</f>
        <v/>
      </c>
    </row>
    <row r="64">
      <c r="A64">
        <f t="array" ref="A64">IFERROR(INDEX('Work Items'!$A$6:$A$5000,SMALL(IF('Work Items'!$A$6:$A$5000="Risk",ROW('Work Items'!$A$6:$A$5000)-ROW('Work Items'!$A$6)+1),60)),"")</f>
        <v/>
      </c>
      <c r="B64">
        <f t="array" ref="B64">IFERROR(INDEX('Work Items'!$B$6:$B$5000,SMALL(IF('Work Items'!$A$6:$A$5000="Risk",ROW('Work Items'!$A$6:$A$5000)-ROW('Work Items'!$A$6)+1),60)),"")</f>
        <v/>
      </c>
      <c r="C64">
        <f>IF(E64="","",IFERROR(INDEX('Projects Master'!$A:$A,MATCH(E64,'Projects Master'!$B:$B,0)),"OrgRisk"))</f>
        <v/>
      </c>
      <c r="D64">
        <f t="array" ref="D64">IFERROR(INDEX('Work Items'!$C$6:$C$5000,SMALL(IF('Work Items'!$A$6:$A$5000="Risk",ROW('Work Items'!$A$6:$A$5000)-ROW('Work Items'!$A$6)+1),60)),"")</f>
        <v/>
      </c>
      <c r="E64">
        <f t="array" ref="E64">IFERROR(INDEX('Work Items'!$D$6:$D$5000,SMALL(IF('Work Items'!$A$6:$A$5000="Risk",ROW('Work Items'!$A$6:$A$5000)-ROW('Work Items'!$A$6)+1),60)),"")</f>
        <v/>
      </c>
      <c r="F64">
        <f t="array" ref="F64">IFERROR(INDEX('Work Items'!$E$6:$E$5000,SMALL(IF('Work Items'!$A$6:$A$5000="Risk",ROW('Work Items'!$A$6:$A$5000)-ROW('Work Items'!$A$6)+1),60)),"")</f>
        <v/>
      </c>
      <c r="G64">
        <f t="array" ref="G64">IFERROR(INDEX('Work Items'!$F$6:$F$5000,SMALL(IF('Work Items'!$A$6:$A$5000="Risk",ROW('Work Items'!$A$6:$A$5000)-ROW('Work Items'!$A$6)+1),60)),"")</f>
        <v/>
      </c>
      <c r="H64">
        <f t="array" ref="H64">IFERROR(INDEX('Work Items'!$J$6:$J$5000,SMALL(IF('Work Items'!$A$6:$A$5000="Risk",ROW('Work Items'!$A$6:$A$5000)-ROW('Work Items'!$A$6)+1),60)),"")</f>
        <v/>
      </c>
      <c r="I64">
        <f t="array" ref="I64">IFERROR(INDEX('Work Items'!$K$6:$K$5000,SMALL(IF('Work Items'!$A$6:$A$5000="Risk",ROW('Work Items'!$A$6:$A$5000)-ROW('Work Items'!$A$6)+1),60)),"")</f>
        <v/>
      </c>
      <c r="J64">
        <f t="array" ref="J64">IFERROR(INDEX('Work Items'!$L$6:$L$5000,SMALL(IF('Work Items'!$A$6:$A$5000="Risk",ROW('Work Items'!$A$6:$A$5000)-ROW('Work Items'!$A$6)+1),60)),"")</f>
        <v/>
      </c>
      <c r="K64">
        <f t="array" ref="K64">IFERROR(IF(AND(INDEX('Work Items'!$R$6:$R$5000,SMALL(IF('Work Items'!$A$6:$A$5000="Risk",ROW('Work Items'!$A$6:$A$5000)-ROW('Work Items'!$A$6)+1),60))&lt;&gt;"",INDEX('Work Items'!$S$6:$S$5000,SMALL(IF('Work Items'!$A$6:$A$5000="Risk",ROW('Work Items'!$A$6:$A$5000)-ROW('Work Items'!$A$6)+1),60))&lt;&gt;""),INDEX('Work Items'!$R$6:$R$5000,SMALL(IF('Work Items'!$A$6:$A$5000="Risk",ROW('Work Items'!$A$6:$A$5000)-ROW('Work Items'!$A$6)+1),60))*INDEX('Work Items'!$S$6:$S$5000,SMALL(IF('Work Items'!$A$6:$A$5000="Risk",ROW('Work Items'!$A$6:$A$5000)-ROW('Work Items'!$A$6)+1),60)),INDEX('Work Items'!$U$6:$U$5000,SMALL(IF('Work Items'!$A$6:$A$5000="Risk",ROW('Work Items'!$A$6:$A$5000)-ROW('Work Items'!$A$6)+1),60))),"")</f>
        <v/>
      </c>
      <c r="L64" s="217">
        <f t="array" ref="L64">IFERROR(INDEX('Work Items'!$Q$6:$Q$5000,SMALL(IF('Work Items'!$A$6:$A$5000="Risk",ROW('Work Items'!$A$6:$A$5000)-ROW('Work Items'!$A$6)+1),60)),"")</f>
        <v/>
      </c>
      <c r="M64">
        <f t="array" ref="M64">IFERROR(INDEX('Work Items'!$T$6:$T$5000,SMALL(IF('Work Items'!$A$6:$A$5000="Risk",ROW('Work Items'!$A$6:$A$5000)-ROW('Work Items'!$A$6)+1),60)),"")</f>
        <v/>
      </c>
    </row>
    <row r="65">
      <c r="A65">
        <f t="array" ref="A65">IFERROR(INDEX('Work Items'!$A$6:$A$5000,SMALL(IF('Work Items'!$A$6:$A$5000="Risk",ROW('Work Items'!$A$6:$A$5000)-ROW('Work Items'!$A$6)+1),61)),"")</f>
        <v/>
      </c>
      <c r="B65">
        <f t="array" ref="B65">IFERROR(INDEX('Work Items'!$B$6:$B$5000,SMALL(IF('Work Items'!$A$6:$A$5000="Risk",ROW('Work Items'!$A$6:$A$5000)-ROW('Work Items'!$A$6)+1),61)),"")</f>
        <v/>
      </c>
      <c r="C65">
        <f>IF(E65="","",IFERROR(INDEX('Projects Master'!$A:$A,MATCH(E65,'Projects Master'!$B:$B,0)),"OrgRisk"))</f>
        <v/>
      </c>
      <c r="D65">
        <f t="array" ref="D65">IFERROR(INDEX('Work Items'!$C$6:$C$5000,SMALL(IF('Work Items'!$A$6:$A$5000="Risk",ROW('Work Items'!$A$6:$A$5000)-ROW('Work Items'!$A$6)+1),61)),"")</f>
        <v/>
      </c>
      <c r="E65">
        <f t="array" ref="E65">IFERROR(INDEX('Work Items'!$D$6:$D$5000,SMALL(IF('Work Items'!$A$6:$A$5000="Risk",ROW('Work Items'!$A$6:$A$5000)-ROW('Work Items'!$A$6)+1),61)),"")</f>
        <v/>
      </c>
      <c r="F65">
        <f t="array" ref="F65">IFERROR(INDEX('Work Items'!$E$6:$E$5000,SMALL(IF('Work Items'!$A$6:$A$5000="Risk",ROW('Work Items'!$A$6:$A$5000)-ROW('Work Items'!$A$6)+1),61)),"")</f>
        <v/>
      </c>
      <c r="G65">
        <f t="array" ref="G65">IFERROR(INDEX('Work Items'!$F$6:$F$5000,SMALL(IF('Work Items'!$A$6:$A$5000="Risk",ROW('Work Items'!$A$6:$A$5000)-ROW('Work Items'!$A$6)+1),61)),"")</f>
        <v/>
      </c>
      <c r="H65">
        <f t="array" ref="H65">IFERROR(INDEX('Work Items'!$J$6:$J$5000,SMALL(IF('Work Items'!$A$6:$A$5000="Risk",ROW('Work Items'!$A$6:$A$5000)-ROW('Work Items'!$A$6)+1),61)),"")</f>
        <v/>
      </c>
      <c r="I65">
        <f t="array" ref="I65">IFERROR(INDEX('Work Items'!$K$6:$K$5000,SMALL(IF('Work Items'!$A$6:$A$5000="Risk",ROW('Work Items'!$A$6:$A$5000)-ROW('Work Items'!$A$6)+1),61)),"")</f>
        <v/>
      </c>
      <c r="J65">
        <f t="array" ref="J65">IFERROR(INDEX('Work Items'!$L$6:$L$5000,SMALL(IF('Work Items'!$A$6:$A$5000="Risk",ROW('Work Items'!$A$6:$A$5000)-ROW('Work Items'!$A$6)+1),61)),"")</f>
        <v/>
      </c>
      <c r="K65">
        <f t="array" ref="K65">IFERROR(IF(AND(INDEX('Work Items'!$R$6:$R$5000,SMALL(IF('Work Items'!$A$6:$A$5000="Risk",ROW('Work Items'!$A$6:$A$5000)-ROW('Work Items'!$A$6)+1),61))&lt;&gt;"",INDEX('Work Items'!$S$6:$S$5000,SMALL(IF('Work Items'!$A$6:$A$5000="Risk",ROW('Work Items'!$A$6:$A$5000)-ROW('Work Items'!$A$6)+1),61))&lt;&gt;""),INDEX('Work Items'!$R$6:$R$5000,SMALL(IF('Work Items'!$A$6:$A$5000="Risk",ROW('Work Items'!$A$6:$A$5000)-ROW('Work Items'!$A$6)+1),61))*INDEX('Work Items'!$S$6:$S$5000,SMALL(IF('Work Items'!$A$6:$A$5000="Risk",ROW('Work Items'!$A$6:$A$5000)-ROW('Work Items'!$A$6)+1),61)),INDEX('Work Items'!$U$6:$U$5000,SMALL(IF('Work Items'!$A$6:$A$5000="Risk",ROW('Work Items'!$A$6:$A$5000)-ROW('Work Items'!$A$6)+1),61))),"")</f>
        <v/>
      </c>
      <c r="L65" s="217">
        <f t="array" ref="L65">IFERROR(INDEX('Work Items'!$Q$6:$Q$5000,SMALL(IF('Work Items'!$A$6:$A$5000="Risk",ROW('Work Items'!$A$6:$A$5000)-ROW('Work Items'!$A$6)+1),61)),"")</f>
        <v/>
      </c>
      <c r="M65">
        <f t="array" ref="M65">IFERROR(INDEX('Work Items'!$T$6:$T$5000,SMALL(IF('Work Items'!$A$6:$A$5000="Risk",ROW('Work Items'!$A$6:$A$5000)-ROW('Work Items'!$A$6)+1),61)),"")</f>
        <v/>
      </c>
    </row>
    <row r="66">
      <c r="A66">
        <f t="array" ref="A66">IFERROR(INDEX('Work Items'!$A$6:$A$5000,SMALL(IF('Work Items'!$A$6:$A$5000="Risk",ROW('Work Items'!$A$6:$A$5000)-ROW('Work Items'!$A$6)+1),62)),"")</f>
        <v/>
      </c>
      <c r="B66">
        <f t="array" ref="B66">IFERROR(INDEX('Work Items'!$B$6:$B$5000,SMALL(IF('Work Items'!$A$6:$A$5000="Risk",ROW('Work Items'!$A$6:$A$5000)-ROW('Work Items'!$A$6)+1),62)),"")</f>
        <v/>
      </c>
      <c r="C66">
        <f>IF(E66="","",IFERROR(INDEX('Projects Master'!$A:$A,MATCH(E66,'Projects Master'!$B:$B,0)),"OrgRisk"))</f>
        <v/>
      </c>
      <c r="D66">
        <f t="array" ref="D66">IFERROR(INDEX('Work Items'!$C$6:$C$5000,SMALL(IF('Work Items'!$A$6:$A$5000="Risk",ROW('Work Items'!$A$6:$A$5000)-ROW('Work Items'!$A$6)+1),62)),"")</f>
        <v/>
      </c>
      <c r="E66">
        <f t="array" ref="E66">IFERROR(INDEX('Work Items'!$D$6:$D$5000,SMALL(IF('Work Items'!$A$6:$A$5000="Risk",ROW('Work Items'!$A$6:$A$5000)-ROW('Work Items'!$A$6)+1),62)),"")</f>
        <v/>
      </c>
      <c r="F66">
        <f t="array" ref="F66">IFERROR(INDEX('Work Items'!$E$6:$E$5000,SMALL(IF('Work Items'!$A$6:$A$5000="Risk",ROW('Work Items'!$A$6:$A$5000)-ROW('Work Items'!$A$6)+1),62)),"")</f>
        <v/>
      </c>
      <c r="G66">
        <f t="array" ref="G66">IFERROR(INDEX('Work Items'!$F$6:$F$5000,SMALL(IF('Work Items'!$A$6:$A$5000="Risk",ROW('Work Items'!$A$6:$A$5000)-ROW('Work Items'!$A$6)+1),62)),"")</f>
        <v/>
      </c>
      <c r="H66">
        <f t="array" ref="H66">IFERROR(INDEX('Work Items'!$J$6:$J$5000,SMALL(IF('Work Items'!$A$6:$A$5000="Risk",ROW('Work Items'!$A$6:$A$5000)-ROW('Work Items'!$A$6)+1),62)),"")</f>
        <v/>
      </c>
      <c r="I66">
        <f t="array" ref="I66">IFERROR(INDEX('Work Items'!$K$6:$K$5000,SMALL(IF('Work Items'!$A$6:$A$5000="Risk",ROW('Work Items'!$A$6:$A$5000)-ROW('Work Items'!$A$6)+1),62)),"")</f>
        <v/>
      </c>
      <c r="J66">
        <f t="array" ref="J66">IFERROR(INDEX('Work Items'!$L$6:$L$5000,SMALL(IF('Work Items'!$A$6:$A$5000="Risk",ROW('Work Items'!$A$6:$A$5000)-ROW('Work Items'!$A$6)+1),62)),"")</f>
        <v/>
      </c>
      <c r="K66">
        <f t="array" ref="K66">IFERROR(IF(AND(INDEX('Work Items'!$R$6:$R$5000,SMALL(IF('Work Items'!$A$6:$A$5000="Risk",ROW('Work Items'!$A$6:$A$5000)-ROW('Work Items'!$A$6)+1),62))&lt;&gt;"",INDEX('Work Items'!$S$6:$S$5000,SMALL(IF('Work Items'!$A$6:$A$5000="Risk",ROW('Work Items'!$A$6:$A$5000)-ROW('Work Items'!$A$6)+1),62))&lt;&gt;""),INDEX('Work Items'!$R$6:$R$5000,SMALL(IF('Work Items'!$A$6:$A$5000="Risk",ROW('Work Items'!$A$6:$A$5000)-ROW('Work Items'!$A$6)+1),62))*INDEX('Work Items'!$S$6:$S$5000,SMALL(IF('Work Items'!$A$6:$A$5000="Risk",ROW('Work Items'!$A$6:$A$5000)-ROW('Work Items'!$A$6)+1),62)),INDEX('Work Items'!$U$6:$U$5000,SMALL(IF('Work Items'!$A$6:$A$5000="Risk",ROW('Work Items'!$A$6:$A$5000)-ROW('Work Items'!$A$6)+1),62))),"")</f>
        <v/>
      </c>
      <c r="L66" s="217">
        <f t="array" ref="L66">IFERROR(INDEX('Work Items'!$Q$6:$Q$5000,SMALL(IF('Work Items'!$A$6:$A$5000="Risk",ROW('Work Items'!$A$6:$A$5000)-ROW('Work Items'!$A$6)+1),62)),"")</f>
        <v/>
      </c>
      <c r="M66">
        <f t="array" ref="M66">IFERROR(INDEX('Work Items'!$T$6:$T$5000,SMALL(IF('Work Items'!$A$6:$A$5000="Risk",ROW('Work Items'!$A$6:$A$5000)-ROW('Work Items'!$A$6)+1),62)),"")</f>
        <v/>
      </c>
    </row>
    <row r="67">
      <c r="A67">
        <f t="array" ref="A67">IFERROR(INDEX('Work Items'!$A$6:$A$5000,SMALL(IF('Work Items'!$A$6:$A$5000="Risk",ROW('Work Items'!$A$6:$A$5000)-ROW('Work Items'!$A$6)+1),63)),"")</f>
        <v/>
      </c>
      <c r="B67">
        <f t="array" ref="B67">IFERROR(INDEX('Work Items'!$B$6:$B$5000,SMALL(IF('Work Items'!$A$6:$A$5000="Risk",ROW('Work Items'!$A$6:$A$5000)-ROW('Work Items'!$A$6)+1),63)),"")</f>
        <v/>
      </c>
      <c r="C67">
        <f>IF(E67="","",IFERROR(INDEX('Projects Master'!$A:$A,MATCH(E67,'Projects Master'!$B:$B,0)),"OrgRisk"))</f>
        <v/>
      </c>
      <c r="D67">
        <f t="array" ref="D67">IFERROR(INDEX('Work Items'!$C$6:$C$5000,SMALL(IF('Work Items'!$A$6:$A$5000="Risk",ROW('Work Items'!$A$6:$A$5000)-ROW('Work Items'!$A$6)+1),63)),"")</f>
        <v/>
      </c>
      <c r="E67">
        <f t="array" ref="E67">IFERROR(INDEX('Work Items'!$D$6:$D$5000,SMALL(IF('Work Items'!$A$6:$A$5000="Risk",ROW('Work Items'!$A$6:$A$5000)-ROW('Work Items'!$A$6)+1),63)),"")</f>
        <v/>
      </c>
      <c r="F67">
        <f t="array" ref="F67">IFERROR(INDEX('Work Items'!$E$6:$E$5000,SMALL(IF('Work Items'!$A$6:$A$5000="Risk",ROW('Work Items'!$A$6:$A$5000)-ROW('Work Items'!$A$6)+1),63)),"")</f>
        <v/>
      </c>
      <c r="G67">
        <f t="array" ref="G67">IFERROR(INDEX('Work Items'!$F$6:$F$5000,SMALL(IF('Work Items'!$A$6:$A$5000="Risk",ROW('Work Items'!$A$6:$A$5000)-ROW('Work Items'!$A$6)+1),63)),"")</f>
        <v/>
      </c>
      <c r="H67">
        <f t="array" ref="H67">IFERROR(INDEX('Work Items'!$J$6:$J$5000,SMALL(IF('Work Items'!$A$6:$A$5000="Risk",ROW('Work Items'!$A$6:$A$5000)-ROW('Work Items'!$A$6)+1),63)),"")</f>
        <v/>
      </c>
      <c r="I67">
        <f t="array" ref="I67">IFERROR(INDEX('Work Items'!$K$6:$K$5000,SMALL(IF('Work Items'!$A$6:$A$5000="Risk",ROW('Work Items'!$A$6:$A$5000)-ROW('Work Items'!$A$6)+1),63)),"")</f>
        <v/>
      </c>
      <c r="J67">
        <f t="array" ref="J67">IFERROR(INDEX('Work Items'!$L$6:$L$5000,SMALL(IF('Work Items'!$A$6:$A$5000="Risk",ROW('Work Items'!$A$6:$A$5000)-ROW('Work Items'!$A$6)+1),63)),"")</f>
        <v/>
      </c>
      <c r="K67">
        <f t="array" ref="K67">IFERROR(IF(AND(INDEX('Work Items'!$R$6:$R$5000,SMALL(IF('Work Items'!$A$6:$A$5000="Risk",ROW('Work Items'!$A$6:$A$5000)-ROW('Work Items'!$A$6)+1),63))&lt;&gt;"",INDEX('Work Items'!$S$6:$S$5000,SMALL(IF('Work Items'!$A$6:$A$5000="Risk",ROW('Work Items'!$A$6:$A$5000)-ROW('Work Items'!$A$6)+1),63))&lt;&gt;""),INDEX('Work Items'!$R$6:$R$5000,SMALL(IF('Work Items'!$A$6:$A$5000="Risk",ROW('Work Items'!$A$6:$A$5000)-ROW('Work Items'!$A$6)+1),63))*INDEX('Work Items'!$S$6:$S$5000,SMALL(IF('Work Items'!$A$6:$A$5000="Risk",ROW('Work Items'!$A$6:$A$5000)-ROW('Work Items'!$A$6)+1),63)),INDEX('Work Items'!$U$6:$U$5000,SMALL(IF('Work Items'!$A$6:$A$5000="Risk",ROW('Work Items'!$A$6:$A$5000)-ROW('Work Items'!$A$6)+1),63))),"")</f>
        <v/>
      </c>
      <c r="L67" s="217">
        <f t="array" ref="L67">IFERROR(INDEX('Work Items'!$Q$6:$Q$5000,SMALL(IF('Work Items'!$A$6:$A$5000="Risk",ROW('Work Items'!$A$6:$A$5000)-ROW('Work Items'!$A$6)+1),63)),"")</f>
        <v/>
      </c>
      <c r="M67">
        <f t="array" ref="M67">IFERROR(INDEX('Work Items'!$T$6:$T$5000,SMALL(IF('Work Items'!$A$6:$A$5000="Risk",ROW('Work Items'!$A$6:$A$5000)-ROW('Work Items'!$A$6)+1),63)),"")</f>
        <v/>
      </c>
    </row>
    <row r="68">
      <c r="A68">
        <f t="array" ref="A68">IFERROR(INDEX('Work Items'!$A$6:$A$5000,SMALL(IF('Work Items'!$A$6:$A$5000="Risk",ROW('Work Items'!$A$6:$A$5000)-ROW('Work Items'!$A$6)+1),64)),"")</f>
        <v/>
      </c>
      <c r="B68">
        <f t="array" ref="B68">IFERROR(INDEX('Work Items'!$B$6:$B$5000,SMALL(IF('Work Items'!$A$6:$A$5000="Risk",ROW('Work Items'!$A$6:$A$5000)-ROW('Work Items'!$A$6)+1),64)),"")</f>
        <v/>
      </c>
      <c r="C68">
        <f>IF(E68="","",IFERROR(INDEX('Projects Master'!$A:$A,MATCH(E68,'Projects Master'!$B:$B,0)),"OrgRisk"))</f>
        <v/>
      </c>
      <c r="D68">
        <f t="array" ref="D68">IFERROR(INDEX('Work Items'!$C$6:$C$5000,SMALL(IF('Work Items'!$A$6:$A$5000="Risk",ROW('Work Items'!$A$6:$A$5000)-ROW('Work Items'!$A$6)+1),64)),"")</f>
        <v/>
      </c>
      <c r="E68">
        <f t="array" ref="E68">IFERROR(INDEX('Work Items'!$D$6:$D$5000,SMALL(IF('Work Items'!$A$6:$A$5000="Risk",ROW('Work Items'!$A$6:$A$5000)-ROW('Work Items'!$A$6)+1),64)),"")</f>
        <v/>
      </c>
      <c r="F68">
        <f t="array" ref="F68">IFERROR(INDEX('Work Items'!$E$6:$E$5000,SMALL(IF('Work Items'!$A$6:$A$5000="Risk",ROW('Work Items'!$A$6:$A$5000)-ROW('Work Items'!$A$6)+1),64)),"")</f>
        <v/>
      </c>
      <c r="G68">
        <f t="array" ref="G68">IFERROR(INDEX('Work Items'!$F$6:$F$5000,SMALL(IF('Work Items'!$A$6:$A$5000="Risk",ROW('Work Items'!$A$6:$A$5000)-ROW('Work Items'!$A$6)+1),64)),"")</f>
        <v/>
      </c>
      <c r="H68">
        <f t="array" ref="H68">IFERROR(INDEX('Work Items'!$J$6:$J$5000,SMALL(IF('Work Items'!$A$6:$A$5000="Risk",ROW('Work Items'!$A$6:$A$5000)-ROW('Work Items'!$A$6)+1),64)),"")</f>
        <v/>
      </c>
      <c r="I68">
        <f t="array" ref="I68">IFERROR(INDEX('Work Items'!$K$6:$K$5000,SMALL(IF('Work Items'!$A$6:$A$5000="Risk",ROW('Work Items'!$A$6:$A$5000)-ROW('Work Items'!$A$6)+1),64)),"")</f>
        <v/>
      </c>
      <c r="J68">
        <f t="array" ref="J68">IFERROR(INDEX('Work Items'!$L$6:$L$5000,SMALL(IF('Work Items'!$A$6:$A$5000="Risk",ROW('Work Items'!$A$6:$A$5000)-ROW('Work Items'!$A$6)+1),64)),"")</f>
        <v/>
      </c>
      <c r="K68">
        <f t="array" ref="K68">IFERROR(IF(AND(INDEX('Work Items'!$R$6:$R$5000,SMALL(IF('Work Items'!$A$6:$A$5000="Risk",ROW('Work Items'!$A$6:$A$5000)-ROW('Work Items'!$A$6)+1),64))&lt;&gt;"",INDEX('Work Items'!$S$6:$S$5000,SMALL(IF('Work Items'!$A$6:$A$5000="Risk",ROW('Work Items'!$A$6:$A$5000)-ROW('Work Items'!$A$6)+1),64))&lt;&gt;""),INDEX('Work Items'!$R$6:$R$5000,SMALL(IF('Work Items'!$A$6:$A$5000="Risk",ROW('Work Items'!$A$6:$A$5000)-ROW('Work Items'!$A$6)+1),64))*INDEX('Work Items'!$S$6:$S$5000,SMALL(IF('Work Items'!$A$6:$A$5000="Risk",ROW('Work Items'!$A$6:$A$5000)-ROW('Work Items'!$A$6)+1),64)),INDEX('Work Items'!$U$6:$U$5000,SMALL(IF('Work Items'!$A$6:$A$5000="Risk",ROW('Work Items'!$A$6:$A$5000)-ROW('Work Items'!$A$6)+1),64))),"")</f>
        <v/>
      </c>
      <c r="L68" s="217">
        <f t="array" ref="L68">IFERROR(INDEX('Work Items'!$Q$6:$Q$5000,SMALL(IF('Work Items'!$A$6:$A$5000="Risk",ROW('Work Items'!$A$6:$A$5000)-ROW('Work Items'!$A$6)+1),64)),"")</f>
        <v/>
      </c>
      <c r="M68">
        <f t="array" ref="M68">IFERROR(INDEX('Work Items'!$T$6:$T$5000,SMALL(IF('Work Items'!$A$6:$A$5000="Risk",ROW('Work Items'!$A$6:$A$5000)-ROW('Work Items'!$A$6)+1),64)),"")</f>
        <v/>
      </c>
    </row>
    <row r="69">
      <c r="A69">
        <f t="array" ref="A69">IFERROR(INDEX('Work Items'!$A$6:$A$5000,SMALL(IF('Work Items'!$A$6:$A$5000="Risk",ROW('Work Items'!$A$6:$A$5000)-ROW('Work Items'!$A$6)+1),65)),"")</f>
        <v/>
      </c>
      <c r="B69">
        <f t="array" ref="B69">IFERROR(INDEX('Work Items'!$B$6:$B$5000,SMALL(IF('Work Items'!$A$6:$A$5000="Risk",ROW('Work Items'!$A$6:$A$5000)-ROW('Work Items'!$A$6)+1),65)),"")</f>
        <v/>
      </c>
      <c r="C69">
        <f>IF(E69="","",IFERROR(INDEX('Projects Master'!$A:$A,MATCH(E69,'Projects Master'!$B:$B,0)),"OrgRisk"))</f>
        <v/>
      </c>
      <c r="D69">
        <f t="array" ref="D69">IFERROR(INDEX('Work Items'!$C$6:$C$5000,SMALL(IF('Work Items'!$A$6:$A$5000="Risk",ROW('Work Items'!$A$6:$A$5000)-ROW('Work Items'!$A$6)+1),65)),"")</f>
        <v/>
      </c>
      <c r="E69">
        <f t="array" ref="E69">IFERROR(INDEX('Work Items'!$D$6:$D$5000,SMALL(IF('Work Items'!$A$6:$A$5000="Risk",ROW('Work Items'!$A$6:$A$5000)-ROW('Work Items'!$A$6)+1),65)),"")</f>
        <v/>
      </c>
      <c r="F69">
        <f t="array" ref="F69">IFERROR(INDEX('Work Items'!$E$6:$E$5000,SMALL(IF('Work Items'!$A$6:$A$5000="Risk",ROW('Work Items'!$A$6:$A$5000)-ROW('Work Items'!$A$6)+1),65)),"")</f>
        <v/>
      </c>
      <c r="G69">
        <f t="array" ref="G69">IFERROR(INDEX('Work Items'!$F$6:$F$5000,SMALL(IF('Work Items'!$A$6:$A$5000="Risk",ROW('Work Items'!$A$6:$A$5000)-ROW('Work Items'!$A$6)+1),65)),"")</f>
        <v/>
      </c>
      <c r="H69">
        <f t="array" ref="H69">IFERROR(INDEX('Work Items'!$J$6:$J$5000,SMALL(IF('Work Items'!$A$6:$A$5000="Risk",ROW('Work Items'!$A$6:$A$5000)-ROW('Work Items'!$A$6)+1),65)),"")</f>
        <v/>
      </c>
      <c r="I69">
        <f t="array" ref="I69">IFERROR(INDEX('Work Items'!$K$6:$K$5000,SMALL(IF('Work Items'!$A$6:$A$5000="Risk",ROW('Work Items'!$A$6:$A$5000)-ROW('Work Items'!$A$6)+1),65)),"")</f>
        <v/>
      </c>
      <c r="J69">
        <f t="array" ref="J69">IFERROR(INDEX('Work Items'!$L$6:$L$5000,SMALL(IF('Work Items'!$A$6:$A$5000="Risk",ROW('Work Items'!$A$6:$A$5000)-ROW('Work Items'!$A$6)+1),65)),"")</f>
        <v/>
      </c>
      <c r="K69">
        <f t="array" ref="K69">IFERROR(IF(AND(INDEX('Work Items'!$R$6:$R$5000,SMALL(IF('Work Items'!$A$6:$A$5000="Risk",ROW('Work Items'!$A$6:$A$5000)-ROW('Work Items'!$A$6)+1),65))&lt;&gt;"",INDEX('Work Items'!$S$6:$S$5000,SMALL(IF('Work Items'!$A$6:$A$5000="Risk",ROW('Work Items'!$A$6:$A$5000)-ROW('Work Items'!$A$6)+1),65))&lt;&gt;""),INDEX('Work Items'!$R$6:$R$5000,SMALL(IF('Work Items'!$A$6:$A$5000="Risk",ROW('Work Items'!$A$6:$A$5000)-ROW('Work Items'!$A$6)+1),65))*INDEX('Work Items'!$S$6:$S$5000,SMALL(IF('Work Items'!$A$6:$A$5000="Risk",ROW('Work Items'!$A$6:$A$5000)-ROW('Work Items'!$A$6)+1),65)),INDEX('Work Items'!$U$6:$U$5000,SMALL(IF('Work Items'!$A$6:$A$5000="Risk",ROW('Work Items'!$A$6:$A$5000)-ROW('Work Items'!$A$6)+1),65))),"")</f>
        <v/>
      </c>
      <c r="L69" s="217">
        <f t="array" ref="L69">IFERROR(INDEX('Work Items'!$Q$6:$Q$5000,SMALL(IF('Work Items'!$A$6:$A$5000="Risk",ROW('Work Items'!$A$6:$A$5000)-ROW('Work Items'!$A$6)+1),65)),"")</f>
        <v/>
      </c>
      <c r="M69">
        <f t="array" ref="M69">IFERROR(INDEX('Work Items'!$T$6:$T$5000,SMALL(IF('Work Items'!$A$6:$A$5000="Risk",ROW('Work Items'!$A$6:$A$5000)-ROW('Work Items'!$A$6)+1),65)),"")</f>
        <v/>
      </c>
    </row>
    <row r="70">
      <c r="A70">
        <f t="array" ref="A70">IFERROR(INDEX('Work Items'!$A$6:$A$5000,SMALL(IF('Work Items'!$A$6:$A$5000="Risk",ROW('Work Items'!$A$6:$A$5000)-ROW('Work Items'!$A$6)+1),66)),"")</f>
        <v/>
      </c>
      <c r="B70">
        <f t="array" ref="B70">IFERROR(INDEX('Work Items'!$B$6:$B$5000,SMALL(IF('Work Items'!$A$6:$A$5000="Risk",ROW('Work Items'!$A$6:$A$5000)-ROW('Work Items'!$A$6)+1),66)),"")</f>
        <v/>
      </c>
      <c r="C70">
        <f>IF(E70="","",IFERROR(INDEX('Projects Master'!$A:$A,MATCH(E70,'Projects Master'!$B:$B,0)),"OrgRisk"))</f>
        <v/>
      </c>
      <c r="D70">
        <f t="array" ref="D70">IFERROR(INDEX('Work Items'!$C$6:$C$5000,SMALL(IF('Work Items'!$A$6:$A$5000="Risk",ROW('Work Items'!$A$6:$A$5000)-ROW('Work Items'!$A$6)+1),66)),"")</f>
        <v/>
      </c>
      <c r="E70">
        <f t="array" ref="E70">IFERROR(INDEX('Work Items'!$D$6:$D$5000,SMALL(IF('Work Items'!$A$6:$A$5000="Risk",ROW('Work Items'!$A$6:$A$5000)-ROW('Work Items'!$A$6)+1),66)),"")</f>
        <v/>
      </c>
      <c r="F70">
        <f t="array" ref="F70">IFERROR(INDEX('Work Items'!$E$6:$E$5000,SMALL(IF('Work Items'!$A$6:$A$5000="Risk",ROW('Work Items'!$A$6:$A$5000)-ROW('Work Items'!$A$6)+1),66)),"")</f>
        <v/>
      </c>
      <c r="G70">
        <f t="array" ref="G70">IFERROR(INDEX('Work Items'!$F$6:$F$5000,SMALL(IF('Work Items'!$A$6:$A$5000="Risk",ROW('Work Items'!$A$6:$A$5000)-ROW('Work Items'!$A$6)+1),66)),"")</f>
        <v/>
      </c>
      <c r="H70">
        <f t="array" ref="H70">IFERROR(INDEX('Work Items'!$J$6:$J$5000,SMALL(IF('Work Items'!$A$6:$A$5000="Risk",ROW('Work Items'!$A$6:$A$5000)-ROW('Work Items'!$A$6)+1),66)),"")</f>
        <v/>
      </c>
      <c r="I70">
        <f t="array" ref="I70">IFERROR(INDEX('Work Items'!$K$6:$K$5000,SMALL(IF('Work Items'!$A$6:$A$5000="Risk",ROW('Work Items'!$A$6:$A$5000)-ROW('Work Items'!$A$6)+1),66)),"")</f>
        <v/>
      </c>
      <c r="J70">
        <f t="array" ref="J70">IFERROR(INDEX('Work Items'!$L$6:$L$5000,SMALL(IF('Work Items'!$A$6:$A$5000="Risk",ROW('Work Items'!$A$6:$A$5000)-ROW('Work Items'!$A$6)+1),66)),"")</f>
        <v/>
      </c>
      <c r="K70">
        <f t="array" ref="K70">IFERROR(IF(AND(INDEX('Work Items'!$R$6:$R$5000,SMALL(IF('Work Items'!$A$6:$A$5000="Risk",ROW('Work Items'!$A$6:$A$5000)-ROW('Work Items'!$A$6)+1),66))&lt;&gt;"",INDEX('Work Items'!$S$6:$S$5000,SMALL(IF('Work Items'!$A$6:$A$5000="Risk",ROW('Work Items'!$A$6:$A$5000)-ROW('Work Items'!$A$6)+1),66))&lt;&gt;""),INDEX('Work Items'!$R$6:$R$5000,SMALL(IF('Work Items'!$A$6:$A$5000="Risk",ROW('Work Items'!$A$6:$A$5000)-ROW('Work Items'!$A$6)+1),66))*INDEX('Work Items'!$S$6:$S$5000,SMALL(IF('Work Items'!$A$6:$A$5000="Risk",ROW('Work Items'!$A$6:$A$5000)-ROW('Work Items'!$A$6)+1),66)),INDEX('Work Items'!$U$6:$U$5000,SMALL(IF('Work Items'!$A$6:$A$5000="Risk",ROW('Work Items'!$A$6:$A$5000)-ROW('Work Items'!$A$6)+1),66))),"")</f>
        <v/>
      </c>
      <c r="L70" s="217">
        <f t="array" ref="L70">IFERROR(INDEX('Work Items'!$Q$6:$Q$5000,SMALL(IF('Work Items'!$A$6:$A$5000="Risk",ROW('Work Items'!$A$6:$A$5000)-ROW('Work Items'!$A$6)+1),66)),"")</f>
        <v/>
      </c>
      <c r="M70">
        <f t="array" ref="M70">IFERROR(INDEX('Work Items'!$T$6:$T$5000,SMALL(IF('Work Items'!$A$6:$A$5000="Risk",ROW('Work Items'!$A$6:$A$5000)-ROW('Work Items'!$A$6)+1),66)),"")</f>
        <v/>
      </c>
    </row>
    <row r="71">
      <c r="A71">
        <f t="array" ref="A71">IFERROR(INDEX('Work Items'!$A$6:$A$5000,SMALL(IF('Work Items'!$A$6:$A$5000="Risk",ROW('Work Items'!$A$6:$A$5000)-ROW('Work Items'!$A$6)+1),67)),"")</f>
        <v/>
      </c>
      <c r="B71">
        <f t="array" ref="B71">IFERROR(INDEX('Work Items'!$B$6:$B$5000,SMALL(IF('Work Items'!$A$6:$A$5000="Risk",ROW('Work Items'!$A$6:$A$5000)-ROW('Work Items'!$A$6)+1),67)),"")</f>
        <v/>
      </c>
      <c r="C71">
        <f>IF(E71="","",IFERROR(INDEX('Projects Master'!$A:$A,MATCH(E71,'Projects Master'!$B:$B,0)),"OrgRisk"))</f>
        <v/>
      </c>
      <c r="D71">
        <f t="array" ref="D71">IFERROR(INDEX('Work Items'!$C$6:$C$5000,SMALL(IF('Work Items'!$A$6:$A$5000="Risk",ROW('Work Items'!$A$6:$A$5000)-ROW('Work Items'!$A$6)+1),67)),"")</f>
        <v/>
      </c>
      <c r="E71">
        <f t="array" ref="E71">IFERROR(INDEX('Work Items'!$D$6:$D$5000,SMALL(IF('Work Items'!$A$6:$A$5000="Risk",ROW('Work Items'!$A$6:$A$5000)-ROW('Work Items'!$A$6)+1),67)),"")</f>
        <v/>
      </c>
      <c r="F71">
        <f t="array" ref="F71">IFERROR(INDEX('Work Items'!$E$6:$E$5000,SMALL(IF('Work Items'!$A$6:$A$5000="Risk",ROW('Work Items'!$A$6:$A$5000)-ROW('Work Items'!$A$6)+1),67)),"")</f>
        <v/>
      </c>
      <c r="G71">
        <f t="array" ref="G71">IFERROR(INDEX('Work Items'!$F$6:$F$5000,SMALL(IF('Work Items'!$A$6:$A$5000="Risk",ROW('Work Items'!$A$6:$A$5000)-ROW('Work Items'!$A$6)+1),67)),"")</f>
        <v/>
      </c>
      <c r="H71">
        <f t="array" ref="H71">IFERROR(INDEX('Work Items'!$J$6:$J$5000,SMALL(IF('Work Items'!$A$6:$A$5000="Risk",ROW('Work Items'!$A$6:$A$5000)-ROW('Work Items'!$A$6)+1),67)),"")</f>
        <v/>
      </c>
      <c r="I71">
        <f t="array" ref="I71">IFERROR(INDEX('Work Items'!$K$6:$K$5000,SMALL(IF('Work Items'!$A$6:$A$5000="Risk",ROW('Work Items'!$A$6:$A$5000)-ROW('Work Items'!$A$6)+1),67)),"")</f>
        <v/>
      </c>
      <c r="J71">
        <f t="array" ref="J71">IFERROR(INDEX('Work Items'!$L$6:$L$5000,SMALL(IF('Work Items'!$A$6:$A$5000="Risk",ROW('Work Items'!$A$6:$A$5000)-ROW('Work Items'!$A$6)+1),67)),"")</f>
        <v/>
      </c>
      <c r="K71">
        <f t="array" ref="K71">IFERROR(IF(AND(INDEX('Work Items'!$R$6:$R$5000,SMALL(IF('Work Items'!$A$6:$A$5000="Risk",ROW('Work Items'!$A$6:$A$5000)-ROW('Work Items'!$A$6)+1),67))&lt;&gt;"",INDEX('Work Items'!$S$6:$S$5000,SMALL(IF('Work Items'!$A$6:$A$5000="Risk",ROW('Work Items'!$A$6:$A$5000)-ROW('Work Items'!$A$6)+1),67))&lt;&gt;""),INDEX('Work Items'!$R$6:$R$5000,SMALL(IF('Work Items'!$A$6:$A$5000="Risk",ROW('Work Items'!$A$6:$A$5000)-ROW('Work Items'!$A$6)+1),67))*INDEX('Work Items'!$S$6:$S$5000,SMALL(IF('Work Items'!$A$6:$A$5000="Risk",ROW('Work Items'!$A$6:$A$5000)-ROW('Work Items'!$A$6)+1),67)),INDEX('Work Items'!$U$6:$U$5000,SMALL(IF('Work Items'!$A$6:$A$5000="Risk",ROW('Work Items'!$A$6:$A$5000)-ROW('Work Items'!$A$6)+1),67))),"")</f>
        <v/>
      </c>
      <c r="L71" s="217">
        <f t="array" ref="L71">IFERROR(INDEX('Work Items'!$Q$6:$Q$5000,SMALL(IF('Work Items'!$A$6:$A$5000="Risk",ROW('Work Items'!$A$6:$A$5000)-ROW('Work Items'!$A$6)+1),67)),"")</f>
        <v/>
      </c>
      <c r="M71">
        <f t="array" ref="M71">IFERROR(INDEX('Work Items'!$T$6:$T$5000,SMALL(IF('Work Items'!$A$6:$A$5000="Risk",ROW('Work Items'!$A$6:$A$5000)-ROW('Work Items'!$A$6)+1),67)),"")</f>
        <v/>
      </c>
    </row>
    <row r="72">
      <c r="A72">
        <f t="array" ref="A72">IFERROR(INDEX('Work Items'!$A$6:$A$5000,SMALL(IF('Work Items'!$A$6:$A$5000="Risk",ROW('Work Items'!$A$6:$A$5000)-ROW('Work Items'!$A$6)+1),68)),"")</f>
        <v/>
      </c>
      <c r="B72">
        <f t="array" ref="B72">IFERROR(INDEX('Work Items'!$B$6:$B$5000,SMALL(IF('Work Items'!$A$6:$A$5000="Risk",ROW('Work Items'!$A$6:$A$5000)-ROW('Work Items'!$A$6)+1),68)),"")</f>
        <v/>
      </c>
      <c r="C72">
        <f>IF(E72="","",IFERROR(INDEX('Projects Master'!$A:$A,MATCH(E72,'Projects Master'!$B:$B,0)),"OrgRisk"))</f>
        <v/>
      </c>
      <c r="D72">
        <f t="array" ref="D72">IFERROR(INDEX('Work Items'!$C$6:$C$5000,SMALL(IF('Work Items'!$A$6:$A$5000="Risk",ROW('Work Items'!$A$6:$A$5000)-ROW('Work Items'!$A$6)+1),68)),"")</f>
        <v/>
      </c>
      <c r="E72">
        <f t="array" ref="E72">IFERROR(INDEX('Work Items'!$D$6:$D$5000,SMALL(IF('Work Items'!$A$6:$A$5000="Risk",ROW('Work Items'!$A$6:$A$5000)-ROW('Work Items'!$A$6)+1),68)),"")</f>
        <v/>
      </c>
      <c r="F72">
        <f t="array" ref="F72">IFERROR(INDEX('Work Items'!$E$6:$E$5000,SMALL(IF('Work Items'!$A$6:$A$5000="Risk",ROW('Work Items'!$A$6:$A$5000)-ROW('Work Items'!$A$6)+1),68)),"")</f>
        <v/>
      </c>
      <c r="G72">
        <f t="array" ref="G72">IFERROR(INDEX('Work Items'!$F$6:$F$5000,SMALL(IF('Work Items'!$A$6:$A$5000="Risk",ROW('Work Items'!$A$6:$A$5000)-ROW('Work Items'!$A$6)+1),68)),"")</f>
        <v/>
      </c>
      <c r="H72">
        <f t="array" ref="H72">IFERROR(INDEX('Work Items'!$J$6:$J$5000,SMALL(IF('Work Items'!$A$6:$A$5000="Risk",ROW('Work Items'!$A$6:$A$5000)-ROW('Work Items'!$A$6)+1),68)),"")</f>
        <v/>
      </c>
      <c r="I72">
        <f t="array" ref="I72">IFERROR(INDEX('Work Items'!$K$6:$K$5000,SMALL(IF('Work Items'!$A$6:$A$5000="Risk",ROW('Work Items'!$A$6:$A$5000)-ROW('Work Items'!$A$6)+1),68)),"")</f>
        <v/>
      </c>
      <c r="J72">
        <f t="array" ref="J72">IFERROR(INDEX('Work Items'!$L$6:$L$5000,SMALL(IF('Work Items'!$A$6:$A$5000="Risk",ROW('Work Items'!$A$6:$A$5000)-ROW('Work Items'!$A$6)+1),68)),"")</f>
        <v/>
      </c>
      <c r="K72">
        <f t="array" ref="K72">IFERROR(IF(AND(INDEX('Work Items'!$R$6:$R$5000,SMALL(IF('Work Items'!$A$6:$A$5000="Risk",ROW('Work Items'!$A$6:$A$5000)-ROW('Work Items'!$A$6)+1),68))&lt;&gt;"",INDEX('Work Items'!$S$6:$S$5000,SMALL(IF('Work Items'!$A$6:$A$5000="Risk",ROW('Work Items'!$A$6:$A$5000)-ROW('Work Items'!$A$6)+1),68))&lt;&gt;""),INDEX('Work Items'!$R$6:$R$5000,SMALL(IF('Work Items'!$A$6:$A$5000="Risk",ROW('Work Items'!$A$6:$A$5000)-ROW('Work Items'!$A$6)+1),68))*INDEX('Work Items'!$S$6:$S$5000,SMALL(IF('Work Items'!$A$6:$A$5000="Risk",ROW('Work Items'!$A$6:$A$5000)-ROW('Work Items'!$A$6)+1),68)),INDEX('Work Items'!$U$6:$U$5000,SMALL(IF('Work Items'!$A$6:$A$5000="Risk",ROW('Work Items'!$A$6:$A$5000)-ROW('Work Items'!$A$6)+1),68))),"")</f>
        <v/>
      </c>
      <c r="L72" s="217">
        <f t="array" ref="L72">IFERROR(INDEX('Work Items'!$Q$6:$Q$5000,SMALL(IF('Work Items'!$A$6:$A$5000="Risk",ROW('Work Items'!$A$6:$A$5000)-ROW('Work Items'!$A$6)+1),68)),"")</f>
        <v/>
      </c>
      <c r="M72">
        <f t="array" ref="M72">IFERROR(INDEX('Work Items'!$T$6:$T$5000,SMALL(IF('Work Items'!$A$6:$A$5000="Risk",ROW('Work Items'!$A$6:$A$5000)-ROW('Work Items'!$A$6)+1),68)),"")</f>
        <v/>
      </c>
    </row>
    <row r="73">
      <c r="A73">
        <f t="array" ref="A73">IFERROR(INDEX('Work Items'!$A$6:$A$5000,SMALL(IF('Work Items'!$A$6:$A$5000="Risk",ROW('Work Items'!$A$6:$A$5000)-ROW('Work Items'!$A$6)+1),69)),"")</f>
        <v/>
      </c>
      <c r="B73">
        <f t="array" ref="B73">IFERROR(INDEX('Work Items'!$B$6:$B$5000,SMALL(IF('Work Items'!$A$6:$A$5000="Risk",ROW('Work Items'!$A$6:$A$5000)-ROW('Work Items'!$A$6)+1),69)),"")</f>
        <v/>
      </c>
      <c r="C73">
        <f>IF(E73="","",IFERROR(INDEX('Projects Master'!$A:$A,MATCH(E73,'Projects Master'!$B:$B,0)),"OrgRisk"))</f>
        <v/>
      </c>
      <c r="D73">
        <f t="array" ref="D73">IFERROR(INDEX('Work Items'!$C$6:$C$5000,SMALL(IF('Work Items'!$A$6:$A$5000="Risk",ROW('Work Items'!$A$6:$A$5000)-ROW('Work Items'!$A$6)+1),69)),"")</f>
        <v/>
      </c>
      <c r="E73">
        <f t="array" ref="E73">IFERROR(INDEX('Work Items'!$D$6:$D$5000,SMALL(IF('Work Items'!$A$6:$A$5000="Risk",ROW('Work Items'!$A$6:$A$5000)-ROW('Work Items'!$A$6)+1),69)),"")</f>
        <v/>
      </c>
      <c r="F73">
        <f t="array" ref="F73">IFERROR(INDEX('Work Items'!$E$6:$E$5000,SMALL(IF('Work Items'!$A$6:$A$5000="Risk",ROW('Work Items'!$A$6:$A$5000)-ROW('Work Items'!$A$6)+1),69)),"")</f>
        <v/>
      </c>
      <c r="G73">
        <f t="array" ref="G73">IFERROR(INDEX('Work Items'!$F$6:$F$5000,SMALL(IF('Work Items'!$A$6:$A$5000="Risk",ROW('Work Items'!$A$6:$A$5000)-ROW('Work Items'!$A$6)+1),69)),"")</f>
        <v/>
      </c>
      <c r="H73">
        <f t="array" ref="H73">IFERROR(INDEX('Work Items'!$J$6:$J$5000,SMALL(IF('Work Items'!$A$6:$A$5000="Risk",ROW('Work Items'!$A$6:$A$5000)-ROW('Work Items'!$A$6)+1),69)),"")</f>
        <v/>
      </c>
      <c r="I73">
        <f t="array" ref="I73">IFERROR(INDEX('Work Items'!$K$6:$K$5000,SMALL(IF('Work Items'!$A$6:$A$5000="Risk",ROW('Work Items'!$A$6:$A$5000)-ROW('Work Items'!$A$6)+1),69)),"")</f>
        <v/>
      </c>
      <c r="J73">
        <f t="array" ref="J73">IFERROR(INDEX('Work Items'!$L$6:$L$5000,SMALL(IF('Work Items'!$A$6:$A$5000="Risk",ROW('Work Items'!$A$6:$A$5000)-ROW('Work Items'!$A$6)+1),69)),"")</f>
        <v/>
      </c>
      <c r="K73">
        <f t="array" ref="K73">IFERROR(IF(AND(INDEX('Work Items'!$R$6:$R$5000,SMALL(IF('Work Items'!$A$6:$A$5000="Risk",ROW('Work Items'!$A$6:$A$5000)-ROW('Work Items'!$A$6)+1),69))&lt;&gt;"",INDEX('Work Items'!$S$6:$S$5000,SMALL(IF('Work Items'!$A$6:$A$5000="Risk",ROW('Work Items'!$A$6:$A$5000)-ROW('Work Items'!$A$6)+1),69))&lt;&gt;""),INDEX('Work Items'!$R$6:$R$5000,SMALL(IF('Work Items'!$A$6:$A$5000="Risk",ROW('Work Items'!$A$6:$A$5000)-ROW('Work Items'!$A$6)+1),69))*INDEX('Work Items'!$S$6:$S$5000,SMALL(IF('Work Items'!$A$6:$A$5000="Risk",ROW('Work Items'!$A$6:$A$5000)-ROW('Work Items'!$A$6)+1),69)),INDEX('Work Items'!$U$6:$U$5000,SMALL(IF('Work Items'!$A$6:$A$5000="Risk",ROW('Work Items'!$A$6:$A$5000)-ROW('Work Items'!$A$6)+1),69))),"")</f>
        <v/>
      </c>
      <c r="L73" s="217">
        <f t="array" ref="L73">IFERROR(INDEX('Work Items'!$Q$6:$Q$5000,SMALL(IF('Work Items'!$A$6:$A$5000="Risk",ROW('Work Items'!$A$6:$A$5000)-ROW('Work Items'!$A$6)+1),69)),"")</f>
        <v/>
      </c>
      <c r="M73">
        <f t="array" ref="M73">IFERROR(INDEX('Work Items'!$T$6:$T$5000,SMALL(IF('Work Items'!$A$6:$A$5000="Risk",ROW('Work Items'!$A$6:$A$5000)-ROW('Work Items'!$A$6)+1),69)),"")</f>
        <v/>
      </c>
    </row>
    <row r="74">
      <c r="A74">
        <f t="array" ref="A74">IFERROR(INDEX('Work Items'!$A$6:$A$5000,SMALL(IF('Work Items'!$A$6:$A$5000="Risk",ROW('Work Items'!$A$6:$A$5000)-ROW('Work Items'!$A$6)+1),70)),"")</f>
        <v/>
      </c>
      <c r="B74">
        <f t="array" ref="B74">IFERROR(INDEX('Work Items'!$B$6:$B$5000,SMALL(IF('Work Items'!$A$6:$A$5000="Risk",ROW('Work Items'!$A$6:$A$5000)-ROW('Work Items'!$A$6)+1),70)),"")</f>
        <v/>
      </c>
      <c r="C74">
        <f>IF(E74="","",IFERROR(INDEX('Projects Master'!$A:$A,MATCH(E74,'Projects Master'!$B:$B,0)),"OrgRisk"))</f>
        <v/>
      </c>
      <c r="D74">
        <f t="array" ref="D74">IFERROR(INDEX('Work Items'!$C$6:$C$5000,SMALL(IF('Work Items'!$A$6:$A$5000="Risk",ROW('Work Items'!$A$6:$A$5000)-ROW('Work Items'!$A$6)+1),70)),"")</f>
        <v/>
      </c>
      <c r="E74">
        <f t="array" ref="E74">IFERROR(INDEX('Work Items'!$D$6:$D$5000,SMALL(IF('Work Items'!$A$6:$A$5000="Risk",ROW('Work Items'!$A$6:$A$5000)-ROW('Work Items'!$A$6)+1),70)),"")</f>
        <v/>
      </c>
      <c r="F74">
        <f t="array" ref="F74">IFERROR(INDEX('Work Items'!$E$6:$E$5000,SMALL(IF('Work Items'!$A$6:$A$5000="Risk",ROW('Work Items'!$A$6:$A$5000)-ROW('Work Items'!$A$6)+1),70)),"")</f>
        <v/>
      </c>
      <c r="G74">
        <f t="array" ref="G74">IFERROR(INDEX('Work Items'!$F$6:$F$5000,SMALL(IF('Work Items'!$A$6:$A$5000="Risk",ROW('Work Items'!$A$6:$A$5000)-ROW('Work Items'!$A$6)+1),70)),"")</f>
        <v/>
      </c>
      <c r="H74">
        <f t="array" ref="H74">IFERROR(INDEX('Work Items'!$J$6:$J$5000,SMALL(IF('Work Items'!$A$6:$A$5000="Risk",ROW('Work Items'!$A$6:$A$5000)-ROW('Work Items'!$A$6)+1),70)),"")</f>
        <v/>
      </c>
      <c r="I74">
        <f t="array" ref="I74">IFERROR(INDEX('Work Items'!$K$6:$K$5000,SMALL(IF('Work Items'!$A$6:$A$5000="Risk",ROW('Work Items'!$A$6:$A$5000)-ROW('Work Items'!$A$6)+1),70)),"")</f>
        <v/>
      </c>
      <c r="J74">
        <f t="array" ref="J74">IFERROR(INDEX('Work Items'!$L$6:$L$5000,SMALL(IF('Work Items'!$A$6:$A$5000="Risk",ROW('Work Items'!$A$6:$A$5000)-ROW('Work Items'!$A$6)+1),70)),"")</f>
        <v/>
      </c>
      <c r="K74">
        <f t="array" ref="K74">IFERROR(IF(AND(INDEX('Work Items'!$R$6:$R$5000,SMALL(IF('Work Items'!$A$6:$A$5000="Risk",ROW('Work Items'!$A$6:$A$5000)-ROW('Work Items'!$A$6)+1),70))&lt;&gt;"",INDEX('Work Items'!$S$6:$S$5000,SMALL(IF('Work Items'!$A$6:$A$5000="Risk",ROW('Work Items'!$A$6:$A$5000)-ROW('Work Items'!$A$6)+1),70))&lt;&gt;""),INDEX('Work Items'!$R$6:$R$5000,SMALL(IF('Work Items'!$A$6:$A$5000="Risk",ROW('Work Items'!$A$6:$A$5000)-ROW('Work Items'!$A$6)+1),70))*INDEX('Work Items'!$S$6:$S$5000,SMALL(IF('Work Items'!$A$6:$A$5000="Risk",ROW('Work Items'!$A$6:$A$5000)-ROW('Work Items'!$A$6)+1),70)),INDEX('Work Items'!$U$6:$U$5000,SMALL(IF('Work Items'!$A$6:$A$5000="Risk",ROW('Work Items'!$A$6:$A$5000)-ROW('Work Items'!$A$6)+1),70))),"")</f>
        <v/>
      </c>
      <c r="L74" s="217">
        <f t="array" ref="L74">IFERROR(INDEX('Work Items'!$Q$6:$Q$5000,SMALL(IF('Work Items'!$A$6:$A$5000="Risk",ROW('Work Items'!$A$6:$A$5000)-ROW('Work Items'!$A$6)+1),70)),"")</f>
        <v/>
      </c>
      <c r="M74">
        <f t="array" ref="M74">IFERROR(INDEX('Work Items'!$T$6:$T$5000,SMALL(IF('Work Items'!$A$6:$A$5000="Risk",ROW('Work Items'!$A$6:$A$5000)-ROW('Work Items'!$A$6)+1),70)),"")</f>
        <v/>
      </c>
    </row>
    <row r="75">
      <c r="A75">
        <f t="array" ref="A75">IFERROR(INDEX('Work Items'!$A$6:$A$5000,SMALL(IF('Work Items'!$A$6:$A$5000="Risk",ROW('Work Items'!$A$6:$A$5000)-ROW('Work Items'!$A$6)+1),71)),"")</f>
        <v/>
      </c>
      <c r="B75">
        <f t="array" ref="B75">IFERROR(INDEX('Work Items'!$B$6:$B$5000,SMALL(IF('Work Items'!$A$6:$A$5000="Risk",ROW('Work Items'!$A$6:$A$5000)-ROW('Work Items'!$A$6)+1),71)),"")</f>
        <v/>
      </c>
      <c r="C75">
        <f>IF(E75="","",IFERROR(INDEX('Projects Master'!$A:$A,MATCH(E75,'Projects Master'!$B:$B,0)),"OrgRisk"))</f>
        <v/>
      </c>
      <c r="D75">
        <f t="array" ref="D75">IFERROR(INDEX('Work Items'!$C$6:$C$5000,SMALL(IF('Work Items'!$A$6:$A$5000="Risk",ROW('Work Items'!$A$6:$A$5000)-ROW('Work Items'!$A$6)+1),71)),"")</f>
        <v/>
      </c>
      <c r="E75">
        <f t="array" ref="E75">IFERROR(INDEX('Work Items'!$D$6:$D$5000,SMALL(IF('Work Items'!$A$6:$A$5000="Risk",ROW('Work Items'!$A$6:$A$5000)-ROW('Work Items'!$A$6)+1),71)),"")</f>
        <v/>
      </c>
      <c r="F75">
        <f t="array" ref="F75">IFERROR(INDEX('Work Items'!$E$6:$E$5000,SMALL(IF('Work Items'!$A$6:$A$5000="Risk",ROW('Work Items'!$A$6:$A$5000)-ROW('Work Items'!$A$6)+1),71)),"")</f>
        <v/>
      </c>
      <c r="G75">
        <f t="array" ref="G75">IFERROR(INDEX('Work Items'!$F$6:$F$5000,SMALL(IF('Work Items'!$A$6:$A$5000="Risk",ROW('Work Items'!$A$6:$A$5000)-ROW('Work Items'!$A$6)+1),71)),"")</f>
        <v/>
      </c>
      <c r="H75">
        <f t="array" ref="H75">IFERROR(INDEX('Work Items'!$J$6:$J$5000,SMALL(IF('Work Items'!$A$6:$A$5000="Risk",ROW('Work Items'!$A$6:$A$5000)-ROW('Work Items'!$A$6)+1),71)),"")</f>
        <v/>
      </c>
      <c r="I75">
        <f t="array" ref="I75">IFERROR(INDEX('Work Items'!$K$6:$K$5000,SMALL(IF('Work Items'!$A$6:$A$5000="Risk",ROW('Work Items'!$A$6:$A$5000)-ROW('Work Items'!$A$6)+1),71)),"")</f>
        <v/>
      </c>
      <c r="J75">
        <f t="array" ref="J75">IFERROR(INDEX('Work Items'!$L$6:$L$5000,SMALL(IF('Work Items'!$A$6:$A$5000="Risk",ROW('Work Items'!$A$6:$A$5000)-ROW('Work Items'!$A$6)+1),71)),"")</f>
        <v/>
      </c>
      <c r="K75">
        <f t="array" ref="K75">IFERROR(IF(AND(INDEX('Work Items'!$R$6:$R$5000,SMALL(IF('Work Items'!$A$6:$A$5000="Risk",ROW('Work Items'!$A$6:$A$5000)-ROW('Work Items'!$A$6)+1),71))&lt;&gt;"",INDEX('Work Items'!$S$6:$S$5000,SMALL(IF('Work Items'!$A$6:$A$5000="Risk",ROW('Work Items'!$A$6:$A$5000)-ROW('Work Items'!$A$6)+1),71))&lt;&gt;""),INDEX('Work Items'!$R$6:$R$5000,SMALL(IF('Work Items'!$A$6:$A$5000="Risk",ROW('Work Items'!$A$6:$A$5000)-ROW('Work Items'!$A$6)+1),71))*INDEX('Work Items'!$S$6:$S$5000,SMALL(IF('Work Items'!$A$6:$A$5000="Risk",ROW('Work Items'!$A$6:$A$5000)-ROW('Work Items'!$A$6)+1),71)),INDEX('Work Items'!$U$6:$U$5000,SMALL(IF('Work Items'!$A$6:$A$5000="Risk",ROW('Work Items'!$A$6:$A$5000)-ROW('Work Items'!$A$6)+1),71))),"")</f>
        <v/>
      </c>
      <c r="L75" s="217">
        <f t="array" ref="L75">IFERROR(INDEX('Work Items'!$Q$6:$Q$5000,SMALL(IF('Work Items'!$A$6:$A$5000="Risk",ROW('Work Items'!$A$6:$A$5000)-ROW('Work Items'!$A$6)+1),71)),"")</f>
        <v/>
      </c>
      <c r="M75">
        <f t="array" ref="M75">IFERROR(INDEX('Work Items'!$T$6:$T$5000,SMALL(IF('Work Items'!$A$6:$A$5000="Risk",ROW('Work Items'!$A$6:$A$5000)-ROW('Work Items'!$A$6)+1),71)),"")</f>
        <v/>
      </c>
    </row>
    <row r="76">
      <c r="A76">
        <f t="array" ref="A76">IFERROR(INDEX('Work Items'!$A$6:$A$5000,SMALL(IF('Work Items'!$A$6:$A$5000="Risk",ROW('Work Items'!$A$6:$A$5000)-ROW('Work Items'!$A$6)+1),72)),"")</f>
        <v/>
      </c>
      <c r="B76">
        <f t="array" ref="B76">IFERROR(INDEX('Work Items'!$B$6:$B$5000,SMALL(IF('Work Items'!$A$6:$A$5000="Risk",ROW('Work Items'!$A$6:$A$5000)-ROW('Work Items'!$A$6)+1),72)),"")</f>
        <v/>
      </c>
      <c r="C76">
        <f>IF(E76="","",IFERROR(INDEX('Projects Master'!$A:$A,MATCH(E76,'Projects Master'!$B:$B,0)),"OrgRisk"))</f>
        <v/>
      </c>
      <c r="D76">
        <f t="array" ref="D76">IFERROR(INDEX('Work Items'!$C$6:$C$5000,SMALL(IF('Work Items'!$A$6:$A$5000="Risk",ROW('Work Items'!$A$6:$A$5000)-ROW('Work Items'!$A$6)+1),72)),"")</f>
        <v/>
      </c>
      <c r="E76">
        <f t="array" ref="E76">IFERROR(INDEX('Work Items'!$D$6:$D$5000,SMALL(IF('Work Items'!$A$6:$A$5000="Risk",ROW('Work Items'!$A$6:$A$5000)-ROW('Work Items'!$A$6)+1),72)),"")</f>
        <v/>
      </c>
      <c r="F76">
        <f t="array" ref="F76">IFERROR(INDEX('Work Items'!$E$6:$E$5000,SMALL(IF('Work Items'!$A$6:$A$5000="Risk",ROW('Work Items'!$A$6:$A$5000)-ROW('Work Items'!$A$6)+1),72)),"")</f>
        <v/>
      </c>
      <c r="G76">
        <f t="array" ref="G76">IFERROR(INDEX('Work Items'!$F$6:$F$5000,SMALL(IF('Work Items'!$A$6:$A$5000="Risk",ROW('Work Items'!$A$6:$A$5000)-ROW('Work Items'!$A$6)+1),72)),"")</f>
        <v/>
      </c>
      <c r="H76">
        <f t="array" ref="H76">IFERROR(INDEX('Work Items'!$J$6:$J$5000,SMALL(IF('Work Items'!$A$6:$A$5000="Risk",ROW('Work Items'!$A$6:$A$5000)-ROW('Work Items'!$A$6)+1),72)),"")</f>
        <v/>
      </c>
      <c r="I76">
        <f t="array" ref="I76">IFERROR(INDEX('Work Items'!$K$6:$K$5000,SMALL(IF('Work Items'!$A$6:$A$5000="Risk",ROW('Work Items'!$A$6:$A$5000)-ROW('Work Items'!$A$6)+1),72)),"")</f>
        <v/>
      </c>
      <c r="J76">
        <f t="array" ref="J76">IFERROR(INDEX('Work Items'!$L$6:$L$5000,SMALL(IF('Work Items'!$A$6:$A$5000="Risk",ROW('Work Items'!$A$6:$A$5000)-ROW('Work Items'!$A$6)+1),72)),"")</f>
        <v/>
      </c>
      <c r="K76">
        <f t="array" ref="K76">IFERROR(IF(AND(INDEX('Work Items'!$R$6:$R$5000,SMALL(IF('Work Items'!$A$6:$A$5000="Risk",ROW('Work Items'!$A$6:$A$5000)-ROW('Work Items'!$A$6)+1),72))&lt;&gt;"",INDEX('Work Items'!$S$6:$S$5000,SMALL(IF('Work Items'!$A$6:$A$5000="Risk",ROW('Work Items'!$A$6:$A$5000)-ROW('Work Items'!$A$6)+1),72))&lt;&gt;""),INDEX('Work Items'!$R$6:$R$5000,SMALL(IF('Work Items'!$A$6:$A$5000="Risk",ROW('Work Items'!$A$6:$A$5000)-ROW('Work Items'!$A$6)+1),72))*INDEX('Work Items'!$S$6:$S$5000,SMALL(IF('Work Items'!$A$6:$A$5000="Risk",ROW('Work Items'!$A$6:$A$5000)-ROW('Work Items'!$A$6)+1),72)),INDEX('Work Items'!$U$6:$U$5000,SMALL(IF('Work Items'!$A$6:$A$5000="Risk",ROW('Work Items'!$A$6:$A$5000)-ROW('Work Items'!$A$6)+1),72))),"")</f>
        <v/>
      </c>
      <c r="L76" s="217">
        <f t="array" ref="L76">IFERROR(INDEX('Work Items'!$Q$6:$Q$5000,SMALL(IF('Work Items'!$A$6:$A$5000="Risk",ROW('Work Items'!$A$6:$A$5000)-ROW('Work Items'!$A$6)+1),72)),"")</f>
        <v/>
      </c>
      <c r="M76">
        <f t="array" ref="M76">IFERROR(INDEX('Work Items'!$T$6:$T$5000,SMALL(IF('Work Items'!$A$6:$A$5000="Risk",ROW('Work Items'!$A$6:$A$5000)-ROW('Work Items'!$A$6)+1),72)),"")</f>
        <v/>
      </c>
    </row>
    <row r="77">
      <c r="A77">
        <f t="array" ref="A77">IFERROR(INDEX('Work Items'!$A$6:$A$5000,SMALL(IF('Work Items'!$A$6:$A$5000="Risk",ROW('Work Items'!$A$6:$A$5000)-ROW('Work Items'!$A$6)+1),73)),"")</f>
        <v/>
      </c>
      <c r="B77">
        <f t="array" ref="B77">IFERROR(INDEX('Work Items'!$B$6:$B$5000,SMALL(IF('Work Items'!$A$6:$A$5000="Risk",ROW('Work Items'!$A$6:$A$5000)-ROW('Work Items'!$A$6)+1),73)),"")</f>
        <v/>
      </c>
      <c r="C77">
        <f>IF(E77="","",IFERROR(INDEX('Projects Master'!$A:$A,MATCH(E77,'Projects Master'!$B:$B,0)),"OrgRisk"))</f>
        <v/>
      </c>
      <c r="D77">
        <f t="array" ref="D77">IFERROR(INDEX('Work Items'!$C$6:$C$5000,SMALL(IF('Work Items'!$A$6:$A$5000="Risk",ROW('Work Items'!$A$6:$A$5000)-ROW('Work Items'!$A$6)+1),73)),"")</f>
        <v/>
      </c>
      <c r="E77">
        <f t="array" ref="E77">IFERROR(INDEX('Work Items'!$D$6:$D$5000,SMALL(IF('Work Items'!$A$6:$A$5000="Risk",ROW('Work Items'!$A$6:$A$5000)-ROW('Work Items'!$A$6)+1),73)),"")</f>
        <v/>
      </c>
      <c r="F77">
        <f t="array" ref="F77">IFERROR(INDEX('Work Items'!$E$6:$E$5000,SMALL(IF('Work Items'!$A$6:$A$5000="Risk",ROW('Work Items'!$A$6:$A$5000)-ROW('Work Items'!$A$6)+1),73)),"")</f>
        <v/>
      </c>
      <c r="G77">
        <f t="array" ref="G77">IFERROR(INDEX('Work Items'!$F$6:$F$5000,SMALL(IF('Work Items'!$A$6:$A$5000="Risk",ROW('Work Items'!$A$6:$A$5000)-ROW('Work Items'!$A$6)+1),73)),"")</f>
        <v/>
      </c>
      <c r="H77">
        <f t="array" ref="H77">IFERROR(INDEX('Work Items'!$J$6:$J$5000,SMALL(IF('Work Items'!$A$6:$A$5000="Risk",ROW('Work Items'!$A$6:$A$5000)-ROW('Work Items'!$A$6)+1),73)),"")</f>
        <v/>
      </c>
      <c r="I77">
        <f t="array" ref="I77">IFERROR(INDEX('Work Items'!$K$6:$K$5000,SMALL(IF('Work Items'!$A$6:$A$5000="Risk",ROW('Work Items'!$A$6:$A$5000)-ROW('Work Items'!$A$6)+1),73)),"")</f>
        <v/>
      </c>
      <c r="J77">
        <f t="array" ref="J77">IFERROR(INDEX('Work Items'!$L$6:$L$5000,SMALL(IF('Work Items'!$A$6:$A$5000="Risk",ROW('Work Items'!$A$6:$A$5000)-ROW('Work Items'!$A$6)+1),73)),"")</f>
        <v/>
      </c>
      <c r="K77">
        <f t="array" ref="K77">IFERROR(IF(AND(INDEX('Work Items'!$R$6:$R$5000,SMALL(IF('Work Items'!$A$6:$A$5000="Risk",ROW('Work Items'!$A$6:$A$5000)-ROW('Work Items'!$A$6)+1),73))&lt;&gt;"",INDEX('Work Items'!$S$6:$S$5000,SMALL(IF('Work Items'!$A$6:$A$5000="Risk",ROW('Work Items'!$A$6:$A$5000)-ROW('Work Items'!$A$6)+1),73))&lt;&gt;""),INDEX('Work Items'!$R$6:$R$5000,SMALL(IF('Work Items'!$A$6:$A$5000="Risk",ROW('Work Items'!$A$6:$A$5000)-ROW('Work Items'!$A$6)+1),73))*INDEX('Work Items'!$S$6:$S$5000,SMALL(IF('Work Items'!$A$6:$A$5000="Risk",ROW('Work Items'!$A$6:$A$5000)-ROW('Work Items'!$A$6)+1),73)),INDEX('Work Items'!$U$6:$U$5000,SMALL(IF('Work Items'!$A$6:$A$5000="Risk",ROW('Work Items'!$A$6:$A$5000)-ROW('Work Items'!$A$6)+1),73))),"")</f>
        <v/>
      </c>
      <c r="L77" s="217">
        <f t="array" ref="L77">IFERROR(INDEX('Work Items'!$Q$6:$Q$5000,SMALL(IF('Work Items'!$A$6:$A$5000="Risk",ROW('Work Items'!$A$6:$A$5000)-ROW('Work Items'!$A$6)+1),73)),"")</f>
        <v/>
      </c>
      <c r="M77">
        <f t="array" ref="M77">IFERROR(INDEX('Work Items'!$T$6:$T$5000,SMALL(IF('Work Items'!$A$6:$A$5000="Risk",ROW('Work Items'!$A$6:$A$5000)-ROW('Work Items'!$A$6)+1),73)),"")</f>
        <v/>
      </c>
    </row>
    <row r="78">
      <c r="A78">
        <f t="array" ref="A78">IFERROR(INDEX('Work Items'!$A$6:$A$5000,SMALL(IF('Work Items'!$A$6:$A$5000="Risk",ROW('Work Items'!$A$6:$A$5000)-ROW('Work Items'!$A$6)+1),74)),"")</f>
        <v/>
      </c>
      <c r="B78">
        <f t="array" ref="B78">IFERROR(INDEX('Work Items'!$B$6:$B$5000,SMALL(IF('Work Items'!$A$6:$A$5000="Risk",ROW('Work Items'!$A$6:$A$5000)-ROW('Work Items'!$A$6)+1),74)),"")</f>
        <v/>
      </c>
      <c r="C78">
        <f>IF(E78="","",IFERROR(INDEX('Projects Master'!$A:$A,MATCH(E78,'Projects Master'!$B:$B,0)),"OrgRisk"))</f>
        <v/>
      </c>
      <c r="D78">
        <f t="array" ref="D78">IFERROR(INDEX('Work Items'!$C$6:$C$5000,SMALL(IF('Work Items'!$A$6:$A$5000="Risk",ROW('Work Items'!$A$6:$A$5000)-ROW('Work Items'!$A$6)+1),74)),"")</f>
        <v/>
      </c>
      <c r="E78">
        <f t="array" ref="E78">IFERROR(INDEX('Work Items'!$D$6:$D$5000,SMALL(IF('Work Items'!$A$6:$A$5000="Risk",ROW('Work Items'!$A$6:$A$5000)-ROW('Work Items'!$A$6)+1),74)),"")</f>
        <v/>
      </c>
      <c r="F78">
        <f t="array" ref="F78">IFERROR(INDEX('Work Items'!$E$6:$E$5000,SMALL(IF('Work Items'!$A$6:$A$5000="Risk",ROW('Work Items'!$A$6:$A$5000)-ROW('Work Items'!$A$6)+1),74)),"")</f>
        <v/>
      </c>
      <c r="G78">
        <f t="array" ref="G78">IFERROR(INDEX('Work Items'!$F$6:$F$5000,SMALL(IF('Work Items'!$A$6:$A$5000="Risk",ROW('Work Items'!$A$6:$A$5000)-ROW('Work Items'!$A$6)+1),74)),"")</f>
        <v/>
      </c>
      <c r="H78">
        <f t="array" ref="H78">IFERROR(INDEX('Work Items'!$J$6:$J$5000,SMALL(IF('Work Items'!$A$6:$A$5000="Risk",ROW('Work Items'!$A$6:$A$5000)-ROW('Work Items'!$A$6)+1),74)),"")</f>
        <v/>
      </c>
      <c r="I78">
        <f t="array" ref="I78">IFERROR(INDEX('Work Items'!$K$6:$K$5000,SMALL(IF('Work Items'!$A$6:$A$5000="Risk",ROW('Work Items'!$A$6:$A$5000)-ROW('Work Items'!$A$6)+1),74)),"")</f>
        <v/>
      </c>
      <c r="J78">
        <f t="array" ref="J78">IFERROR(INDEX('Work Items'!$L$6:$L$5000,SMALL(IF('Work Items'!$A$6:$A$5000="Risk",ROW('Work Items'!$A$6:$A$5000)-ROW('Work Items'!$A$6)+1),74)),"")</f>
        <v/>
      </c>
      <c r="K78">
        <f t="array" ref="K78">IFERROR(IF(AND(INDEX('Work Items'!$R$6:$R$5000,SMALL(IF('Work Items'!$A$6:$A$5000="Risk",ROW('Work Items'!$A$6:$A$5000)-ROW('Work Items'!$A$6)+1),74))&lt;&gt;"",INDEX('Work Items'!$S$6:$S$5000,SMALL(IF('Work Items'!$A$6:$A$5000="Risk",ROW('Work Items'!$A$6:$A$5000)-ROW('Work Items'!$A$6)+1),74))&lt;&gt;""),INDEX('Work Items'!$R$6:$R$5000,SMALL(IF('Work Items'!$A$6:$A$5000="Risk",ROW('Work Items'!$A$6:$A$5000)-ROW('Work Items'!$A$6)+1),74))*INDEX('Work Items'!$S$6:$S$5000,SMALL(IF('Work Items'!$A$6:$A$5000="Risk",ROW('Work Items'!$A$6:$A$5000)-ROW('Work Items'!$A$6)+1),74)),INDEX('Work Items'!$U$6:$U$5000,SMALL(IF('Work Items'!$A$6:$A$5000="Risk",ROW('Work Items'!$A$6:$A$5000)-ROW('Work Items'!$A$6)+1),74))),"")</f>
        <v/>
      </c>
      <c r="L78" s="217">
        <f t="array" ref="L78">IFERROR(INDEX('Work Items'!$Q$6:$Q$5000,SMALL(IF('Work Items'!$A$6:$A$5000="Risk",ROW('Work Items'!$A$6:$A$5000)-ROW('Work Items'!$A$6)+1),74)),"")</f>
        <v/>
      </c>
      <c r="M78">
        <f t="array" ref="M78">IFERROR(INDEX('Work Items'!$T$6:$T$5000,SMALL(IF('Work Items'!$A$6:$A$5000="Risk",ROW('Work Items'!$A$6:$A$5000)-ROW('Work Items'!$A$6)+1),74)),"")</f>
        <v/>
      </c>
    </row>
    <row r="79">
      <c r="A79">
        <f t="array" ref="A79">IFERROR(INDEX('Work Items'!$A$6:$A$5000,SMALL(IF('Work Items'!$A$6:$A$5000="Risk",ROW('Work Items'!$A$6:$A$5000)-ROW('Work Items'!$A$6)+1),75)),"")</f>
        <v/>
      </c>
      <c r="B79">
        <f t="array" ref="B79">IFERROR(INDEX('Work Items'!$B$6:$B$5000,SMALL(IF('Work Items'!$A$6:$A$5000="Risk",ROW('Work Items'!$A$6:$A$5000)-ROW('Work Items'!$A$6)+1),75)),"")</f>
        <v/>
      </c>
      <c r="C79">
        <f>IF(E79="","",IFERROR(INDEX('Projects Master'!$A:$A,MATCH(E79,'Projects Master'!$B:$B,0)),"OrgRisk"))</f>
        <v/>
      </c>
      <c r="D79">
        <f t="array" ref="D79">IFERROR(INDEX('Work Items'!$C$6:$C$5000,SMALL(IF('Work Items'!$A$6:$A$5000="Risk",ROW('Work Items'!$A$6:$A$5000)-ROW('Work Items'!$A$6)+1),75)),"")</f>
        <v/>
      </c>
      <c r="E79">
        <f t="array" ref="E79">IFERROR(INDEX('Work Items'!$D$6:$D$5000,SMALL(IF('Work Items'!$A$6:$A$5000="Risk",ROW('Work Items'!$A$6:$A$5000)-ROW('Work Items'!$A$6)+1),75)),"")</f>
        <v/>
      </c>
      <c r="F79">
        <f t="array" ref="F79">IFERROR(INDEX('Work Items'!$E$6:$E$5000,SMALL(IF('Work Items'!$A$6:$A$5000="Risk",ROW('Work Items'!$A$6:$A$5000)-ROW('Work Items'!$A$6)+1),75)),"")</f>
        <v/>
      </c>
      <c r="G79">
        <f t="array" ref="G79">IFERROR(INDEX('Work Items'!$F$6:$F$5000,SMALL(IF('Work Items'!$A$6:$A$5000="Risk",ROW('Work Items'!$A$6:$A$5000)-ROW('Work Items'!$A$6)+1),75)),"")</f>
        <v/>
      </c>
      <c r="H79">
        <f t="array" ref="H79">IFERROR(INDEX('Work Items'!$J$6:$J$5000,SMALL(IF('Work Items'!$A$6:$A$5000="Risk",ROW('Work Items'!$A$6:$A$5000)-ROW('Work Items'!$A$6)+1),75)),"")</f>
        <v/>
      </c>
      <c r="I79">
        <f t="array" ref="I79">IFERROR(INDEX('Work Items'!$K$6:$K$5000,SMALL(IF('Work Items'!$A$6:$A$5000="Risk",ROW('Work Items'!$A$6:$A$5000)-ROW('Work Items'!$A$6)+1),75)),"")</f>
        <v/>
      </c>
      <c r="J79">
        <f t="array" ref="J79">IFERROR(INDEX('Work Items'!$L$6:$L$5000,SMALL(IF('Work Items'!$A$6:$A$5000="Risk",ROW('Work Items'!$A$6:$A$5000)-ROW('Work Items'!$A$6)+1),75)),"")</f>
        <v/>
      </c>
      <c r="K79">
        <f t="array" ref="K79">IFERROR(IF(AND(INDEX('Work Items'!$R$6:$R$5000,SMALL(IF('Work Items'!$A$6:$A$5000="Risk",ROW('Work Items'!$A$6:$A$5000)-ROW('Work Items'!$A$6)+1),75))&lt;&gt;"",INDEX('Work Items'!$S$6:$S$5000,SMALL(IF('Work Items'!$A$6:$A$5000="Risk",ROW('Work Items'!$A$6:$A$5000)-ROW('Work Items'!$A$6)+1),75))&lt;&gt;""),INDEX('Work Items'!$R$6:$R$5000,SMALL(IF('Work Items'!$A$6:$A$5000="Risk",ROW('Work Items'!$A$6:$A$5000)-ROW('Work Items'!$A$6)+1),75))*INDEX('Work Items'!$S$6:$S$5000,SMALL(IF('Work Items'!$A$6:$A$5000="Risk",ROW('Work Items'!$A$6:$A$5000)-ROW('Work Items'!$A$6)+1),75)),INDEX('Work Items'!$U$6:$U$5000,SMALL(IF('Work Items'!$A$6:$A$5000="Risk",ROW('Work Items'!$A$6:$A$5000)-ROW('Work Items'!$A$6)+1),75))),"")</f>
        <v/>
      </c>
      <c r="L79" s="217">
        <f t="array" ref="L79">IFERROR(INDEX('Work Items'!$Q$6:$Q$5000,SMALL(IF('Work Items'!$A$6:$A$5000="Risk",ROW('Work Items'!$A$6:$A$5000)-ROW('Work Items'!$A$6)+1),75)),"")</f>
        <v/>
      </c>
      <c r="M79">
        <f t="array" ref="M79">IFERROR(INDEX('Work Items'!$T$6:$T$5000,SMALL(IF('Work Items'!$A$6:$A$5000="Risk",ROW('Work Items'!$A$6:$A$5000)-ROW('Work Items'!$A$6)+1),75)),"")</f>
        <v/>
      </c>
    </row>
    <row r="80">
      <c r="A80">
        <f t="array" ref="A80">IFERROR(INDEX('Work Items'!$A$6:$A$5000,SMALL(IF('Work Items'!$A$6:$A$5000="Risk",ROW('Work Items'!$A$6:$A$5000)-ROW('Work Items'!$A$6)+1),76)),"")</f>
        <v/>
      </c>
      <c r="B80">
        <f t="array" ref="B80">IFERROR(INDEX('Work Items'!$B$6:$B$5000,SMALL(IF('Work Items'!$A$6:$A$5000="Risk",ROW('Work Items'!$A$6:$A$5000)-ROW('Work Items'!$A$6)+1),76)),"")</f>
        <v/>
      </c>
      <c r="C80">
        <f>IF(E80="","",IFERROR(INDEX('Projects Master'!$A:$A,MATCH(E80,'Projects Master'!$B:$B,0)),"OrgRisk"))</f>
        <v/>
      </c>
      <c r="D80">
        <f t="array" ref="D80">IFERROR(INDEX('Work Items'!$C$6:$C$5000,SMALL(IF('Work Items'!$A$6:$A$5000="Risk",ROW('Work Items'!$A$6:$A$5000)-ROW('Work Items'!$A$6)+1),76)),"")</f>
        <v/>
      </c>
      <c r="E80">
        <f t="array" ref="E80">IFERROR(INDEX('Work Items'!$D$6:$D$5000,SMALL(IF('Work Items'!$A$6:$A$5000="Risk",ROW('Work Items'!$A$6:$A$5000)-ROW('Work Items'!$A$6)+1),76)),"")</f>
        <v/>
      </c>
      <c r="F80">
        <f t="array" ref="F80">IFERROR(INDEX('Work Items'!$E$6:$E$5000,SMALL(IF('Work Items'!$A$6:$A$5000="Risk",ROW('Work Items'!$A$6:$A$5000)-ROW('Work Items'!$A$6)+1),76)),"")</f>
        <v/>
      </c>
      <c r="G80">
        <f t="array" ref="G80">IFERROR(INDEX('Work Items'!$F$6:$F$5000,SMALL(IF('Work Items'!$A$6:$A$5000="Risk",ROW('Work Items'!$A$6:$A$5000)-ROW('Work Items'!$A$6)+1),76)),"")</f>
        <v/>
      </c>
      <c r="H80">
        <f t="array" ref="H80">IFERROR(INDEX('Work Items'!$J$6:$J$5000,SMALL(IF('Work Items'!$A$6:$A$5000="Risk",ROW('Work Items'!$A$6:$A$5000)-ROW('Work Items'!$A$6)+1),76)),"")</f>
        <v/>
      </c>
      <c r="I80">
        <f t="array" ref="I80">IFERROR(INDEX('Work Items'!$K$6:$K$5000,SMALL(IF('Work Items'!$A$6:$A$5000="Risk",ROW('Work Items'!$A$6:$A$5000)-ROW('Work Items'!$A$6)+1),76)),"")</f>
        <v/>
      </c>
      <c r="J80">
        <f t="array" ref="J80">IFERROR(INDEX('Work Items'!$L$6:$L$5000,SMALL(IF('Work Items'!$A$6:$A$5000="Risk",ROW('Work Items'!$A$6:$A$5000)-ROW('Work Items'!$A$6)+1),76)),"")</f>
        <v/>
      </c>
      <c r="K80">
        <f t="array" ref="K80">IFERROR(IF(AND(INDEX('Work Items'!$R$6:$R$5000,SMALL(IF('Work Items'!$A$6:$A$5000="Risk",ROW('Work Items'!$A$6:$A$5000)-ROW('Work Items'!$A$6)+1),76))&lt;&gt;"",INDEX('Work Items'!$S$6:$S$5000,SMALL(IF('Work Items'!$A$6:$A$5000="Risk",ROW('Work Items'!$A$6:$A$5000)-ROW('Work Items'!$A$6)+1),76))&lt;&gt;""),INDEX('Work Items'!$R$6:$R$5000,SMALL(IF('Work Items'!$A$6:$A$5000="Risk",ROW('Work Items'!$A$6:$A$5000)-ROW('Work Items'!$A$6)+1),76))*INDEX('Work Items'!$S$6:$S$5000,SMALL(IF('Work Items'!$A$6:$A$5000="Risk",ROW('Work Items'!$A$6:$A$5000)-ROW('Work Items'!$A$6)+1),76)),INDEX('Work Items'!$U$6:$U$5000,SMALL(IF('Work Items'!$A$6:$A$5000="Risk",ROW('Work Items'!$A$6:$A$5000)-ROW('Work Items'!$A$6)+1),76))),"")</f>
        <v/>
      </c>
      <c r="L80" s="217">
        <f t="array" ref="L80">IFERROR(INDEX('Work Items'!$Q$6:$Q$5000,SMALL(IF('Work Items'!$A$6:$A$5000="Risk",ROW('Work Items'!$A$6:$A$5000)-ROW('Work Items'!$A$6)+1),76)),"")</f>
        <v/>
      </c>
      <c r="M80">
        <f t="array" ref="M80">IFERROR(INDEX('Work Items'!$T$6:$T$5000,SMALL(IF('Work Items'!$A$6:$A$5000="Risk",ROW('Work Items'!$A$6:$A$5000)-ROW('Work Items'!$A$6)+1),76)),"")</f>
        <v/>
      </c>
    </row>
    <row r="81">
      <c r="A81">
        <f t="array" ref="A81">IFERROR(INDEX('Work Items'!$A$6:$A$5000,SMALL(IF('Work Items'!$A$6:$A$5000="Risk",ROW('Work Items'!$A$6:$A$5000)-ROW('Work Items'!$A$6)+1),77)),"")</f>
        <v/>
      </c>
      <c r="B81">
        <f t="array" ref="B81">IFERROR(INDEX('Work Items'!$B$6:$B$5000,SMALL(IF('Work Items'!$A$6:$A$5000="Risk",ROW('Work Items'!$A$6:$A$5000)-ROW('Work Items'!$A$6)+1),77)),"")</f>
        <v/>
      </c>
      <c r="C81">
        <f>IF(E81="","",IFERROR(INDEX('Projects Master'!$A:$A,MATCH(E81,'Projects Master'!$B:$B,0)),"OrgRisk"))</f>
        <v/>
      </c>
      <c r="D81">
        <f t="array" ref="D81">IFERROR(INDEX('Work Items'!$C$6:$C$5000,SMALL(IF('Work Items'!$A$6:$A$5000="Risk",ROW('Work Items'!$A$6:$A$5000)-ROW('Work Items'!$A$6)+1),77)),"")</f>
        <v/>
      </c>
      <c r="E81">
        <f t="array" ref="E81">IFERROR(INDEX('Work Items'!$D$6:$D$5000,SMALL(IF('Work Items'!$A$6:$A$5000="Risk",ROW('Work Items'!$A$6:$A$5000)-ROW('Work Items'!$A$6)+1),77)),"")</f>
        <v/>
      </c>
      <c r="F81">
        <f t="array" ref="F81">IFERROR(INDEX('Work Items'!$E$6:$E$5000,SMALL(IF('Work Items'!$A$6:$A$5000="Risk",ROW('Work Items'!$A$6:$A$5000)-ROW('Work Items'!$A$6)+1),77)),"")</f>
        <v/>
      </c>
      <c r="G81">
        <f t="array" ref="G81">IFERROR(INDEX('Work Items'!$F$6:$F$5000,SMALL(IF('Work Items'!$A$6:$A$5000="Risk",ROW('Work Items'!$A$6:$A$5000)-ROW('Work Items'!$A$6)+1),77)),"")</f>
        <v/>
      </c>
      <c r="H81">
        <f t="array" ref="H81">IFERROR(INDEX('Work Items'!$J$6:$J$5000,SMALL(IF('Work Items'!$A$6:$A$5000="Risk",ROW('Work Items'!$A$6:$A$5000)-ROW('Work Items'!$A$6)+1),77)),"")</f>
        <v/>
      </c>
      <c r="I81">
        <f t="array" ref="I81">IFERROR(INDEX('Work Items'!$K$6:$K$5000,SMALL(IF('Work Items'!$A$6:$A$5000="Risk",ROW('Work Items'!$A$6:$A$5000)-ROW('Work Items'!$A$6)+1),77)),"")</f>
        <v/>
      </c>
      <c r="J81">
        <f t="array" ref="J81">IFERROR(INDEX('Work Items'!$L$6:$L$5000,SMALL(IF('Work Items'!$A$6:$A$5000="Risk",ROW('Work Items'!$A$6:$A$5000)-ROW('Work Items'!$A$6)+1),77)),"")</f>
        <v/>
      </c>
      <c r="K81">
        <f t="array" ref="K81">IFERROR(IF(AND(INDEX('Work Items'!$R$6:$R$5000,SMALL(IF('Work Items'!$A$6:$A$5000="Risk",ROW('Work Items'!$A$6:$A$5000)-ROW('Work Items'!$A$6)+1),77))&lt;&gt;"",INDEX('Work Items'!$S$6:$S$5000,SMALL(IF('Work Items'!$A$6:$A$5000="Risk",ROW('Work Items'!$A$6:$A$5000)-ROW('Work Items'!$A$6)+1),77))&lt;&gt;""),INDEX('Work Items'!$R$6:$R$5000,SMALL(IF('Work Items'!$A$6:$A$5000="Risk",ROW('Work Items'!$A$6:$A$5000)-ROW('Work Items'!$A$6)+1),77))*INDEX('Work Items'!$S$6:$S$5000,SMALL(IF('Work Items'!$A$6:$A$5000="Risk",ROW('Work Items'!$A$6:$A$5000)-ROW('Work Items'!$A$6)+1),77)),INDEX('Work Items'!$U$6:$U$5000,SMALL(IF('Work Items'!$A$6:$A$5000="Risk",ROW('Work Items'!$A$6:$A$5000)-ROW('Work Items'!$A$6)+1),77))),"")</f>
        <v/>
      </c>
      <c r="L81" s="217">
        <f t="array" ref="L81">IFERROR(INDEX('Work Items'!$Q$6:$Q$5000,SMALL(IF('Work Items'!$A$6:$A$5000="Risk",ROW('Work Items'!$A$6:$A$5000)-ROW('Work Items'!$A$6)+1),77)),"")</f>
        <v/>
      </c>
      <c r="M81">
        <f t="array" ref="M81">IFERROR(INDEX('Work Items'!$T$6:$T$5000,SMALL(IF('Work Items'!$A$6:$A$5000="Risk",ROW('Work Items'!$A$6:$A$5000)-ROW('Work Items'!$A$6)+1),77)),"")</f>
        <v/>
      </c>
    </row>
    <row r="82">
      <c r="A82">
        <f t="array" ref="A82">IFERROR(INDEX('Work Items'!$A$6:$A$5000,SMALL(IF('Work Items'!$A$6:$A$5000="Risk",ROW('Work Items'!$A$6:$A$5000)-ROW('Work Items'!$A$6)+1),78)),"")</f>
        <v/>
      </c>
      <c r="B82">
        <f t="array" ref="B82">IFERROR(INDEX('Work Items'!$B$6:$B$5000,SMALL(IF('Work Items'!$A$6:$A$5000="Risk",ROW('Work Items'!$A$6:$A$5000)-ROW('Work Items'!$A$6)+1),78)),"")</f>
        <v/>
      </c>
      <c r="C82">
        <f>IF(E82="","",IFERROR(INDEX('Projects Master'!$A:$A,MATCH(E82,'Projects Master'!$B:$B,0)),"OrgRisk"))</f>
        <v/>
      </c>
      <c r="D82">
        <f t="array" ref="D82">IFERROR(INDEX('Work Items'!$C$6:$C$5000,SMALL(IF('Work Items'!$A$6:$A$5000="Risk",ROW('Work Items'!$A$6:$A$5000)-ROW('Work Items'!$A$6)+1),78)),"")</f>
        <v/>
      </c>
      <c r="E82">
        <f t="array" ref="E82">IFERROR(INDEX('Work Items'!$D$6:$D$5000,SMALL(IF('Work Items'!$A$6:$A$5000="Risk",ROW('Work Items'!$A$6:$A$5000)-ROW('Work Items'!$A$6)+1),78)),"")</f>
        <v/>
      </c>
      <c r="F82">
        <f t="array" ref="F82">IFERROR(INDEX('Work Items'!$E$6:$E$5000,SMALL(IF('Work Items'!$A$6:$A$5000="Risk",ROW('Work Items'!$A$6:$A$5000)-ROW('Work Items'!$A$6)+1),78)),"")</f>
        <v/>
      </c>
      <c r="G82">
        <f t="array" ref="G82">IFERROR(INDEX('Work Items'!$F$6:$F$5000,SMALL(IF('Work Items'!$A$6:$A$5000="Risk",ROW('Work Items'!$A$6:$A$5000)-ROW('Work Items'!$A$6)+1),78)),"")</f>
        <v/>
      </c>
      <c r="H82">
        <f t="array" ref="H82">IFERROR(INDEX('Work Items'!$J$6:$J$5000,SMALL(IF('Work Items'!$A$6:$A$5000="Risk",ROW('Work Items'!$A$6:$A$5000)-ROW('Work Items'!$A$6)+1),78)),"")</f>
        <v/>
      </c>
      <c r="I82">
        <f t="array" ref="I82">IFERROR(INDEX('Work Items'!$K$6:$K$5000,SMALL(IF('Work Items'!$A$6:$A$5000="Risk",ROW('Work Items'!$A$6:$A$5000)-ROW('Work Items'!$A$6)+1),78)),"")</f>
        <v/>
      </c>
      <c r="J82">
        <f t="array" ref="J82">IFERROR(INDEX('Work Items'!$L$6:$L$5000,SMALL(IF('Work Items'!$A$6:$A$5000="Risk",ROW('Work Items'!$A$6:$A$5000)-ROW('Work Items'!$A$6)+1),78)),"")</f>
        <v/>
      </c>
      <c r="K82">
        <f t="array" ref="K82">IFERROR(IF(AND(INDEX('Work Items'!$R$6:$R$5000,SMALL(IF('Work Items'!$A$6:$A$5000="Risk",ROW('Work Items'!$A$6:$A$5000)-ROW('Work Items'!$A$6)+1),78))&lt;&gt;"",INDEX('Work Items'!$S$6:$S$5000,SMALL(IF('Work Items'!$A$6:$A$5000="Risk",ROW('Work Items'!$A$6:$A$5000)-ROW('Work Items'!$A$6)+1),78))&lt;&gt;""),INDEX('Work Items'!$R$6:$R$5000,SMALL(IF('Work Items'!$A$6:$A$5000="Risk",ROW('Work Items'!$A$6:$A$5000)-ROW('Work Items'!$A$6)+1),78))*INDEX('Work Items'!$S$6:$S$5000,SMALL(IF('Work Items'!$A$6:$A$5000="Risk",ROW('Work Items'!$A$6:$A$5000)-ROW('Work Items'!$A$6)+1),78)),INDEX('Work Items'!$U$6:$U$5000,SMALL(IF('Work Items'!$A$6:$A$5000="Risk",ROW('Work Items'!$A$6:$A$5000)-ROW('Work Items'!$A$6)+1),78))),"")</f>
        <v/>
      </c>
      <c r="L82" s="217">
        <f t="array" ref="L82">IFERROR(INDEX('Work Items'!$Q$6:$Q$5000,SMALL(IF('Work Items'!$A$6:$A$5000="Risk",ROW('Work Items'!$A$6:$A$5000)-ROW('Work Items'!$A$6)+1),78)),"")</f>
        <v/>
      </c>
      <c r="M82">
        <f t="array" ref="M82">IFERROR(INDEX('Work Items'!$T$6:$T$5000,SMALL(IF('Work Items'!$A$6:$A$5000="Risk",ROW('Work Items'!$A$6:$A$5000)-ROW('Work Items'!$A$6)+1),78)),"")</f>
        <v/>
      </c>
    </row>
    <row r="83">
      <c r="A83">
        <f t="array" ref="A83">IFERROR(INDEX('Work Items'!$A$6:$A$5000,SMALL(IF('Work Items'!$A$6:$A$5000="Risk",ROW('Work Items'!$A$6:$A$5000)-ROW('Work Items'!$A$6)+1),79)),"")</f>
        <v/>
      </c>
      <c r="B83">
        <f t="array" ref="B83">IFERROR(INDEX('Work Items'!$B$6:$B$5000,SMALL(IF('Work Items'!$A$6:$A$5000="Risk",ROW('Work Items'!$A$6:$A$5000)-ROW('Work Items'!$A$6)+1),79)),"")</f>
        <v/>
      </c>
      <c r="C83">
        <f>IF(E83="","",IFERROR(INDEX('Projects Master'!$A:$A,MATCH(E83,'Projects Master'!$B:$B,0)),"OrgRisk"))</f>
        <v/>
      </c>
      <c r="D83">
        <f t="array" ref="D83">IFERROR(INDEX('Work Items'!$C$6:$C$5000,SMALL(IF('Work Items'!$A$6:$A$5000="Risk",ROW('Work Items'!$A$6:$A$5000)-ROW('Work Items'!$A$6)+1),79)),"")</f>
        <v/>
      </c>
      <c r="E83">
        <f t="array" ref="E83">IFERROR(INDEX('Work Items'!$D$6:$D$5000,SMALL(IF('Work Items'!$A$6:$A$5000="Risk",ROW('Work Items'!$A$6:$A$5000)-ROW('Work Items'!$A$6)+1),79)),"")</f>
        <v/>
      </c>
      <c r="F83">
        <f t="array" ref="F83">IFERROR(INDEX('Work Items'!$E$6:$E$5000,SMALL(IF('Work Items'!$A$6:$A$5000="Risk",ROW('Work Items'!$A$6:$A$5000)-ROW('Work Items'!$A$6)+1),79)),"")</f>
        <v/>
      </c>
      <c r="G83">
        <f t="array" ref="G83">IFERROR(INDEX('Work Items'!$F$6:$F$5000,SMALL(IF('Work Items'!$A$6:$A$5000="Risk",ROW('Work Items'!$A$6:$A$5000)-ROW('Work Items'!$A$6)+1),79)),"")</f>
        <v/>
      </c>
      <c r="H83">
        <f t="array" ref="H83">IFERROR(INDEX('Work Items'!$J$6:$J$5000,SMALL(IF('Work Items'!$A$6:$A$5000="Risk",ROW('Work Items'!$A$6:$A$5000)-ROW('Work Items'!$A$6)+1),79)),"")</f>
        <v/>
      </c>
      <c r="I83">
        <f t="array" ref="I83">IFERROR(INDEX('Work Items'!$K$6:$K$5000,SMALL(IF('Work Items'!$A$6:$A$5000="Risk",ROW('Work Items'!$A$6:$A$5000)-ROW('Work Items'!$A$6)+1),79)),"")</f>
        <v/>
      </c>
      <c r="J83">
        <f t="array" ref="J83">IFERROR(INDEX('Work Items'!$L$6:$L$5000,SMALL(IF('Work Items'!$A$6:$A$5000="Risk",ROW('Work Items'!$A$6:$A$5000)-ROW('Work Items'!$A$6)+1),79)),"")</f>
        <v/>
      </c>
      <c r="K83">
        <f t="array" ref="K83">IFERROR(IF(AND(INDEX('Work Items'!$R$6:$R$5000,SMALL(IF('Work Items'!$A$6:$A$5000="Risk",ROW('Work Items'!$A$6:$A$5000)-ROW('Work Items'!$A$6)+1),79))&lt;&gt;"",INDEX('Work Items'!$S$6:$S$5000,SMALL(IF('Work Items'!$A$6:$A$5000="Risk",ROW('Work Items'!$A$6:$A$5000)-ROW('Work Items'!$A$6)+1),79))&lt;&gt;""),INDEX('Work Items'!$R$6:$R$5000,SMALL(IF('Work Items'!$A$6:$A$5000="Risk",ROW('Work Items'!$A$6:$A$5000)-ROW('Work Items'!$A$6)+1),79))*INDEX('Work Items'!$S$6:$S$5000,SMALL(IF('Work Items'!$A$6:$A$5000="Risk",ROW('Work Items'!$A$6:$A$5000)-ROW('Work Items'!$A$6)+1),79)),INDEX('Work Items'!$U$6:$U$5000,SMALL(IF('Work Items'!$A$6:$A$5000="Risk",ROW('Work Items'!$A$6:$A$5000)-ROW('Work Items'!$A$6)+1),79))),"")</f>
        <v/>
      </c>
      <c r="L83" s="217">
        <f t="array" ref="L83">IFERROR(INDEX('Work Items'!$Q$6:$Q$5000,SMALL(IF('Work Items'!$A$6:$A$5000="Risk",ROW('Work Items'!$A$6:$A$5000)-ROW('Work Items'!$A$6)+1),79)),"")</f>
        <v/>
      </c>
      <c r="M83">
        <f t="array" ref="M83">IFERROR(INDEX('Work Items'!$T$6:$T$5000,SMALL(IF('Work Items'!$A$6:$A$5000="Risk",ROW('Work Items'!$A$6:$A$5000)-ROW('Work Items'!$A$6)+1),79)),"")</f>
        <v/>
      </c>
    </row>
    <row r="84">
      <c r="A84">
        <f t="array" ref="A84">IFERROR(INDEX('Work Items'!$A$6:$A$5000,SMALL(IF('Work Items'!$A$6:$A$5000="Risk",ROW('Work Items'!$A$6:$A$5000)-ROW('Work Items'!$A$6)+1),80)),"")</f>
        <v/>
      </c>
      <c r="B84">
        <f t="array" ref="B84">IFERROR(INDEX('Work Items'!$B$6:$B$5000,SMALL(IF('Work Items'!$A$6:$A$5000="Risk",ROW('Work Items'!$A$6:$A$5000)-ROW('Work Items'!$A$6)+1),80)),"")</f>
        <v/>
      </c>
      <c r="C84">
        <f>IF(E84="","",IFERROR(INDEX('Projects Master'!$A:$A,MATCH(E84,'Projects Master'!$B:$B,0)),"OrgRisk"))</f>
        <v/>
      </c>
      <c r="D84">
        <f t="array" ref="D84">IFERROR(INDEX('Work Items'!$C$6:$C$5000,SMALL(IF('Work Items'!$A$6:$A$5000="Risk",ROW('Work Items'!$A$6:$A$5000)-ROW('Work Items'!$A$6)+1),80)),"")</f>
        <v/>
      </c>
      <c r="E84">
        <f t="array" ref="E84">IFERROR(INDEX('Work Items'!$D$6:$D$5000,SMALL(IF('Work Items'!$A$6:$A$5000="Risk",ROW('Work Items'!$A$6:$A$5000)-ROW('Work Items'!$A$6)+1),80)),"")</f>
        <v/>
      </c>
      <c r="F84">
        <f t="array" ref="F84">IFERROR(INDEX('Work Items'!$E$6:$E$5000,SMALL(IF('Work Items'!$A$6:$A$5000="Risk",ROW('Work Items'!$A$6:$A$5000)-ROW('Work Items'!$A$6)+1),80)),"")</f>
        <v/>
      </c>
      <c r="G84">
        <f t="array" ref="G84">IFERROR(INDEX('Work Items'!$F$6:$F$5000,SMALL(IF('Work Items'!$A$6:$A$5000="Risk",ROW('Work Items'!$A$6:$A$5000)-ROW('Work Items'!$A$6)+1),80)),"")</f>
        <v/>
      </c>
      <c r="H84">
        <f t="array" ref="H84">IFERROR(INDEX('Work Items'!$J$6:$J$5000,SMALL(IF('Work Items'!$A$6:$A$5000="Risk",ROW('Work Items'!$A$6:$A$5000)-ROW('Work Items'!$A$6)+1),80)),"")</f>
        <v/>
      </c>
      <c r="I84">
        <f t="array" ref="I84">IFERROR(INDEX('Work Items'!$K$6:$K$5000,SMALL(IF('Work Items'!$A$6:$A$5000="Risk",ROW('Work Items'!$A$6:$A$5000)-ROW('Work Items'!$A$6)+1),80)),"")</f>
        <v/>
      </c>
      <c r="J84">
        <f t="array" ref="J84">IFERROR(INDEX('Work Items'!$L$6:$L$5000,SMALL(IF('Work Items'!$A$6:$A$5000="Risk",ROW('Work Items'!$A$6:$A$5000)-ROW('Work Items'!$A$6)+1),80)),"")</f>
        <v/>
      </c>
      <c r="K84">
        <f t="array" ref="K84">IFERROR(IF(AND(INDEX('Work Items'!$R$6:$R$5000,SMALL(IF('Work Items'!$A$6:$A$5000="Risk",ROW('Work Items'!$A$6:$A$5000)-ROW('Work Items'!$A$6)+1),80))&lt;&gt;"",INDEX('Work Items'!$S$6:$S$5000,SMALL(IF('Work Items'!$A$6:$A$5000="Risk",ROW('Work Items'!$A$6:$A$5000)-ROW('Work Items'!$A$6)+1),80))&lt;&gt;""),INDEX('Work Items'!$R$6:$R$5000,SMALL(IF('Work Items'!$A$6:$A$5000="Risk",ROW('Work Items'!$A$6:$A$5000)-ROW('Work Items'!$A$6)+1),80))*INDEX('Work Items'!$S$6:$S$5000,SMALL(IF('Work Items'!$A$6:$A$5000="Risk",ROW('Work Items'!$A$6:$A$5000)-ROW('Work Items'!$A$6)+1),80)),INDEX('Work Items'!$U$6:$U$5000,SMALL(IF('Work Items'!$A$6:$A$5000="Risk",ROW('Work Items'!$A$6:$A$5000)-ROW('Work Items'!$A$6)+1),80))),"")</f>
        <v/>
      </c>
      <c r="L84" s="217">
        <f t="array" ref="L84">IFERROR(INDEX('Work Items'!$Q$6:$Q$5000,SMALL(IF('Work Items'!$A$6:$A$5000="Risk",ROW('Work Items'!$A$6:$A$5000)-ROW('Work Items'!$A$6)+1),80)),"")</f>
        <v/>
      </c>
      <c r="M84">
        <f t="array" ref="M84">IFERROR(INDEX('Work Items'!$T$6:$T$5000,SMALL(IF('Work Items'!$A$6:$A$5000="Risk",ROW('Work Items'!$A$6:$A$5000)-ROW('Work Items'!$A$6)+1),80)),"")</f>
        <v/>
      </c>
    </row>
    <row r="85">
      <c r="A85">
        <f t="array" ref="A85">IFERROR(INDEX('Work Items'!$A$6:$A$5000,SMALL(IF('Work Items'!$A$6:$A$5000="Risk",ROW('Work Items'!$A$6:$A$5000)-ROW('Work Items'!$A$6)+1),81)),"")</f>
        <v/>
      </c>
      <c r="B85">
        <f t="array" ref="B85">IFERROR(INDEX('Work Items'!$B$6:$B$5000,SMALL(IF('Work Items'!$A$6:$A$5000="Risk",ROW('Work Items'!$A$6:$A$5000)-ROW('Work Items'!$A$6)+1),81)),"")</f>
        <v/>
      </c>
      <c r="C85">
        <f>IF(E85="","",IFERROR(INDEX('Projects Master'!$A:$A,MATCH(E85,'Projects Master'!$B:$B,0)),"OrgRisk"))</f>
        <v/>
      </c>
      <c r="D85">
        <f t="array" ref="D85">IFERROR(INDEX('Work Items'!$C$6:$C$5000,SMALL(IF('Work Items'!$A$6:$A$5000="Risk",ROW('Work Items'!$A$6:$A$5000)-ROW('Work Items'!$A$6)+1),81)),"")</f>
        <v/>
      </c>
      <c r="E85">
        <f t="array" ref="E85">IFERROR(INDEX('Work Items'!$D$6:$D$5000,SMALL(IF('Work Items'!$A$6:$A$5000="Risk",ROW('Work Items'!$A$6:$A$5000)-ROW('Work Items'!$A$6)+1),81)),"")</f>
        <v/>
      </c>
      <c r="F85">
        <f t="array" ref="F85">IFERROR(INDEX('Work Items'!$E$6:$E$5000,SMALL(IF('Work Items'!$A$6:$A$5000="Risk",ROW('Work Items'!$A$6:$A$5000)-ROW('Work Items'!$A$6)+1),81)),"")</f>
        <v/>
      </c>
      <c r="G85">
        <f t="array" ref="G85">IFERROR(INDEX('Work Items'!$F$6:$F$5000,SMALL(IF('Work Items'!$A$6:$A$5000="Risk",ROW('Work Items'!$A$6:$A$5000)-ROW('Work Items'!$A$6)+1),81)),"")</f>
        <v/>
      </c>
      <c r="H85">
        <f t="array" ref="H85">IFERROR(INDEX('Work Items'!$J$6:$J$5000,SMALL(IF('Work Items'!$A$6:$A$5000="Risk",ROW('Work Items'!$A$6:$A$5000)-ROW('Work Items'!$A$6)+1),81)),"")</f>
        <v/>
      </c>
      <c r="I85">
        <f t="array" ref="I85">IFERROR(INDEX('Work Items'!$K$6:$K$5000,SMALL(IF('Work Items'!$A$6:$A$5000="Risk",ROW('Work Items'!$A$6:$A$5000)-ROW('Work Items'!$A$6)+1),81)),"")</f>
        <v/>
      </c>
      <c r="J85">
        <f t="array" ref="J85">IFERROR(INDEX('Work Items'!$L$6:$L$5000,SMALL(IF('Work Items'!$A$6:$A$5000="Risk",ROW('Work Items'!$A$6:$A$5000)-ROW('Work Items'!$A$6)+1),81)),"")</f>
        <v/>
      </c>
      <c r="K85">
        <f t="array" ref="K85">IFERROR(IF(AND(INDEX('Work Items'!$R$6:$R$5000,SMALL(IF('Work Items'!$A$6:$A$5000="Risk",ROW('Work Items'!$A$6:$A$5000)-ROW('Work Items'!$A$6)+1),81))&lt;&gt;"",INDEX('Work Items'!$S$6:$S$5000,SMALL(IF('Work Items'!$A$6:$A$5000="Risk",ROW('Work Items'!$A$6:$A$5000)-ROW('Work Items'!$A$6)+1),81))&lt;&gt;""),INDEX('Work Items'!$R$6:$R$5000,SMALL(IF('Work Items'!$A$6:$A$5000="Risk",ROW('Work Items'!$A$6:$A$5000)-ROW('Work Items'!$A$6)+1),81))*INDEX('Work Items'!$S$6:$S$5000,SMALL(IF('Work Items'!$A$6:$A$5000="Risk",ROW('Work Items'!$A$6:$A$5000)-ROW('Work Items'!$A$6)+1),81)),INDEX('Work Items'!$U$6:$U$5000,SMALL(IF('Work Items'!$A$6:$A$5000="Risk",ROW('Work Items'!$A$6:$A$5000)-ROW('Work Items'!$A$6)+1),81))),"")</f>
        <v/>
      </c>
      <c r="L85" s="217">
        <f t="array" ref="L85">IFERROR(INDEX('Work Items'!$Q$6:$Q$5000,SMALL(IF('Work Items'!$A$6:$A$5000="Risk",ROW('Work Items'!$A$6:$A$5000)-ROW('Work Items'!$A$6)+1),81)),"")</f>
        <v/>
      </c>
      <c r="M85">
        <f t="array" ref="M85">IFERROR(INDEX('Work Items'!$T$6:$T$5000,SMALL(IF('Work Items'!$A$6:$A$5000="Risk",ROW('Work Items'!$A$6:$A$5000)-ROW('Work Items'!$A$6)+1),81)),"")</f>
        <v/>
      </c>
    </row>
    <row r="86">
      <c r="A86">
        <f t="array" ref="A86">IFERROR(INDEX('Work Items'!$A$6:$A$5000,SMALL(IF('Work Items'!$A$6:$A$5000="Risk",ROW('Work Items'!$A$6:$A$5000)-ROW('Work Items'!$A$6)+1),82)),"")</f>
        <v/>
      </c>
      <c r="B86">
        <f t="array" ref="B86">IFERROR(INDEX('Work Items'!$B$6:$B$5000,SMALL(IF('Work Items'!$A$6:$A$5000="Risk",ROW('Work Items'!$A$6:$A$5000)-ROW('Work Items'!$A$6)+1),82)),"")</f>
        <v/>
      </c>
      <c r="C86">
        <f>IF(E86="","",IFERROR(INDEX('Projects Master'!$A:$A,MATCH(E86,'Projects Master'!$B:$B,0)),"OrgRisk"))</f>
        <v/>
      </c>
      <c r="D86">
        <f t="array" ref="D86">IFERROR(INDEX('Work Items'!$C$6:$C$5000,SMALL(IF('Work Items'!$A$6:$A$5000="Risk",ROW('Work Items'!$A$6:$A$5000)-ROW('Work Items'!$A$6)+1),82)),"")</f>
        <v/>
      </c>
      <c r="E86">
        <f t="array" ref="E86">IFERROR(INDEX('Work Items'!$D$6:$D$5000,SMALL(IF('Work Items'!$A$6:$A$5000="Risk",ROW('Work Items'!$A$6:$A$5000)-ROW('Work Items'!$A$6)+1),82)),"")</f>
        <v/>
      </c>
      <c r="F86">
        <f t="array" ref="F86">IFERROR(INDEX('Work Items'!$E$6:$E$5000,SMALL(IF('Work Items'!$A$6:$A$5000="Risk",ROW('Work Items'!$A$6:$A$5000)-ROW('Work Items'!$A$6)+1),82)),"")</f>
        <v/>
      </c>
      <c r="G86">
        <f t="array" ref="G86">IFERROR(INDEX('Work Items'!$F$6:$F$5000,SMALL(IF('Work Items'!$A$6:$A$5000="Risk",ROW('Work Items'!$A$6:$A$5000)-ROW('Work Items'!$A$6)+1),82)),"")</f>
        <v/>
      </c>
      <c r="H86">
        <f t="array" ref="H86">IFERROR(INDEX('Work Items'!$J$6:$J$5000,SMALL(IF('Work Items'!$A$6:$A$5000="Risk",ROW('Work Items'!$A$6:$A$5000)-ROW('Work Items'!$A$6)+1),82)),"")</f>
        <v/>
      </c>
      <c r="I86">
        <f t="array" ref="I86">IFERROR(INDEX('Work Items'!$K$6:$K$5000,SMALL(IF('Work Items'!$A$6:$A$5000="Risk",ROW('Work Items'!$A$6:$A$5000)-ROW('Work Items'!$A$6)+1),82)),"")</f>
        <v/>
      </c>
      <c r="J86">
        <f t="array" ref="J86">IFERROR(INDEX('Work Items'!$L$6:$L$5000,SMALL(IF('Work Items'!$A$6:$A$5000="Risk",ROW('Work Items'!$A$6:$A$5000)-ROW('Work Items'!$A$6)+1),82)),"")</f>
        <v/>
      </c>
      <c r="K86">
        <f t="array" ref="K86">IFERROR(IF(AND(INDEX('Work Items'!$R$6:$R$5000,SMALL(IF('Work Items'!$A$6:$A$5000="Risk",ROW('Work Items'!$A$6:$A$5000)-ROW('Work Items'!$A$6)+1),82))&lt;&gt;"",INDEX('Work Items'!$S$6:$S$5000,SMALL(IF('Work Items'!$A$6:$A$5000="Risk",ROW('Work Items'!$A$6:$A$5000)-ROW('Work Items'!$A$6)+1),82))&lt;&gt;""),INDEX('Work Items'!$R$6:$R$5000,SMALL(IF('Work Items'!$A$6:$A$5000="Risk",ROW('Work Items'!$A$6:$A$5000)-ROW('Work Items'!$A$6)+1),82))*INDEX('Work Items'!$S$6:$S$5000,SMALL(IF('Work Items'!$A$6:$A$5000="Risk",ROW('Work Items'!$A$6:$A$5000)-ROW('Work Items'!$A$6)+1),82)),INDEX('Work Items'!$U$6:$U$5000,SMALL(IF('Work Items'!$A$6:$A$5000="Risk",ROW('Work Items'!$A$6:$A$5000)-ROW('Work Items'!$A$6)+1),82))),"")</f>
        <v/>
      </c>
      <c r="L86" s="217">
        <f t="array" ref="L86">IFERROR(INDEX('Work Items'!$Q$6:$Q$5000,SMALL(IF('Work Items'!$A$6:$A$5000="Risk",ROW('Work Items'!$A$6:$A$5000)-ROW('Work Items'!$A$6)+1),82)),"")</f>
        <v/>
      </c>
      <c r="M86">
        <f t="array" ref="M86">IFERROR(INDEX('Work Items'!$T$6:$T$5000,SMALL(IF('Work Items'!$A$6:$A$5000="Risk",ROW('Work Items'!$A$6:$A$5000)-ROW('Work Items'!$A$6)+1),82)),"")</f>
        <v/>
      </c>
    </row>
    <row r="87">
      <c r="A87">
        <f t="array" ref="A87">IFERROR(INDEX('Work Items'!$A$6:$A$5000,SMALL(IF('Work Items'!$A$6:$A$5000="Risk",ROW('Work Items'!$A$6:$A$5000)-ROW('Work Items'!$A$6)+1),83)),"")</f>
        <v/>
      </c>
      <c r="B87">
        <f t="array" ref="B87">IFERROR(INDEX('Work Items'!$B$6:$B$5000,SMALL(IF('Work Items'!$A$6:$A$5000="Risk",ROW('Work Items'!$A$6:$A$5000)-ROW('Work Items'!$A$6)+1),83)),"")</f>
        <v/>
      </c>
      <c r="C87">
        <f>IF(E87="","",IFERROR(INDEX('Projects Master'!$A:$A,MATCH(E87,'Projects Master'!$B:$B,0)),"OrgRisk"))</f>
        <v/>
      </c>
      <c r="D87">
        <f t="array" ref="D87">IFERROR(INDEX('Work Items'!$C$6:$C$5000,SMALL(IF('Work Items'!$A$6:$A$5000="Risk",ROW('Work Items'!$A$6:$A$5000)-ROW('Work Items'!$A$6)+1),83)),"")</f>
        <v/>
      </c>
      <c r="E87">
        <f t="array" ref="E87">IFERROR(INDEX('Work Items'!$D$6:$D$5000,SMALL(IF('Work Items'!$A$6:$A$5000="Risk",ROW('Work Items'!$A$6:$A$5000)-ROW('Work Items'!$A$6)+1),83)),"")</f>
        <v/>
      </c>
      <c r="F87">
        <f t="array" ref="F87">IFERROR(INDEX('Work Items'!$E$6:$E$5000,SMALL(IF('Work Items'!$A$6:$A$5000="Risk",ROW('Work Items'!$A$6:$A$5000)-ROW('Work Items'!$A$6)+1),83)),"")</f>
        <v/>
      </c>
      <c r="G87">
        <f t="array" ref="G87">IFERROR(INDEX('Work Items'!$F$6:$F$5000,SMALL(IF('Work Items'!$A$6:$A$5000="Risk",ROW('Work Items'!$A$6:$A$5000)-ROW('Work Items'!$A$6)+1),83)),"")</f>
        <v/>
      </c>
      <c r="H87">
        <f t="array" ref="H87">IFERROR(INDEX('Work Items'!$J$6:$J$5000,SMALL(IF('Work Items'!$A$6:$A$5000="Risk",ROW('Work Items'!$A$6:$A$5000)-ROW('Work Items'!$A$6)+1),83)),"")</f>
        <v/>
      </c>
      <c r="I87">
        <f t="array" ref="I87">IFERROR(INDEX('Work Items'!$K$6:$K$5000,SMALL(IF('Work Items'!$A$6:$A$5000="Risk",ROW('Work Items'!$A$6:$A$5000)-ROW('Work Items'!$A$6)+1),83)),"")</f>
        <v/>
      </c>
      <c r="J87">
        <f t="array" ref="J87">IFERROR(INDEX('Work Items'!$L$6:$L$5000,SMALL(IF('Work Items'!$A$6:$A$5000="Risk",ROW('Work Items'!$A$6:$A$5000)-ROW('Work Items'!$A$6)+1),83)),"")</f>
        <v/>
      </c>
      <c r="K87">
        <f t="array" ref="K87">IFERROR(IF(AND(INDEX('Work Items'!$R$6:$R$5000,SMALL(IF('Work Items'!$A$6:$A$5000="Risk",ROW('Work Items'!$A$6:$A$5000)-ROW('Work Items'!$A$6)+1),83))&lt;&gt;"",INDEX('Work Items'!$S$6:$S$5000,SMALL(IF('Work Items'!$A$6:$A$5000="Risk",ROW('Work Items'!$A$6:$A$5000)-ROW('Work Items'!$A$6)+1),83))&lt;&gt;""),INDEX('Work Items'!$R$6:$R$5000,SMALL(IF('Work Items'!$A$6:$A$5000="Risk",ROW('Work Items'!$A$6:$A$5000)-ROW('Work Items'!$A$6)+1),83))*INDEX('Work Items'!$S$6:$S$5000,SMALL(IF('Work Items'!$A$6:$A$5000="Risk",ROW('Work Items'!$A$6:$A$5000)-ROW('Work Items'!$A$6)+1),83)),INDEX('Work Items'!$U$6:$U$5000,SMALL(IF('Work Items'!$A$6:$A$5000="Risk",ROW('Work Items'!$A$6:$A$5000)-ROW('Work Items'!$A$6)+1),83))),"")</f>
        <v/>
      </c>
      <c r="L87" s="217">
        <f t="array" ref="L87">IFERROR(INDEX('Work Items'!$Q$6:$Q$5000,SMALL(IF('Work Items'!$A$6:$A$5000="Risk",ROW('Work Items'!$A$6:$A$5000)-ROW('Work Items'!$A$6)+1),83)),"")</f>
        <v/>
      </c>
      <c r="M87">
        <f t="array" ref="M87">IFERROR(INDEX('Work Items'!$T$6:$T$5000,SMALL(IF('Work Items'!$A$6:$A$5000="Risk",ROW('Work Items'!$A$6:$A$5000)-ROW('Work Items'!$A$6)+1),83)),"")</f>
        <v/>
      </c>
    </row>
    <row r="88">
      <c r="A88">
        <f t="array" ref="A88">IFERROR(INDEX('Work Items'!$A$6:$A$5000,SMALL(IF('Work Items'!$A$6:$A$5000="Risk",ROW('Work Items'!$A$6:$A$5000)-ROW('Work Items'!$A$6)+1),84)),"")</f>
        <v/>
      </c>
      <c r="B88">
        <f t="array" ref="B88">IFERROR(INDEX('Work Items'!$B$6:$B$5000,SMALL(IF('Work Items'!$A$6:$A$5000="Risk",ROW('Work Items'!$A$6:$A$5000)-ROW('Work Items'!$A$6)+1),84)),"")</f>
        <v/>
      </c>
      <c r="C88">
        <f>IF(E88="","",IFERROR(INDEX('Projects Master'!$A:$A,MATCH(E88,'Projects Master'!$B:$B,0)),"OrgRisk"))</f>
        <v/>
      </c>
      <c r="D88">
        <f t="array" ref="D88">IFERROR(INDEX('Work Items'!$C$6:$C$5000,SMALL(IF('Work Items'!$A$6:$A$5000="Risk",ROW('Work Items'!$A$6:$A$5000)-ROW('Work Items'!$A$6)+1),84)),"")</f>
        <v/>
      </c>
      <c r="E88">
        <f t="array" ref="E88">IFERROR(INDEX('Work Items'!$D$6:$D$5000,SMALL(IF('Work Items'!$A$6:$A$5000="Risk",ROW('Work Items'!$A$6:$A$5000)-ROW('Work Items'!$A$6)+1),84)),"")</f>
        <v/>
      </c>
      <c r="F88">
        <f t="array" ref="F88">IFERROR(INDEX('Work Items'!$E$6:$E$5000,SMALL(IF('Work Items'!$A$6:$A$5000="Risk",ROW('Work Items'!$A$6:$A$5000)-ROW('Work Items'!$A$6)+1),84)),"")</f>
        <v/>
      </c>
      <c r="G88">
        <f t="array" ref="G88">IFERROR(INDEX('Work Items'!$F$6:$F$5000,SMALL(IF('Work Items'!$A$6:$A$5000="Risk",ROW('Work Items'!$A$6:$A$5000)-ROW('Work Items'!$A$6)+1),84)),"")</f>
        <v/>
      </c>
      <c r="H88">
        <f t="array" ref="H88">IFERROR(INDEX('Work Items'!$J$6:$J$5000,SMALL(IF('Work Items'!$A$6:$A$5000="Risk",ROW('Work Items'!$A$6:$A$5000)-ROW('Work Items'!$A$6)+1),84)),"")</f>
        <v/>
      </c>
      <c r="I88">
        <f t="array" ref="I88">IFERROR(INDEX('Work Items'!$K$6:$K$5000,SMALL(IF('Work Items'!$A$6:$A$5000="Risk",ROW('Work Items'!$A$6:$A$5000)-ROW('Work Items'!$A$6)+1),84)),"")</f>
        <v/>
      </c>
      <c r="J88">
        <f t="array" ref="J88">IFERROR(INDEX('Work Items'!$L$6:$L$5000,SMALL(IF('Work Items'!$A$6:$A$5000="Risk",ROW('Work Items'!$A$6:$A$5000)-ROW('Work Items'!$A$6)+1),84)),"")</f>
        <v/>
      </c>
      <c r="K88">
        <f t="array" ref="K88">IFERROR(IF(AND(INDEX('Work Items'!$R$6:$R$5000,SMALL(IF('Work Items'!$A$6:$A$5000="Risk",ROW('Work Items'!$A$6:$A$5000)-ROW('Work Items'!$A$6)+1),84))&lt;&gt;"",INDEX('Work Items'!$S$6:$S$5000,SMALL(IF('Work Items'!$A$6:$A$5000="Risk",ROW('Work Items'!$A$6:$A$5000)-ROW('Work Items'!$A$6)+1),84))&lt;&gt;""),INDEX('Work Items'!$R$6:$R$5000,SMALL(IF('Work Items'!$A$6:$A$5000="Risk",ROW('Work Items'!$A$6:$A$5000)-ROW('Work Items'!$A$6)+1),84))*INDEX('Work Items'!$S$6:$S$5000,SMALL(IF('Work Items'!$A$6:$A$5000="Risk",ROW('Work Items'!$A$6:$A$5000)-ROW('Work Items'!$A$6)+1),84)),INDEX('Work Items'!$U$6:$U$5000,SMALL(IF('Work Items'!$A$6:$A$5000="Risk",ROW('Work Items'!$A$6:$A$5000)-ROW('Work Items'!$A$6)+1),84))),"")</f>
        <v/>
      </c>
      <c r="L88" s="217">
        <f t="array" ref="L88">IFERROR(INDEX('Work Items'!$Q$6:$Q$5000,SMALL(IF('Work Items'!$A$6:$A$5000="Risk",ROW('Work Items'!$A$6:$A$5000)-ROW('Work Items'!$A$6)+1),84)),"")</f>
        <v/>
      </c>
      <c r="M88">
        <f t="array" ref="M88">IFERROR(INDEX('Work Items'!$T$6:$T$5000,SMALL(IF('Work Items'!$A$6:$A$5000="Risk",ROW('Work Items'!$A$6:$A$5000)-ROW('Work Items'!$A$6)+1),84)),"")</f>
        <v/>
      </c>
    </row>
    <row r="89">
      <c r="A89">
        <f t="array" ref="A89">IFERROR(INDEX('Work Items'!$A$6:$A$5000,SMALL(IF('Work Items'!$A$6:$A$5000="Risk",ROW('Work Items'!$A$6:$A$5000)-ROW('Work Items'!$A$6)+1),85)),"")</f>
        <v/>
      </c>
      <c r="B89">
        <f t="array" ref="B89">IFERROR(INDEX('Work Items'!$B$6:$B$5000,SMALL(IF('Work Items'!$A$6:$A$5000="Risk",ROW('Work Items'!$A$6:$A$5000)-ROW('Work Items'!$A$6)+1),85)),"")</f>
        <v/>
      </c>
      <c r="C89">
        <f>IF(E89="","",IFERROR(INDEX('Projects Master'!$A:$A,MATCH(E89,'Projects Master'!$B:$B,0)),"OrgRisk"))</f>
        <v/>
      </c>
      <c r="D89">
        <f t="array" ref="D89">IFERROR(INDEX('Work Items'!$C$6:$C$5000,SMALL(IF('Work Items'!$A$6:$A$5000="Risk",ROW('Work Items'!$A$6:$A$5000)-ROW('Work Items'!$A$6)+1),85)),"")</f>
        <v/>
      </c>
      <c r="E89">
        <f t="array" ref="E89">IFERROR(INDEX('Work Items'!$D$6:$D$5000,SMALL(IF('Work Items'!$A$6:$A$5000="Risk",ROW('Work Items'!$A$6:$A$5000)-ROW('Work Items'!$A$6)+1),85)),"")</f>
        <v/>
      </c>
      <c r="F89">
        <f t="array" ref="F89">IFERROR(INDEX('Work Items'!$E$6:$E$5000,SMALL(IF('Work Items'!$A$6:$A$5000="Risk",ROW('Work Items'!$A$6:$A$5000)-ROW('Work Items'!$A$6)+1),85)),"")</f>
        <v/>
      </c>
      <c r="G89">
        <f t="array" ref="G89">IFERROR(INDEX('Work Items'!$F$6:$F$5000,SMALL(IF('Work Items'!$A$6:$A$5000="Risk",ROW('Work Items'!$A$6:$A$5000)-ROW('Work Items'!$A$6)+1),85)),"")</f>
        <v/>
      </c>
      <c r="H89">
        <f t="array" ref="H89">IFERROR(INDEX('Work Items'!$J$6:$J$5000,SMALL(IF('Work Items'!$A$6:$A$5000="Risk",ROW('Work Items'!$A$6:$A$5000)-ROW('Work Items'!$A$6)+1),85)),"")</f>
        <v/>
      </c>
      <c r="I89">
        <f t="array" ref="I89">IFERROR(INDEX('Work Items'!$K$6:$K$5000,SMALL(IF('Work Items'!$A$6:$A$5000="Risk",ROW('Work Items'!$A$6:$A$5000)-ROW('Work Items'!$A$6)+1),85)),"")</f>
        <v/>
      </c>
      <c r="J89">
        <f t="array" ref="J89">IFERROR(INDEX('Work Items'!$L$6:$L$5000,SMALL(IF('Work Items'!$A$6:$A$5000="Risk",ROW('Work Items'!$A$6:$A$5000)-ROW('Work Items'!$A$6)+1),85)),"")</f>
        <v/>
      </c>
      <c r="K89">
        <f t="array" ref="K89">IFERROR(IF(AND(INDEX('Work Items'!$R$6:$R$5000,SMALL(IF('Work Items'!$A$6:$A$5000="Risk",ROW('Work Items'!$A$6:$A$5000)-ROW('Work Items'!$A$6)+1),85))&lt;&gt;"",INDEX('Work Items'!$S$6:$S$5000,SMALL(IF('Work Items'!$A$6:$A$5000="Risk",ROW('Work Items'!$A$6:$A$5000)-ROW('Work Items'!$A$6)+1),85))&lt;&gt;""),INDEX('Work Items'!$R$6:$R$5000,SMALL(IF('Work Items'!$A$6:$A$5000="Risk",ROW('Work Items'!$A$6:$A$5000)-ROW('Work Items'!$A$6)+1),85))*INDEX('Work Items'!$S$6:$S$5000,SMALL(IF('Work Items'!$A$6:$A$5000="Risk",ROW('Work Items'!$A$6:$A$5000)-ROW('Work Items'!$A$6)+1),85)),INDEX('Work Items'!$U$6:$U$5000,SMALL(IF('Work Items'!$A$6:$A$5000="Risk",ROW('Work Items'!$A$6:$A$5000)-ROW('Work Items'!$A$6)+1),85))),"")</f>
        <v/>
      </c>
      <c r="L89" s="217">
        <f t="array" ref="L89">IFERROR(INDEX('Work Items'!$Q$6:$Q$5000,SMALL(IF('Work Items'!$A$6:$A$5000="Risk",ROW('Work Items'!$A$6:$A$5000)-ROW('Work Items'!$A$6)+1),85)),"")</f>
        <v/>
      </c>
      <c r="M89">
        <f t="array" ref="M89">IFERROR(INDEX('Work Items'!$T$6:$T$5000,SMALL(IF('Work Items'!$A$6:$A$5000="Risk",ROW('Work Items'!$A$6:$A$5000)-ROW('Work Items'!$A$6)+1),85)),"")</f>
        <v/>
      </c>
    </row>
    <row r="90">
      <c r="A90">
        <f t="array" ref="A90">IFERROR(INDEX('Work Items'!$A$6:$A$5000,SMALL(IF('Work Items'!$A$6:$A$5000="Risk",ROW('Work Items'!$A$6:$A$5000)-ROW('Work Items'!$A$6)+1),86)),"")</f>
        <v/>
      </c>
      <c r="B90">
        <f t="array" ref="B90">IFERROR(INDEX('Work Items'!$B$6:$B$5000,SMALL(IF('Work Items'!$A$6:$A$5000="Risk",ROW('Work Items'!$A$6:$A$5000)-ROW('Work Items'!$A$6)+1),86)),"")</f>
        <v/>
      </c>
      <c r="C90">
        <f>IF(E90="","",IFERROR(INDEX('Projects Master'!$A:$A,MATCH(E90,'Projects Master'!$B:$B,0)),"OrgRisk"))</f>
        <v/>
      </c>
      <c r="D90">
        <f t="array" ref="D90">IFERROR(INDEX('Work Items'!$C$6:$C$5000,SMALL(IF('Work Items'!$A$6:$A$5000="Risk",ROW('Work Items'!$A$6:$A$5000)-ROW('Work Items'!$A$6)+1),86)),"")</f>
        <v/>
      </c>
      <c r="E90">
        <f t="array" ref="E90">IFERROR(INDEX('Work Items'!$D$6:$D$5000,SMALL(IF('Work Items'!$A$6:$A$5000="Risk",ROW('Work Items'!$A$6:$A$5000)-ROW('Work Items'!$A$6)+1),86)),"")</f>
        <v/>
      </c>
      <c r="F90">
        <f t="array" ref="F90">IFERROR(INDEX('Work Items'!$E$6:$E$5000,SMALL(IF('Work Items'!$A$6:$A$5000="Risk",ROW('Work Items'!$A$6:$A$5000)-ROW('Work Items'!$A$6)+1),86)),"")</f>
        <v/>
      </c>
      <c r="G90">
        <f t="array" ref="G90">IFERROR(INDEX('Work Items'!$F$6:$F$5000,SMALL(IF('Work Items'!$A$6:$A$5000="Risk",ROW('Work Items'!$A$6:$A$5000)-ROW('Work Items'!$A$6)+1),86)),"")</f>
        <v/>
      </c>
      <c r="H90">
        <f t="array" ref="H90">IFERROR(INDEX('Work Items'!$J$6:$J$5000,SMALL(IF('Work Items'!$A$6:$A$5000="Risk",ROW('Work Items'!$A$6:$A$5000)-ROW('Work Items'!$A$6)+1),86)),"")</f>
        <v/>
      </c>
      <c r="I90">
        <f t="array" ref="I90">IFERROR(INDEX('Work Items'!$K$6:$K$5000,SMALL(IF('Work Items'!$A$6:$A$5000="Risk",ROW('Work Items'!$A$6:$A$5000)-ROW('Work Items'!$A$6)+1),86)),"")</f>
        <v/>
      </c>
      <c r="J90">
        <f t="array" ref="J90">IFERROR(INDEX('Work Items'!$L$6:$L$5000,SMALL(IF('Work Items'!$A$6:$A$5000="Risk",ROW('Work Items'!$A$6:$A$5000)-ROW('Work Items'!$A$6)+1),86)),"")</f>
        <v/>
      </c>
      <c r="K90">
        <f t="array" ref="K90">IFERROR(IF(AND(INDEX('Work Items'!$R$6:$R$5000,SMALL(IF('Work Items'!$A$6:$A$5000="Risk",ROW('Work Items'!$A$6:$A$5000)-ROW('Work Items'!$A$6)+1),86))&lt;&gt;"",INDEX('Work Items'!$S$6:$S$5000,SMALL(IF('Work Items'!$A$6:$A$5000="Risk",ROW('Work Items'!$A$6:$A$5000)-ROW('Work Items'!$A$6)+1),86))&lt;&gt;""),INDEX('Work Items'!$R$6:$R$5000,SMALL(IF('Work Items'!$A$6:$A$5000="Risk",ROW('Work Items'!$A$6:$A$5000)-ROW('Work Items'!$A$6)+1),86))*INDEX('Work Items'!$S$6:$S$5000,SMALL(IF('Work Items'!$A$6:$A$5000="Risk",ROW('Work Items'!$A$6:$A$5000)-ROW('Work Items'!$A$6)+1),86)),INDEX('Work Items'!$U$6:$U$5000,SMALL(IF('Work Items'!$A$6:$A$5000="Risk",ROW('Work Items'!$A$6:$A$5000)-ROW('Work Items'!$A$6)+1),86))),"")</f>
        <v/>
      </c>
      <c r="L90" s="217">
        <f t="array" ref="L90">IFERROR(INDEX('Work Items'!$Q$6:$Q$5000,SMALL(IF('Work Items'!$A$6:$A$5000="Risk",ROW('Work Items'!$A$6:$A$5000)-ROW('Work Items'!$A$6)+1),86)),"")</f>
        <v/>
      </c>
      <c r="M90">
        <f t="array" ref="M90">IFERROR(INDEX('Work Items'!$T$6:$T$5000,SMALL(IF('Work Items'!$A$6:$A$5000="Risk",ROW('Work Items'!$A$6:$A$5000)-ROW('Work Items'!$A$6)+1),86)),"")</f>
        <v/>
      </c>
    </row>
    <row r="91">
      <c r="A91">
        <f t="array" ref="A91">IFERROR(INDEX('Work Items'!$A$6:$A$5000,SMALL(IF('Work Items'!$A$6:$A$5000="Risk",ROW('Work Items'!$A$6:$A$5000)-ROW('Work Items'!$A$6)+1),87)),"")</f>
        <v/>
      </c>
      <c r="B91">
        <f t="array" ref="B91">IFERROR(INDEX('Work Items'!$B$6:$B$5000,SMALL(IF('Work Items'!$A$6:$A$5000="Risk",ROW('Work Items'!$A$6:$A$5000)-ROW('Work Items'!$A$6)+1),87)),"")</f>
        <v/>
      </c>
      <c r="C91">
        <f>IF(E91="","",IFERROR(INDEX('Projects Master'!$A:$A,MATCH(E91,'Projects Master'!$B:$B,0)),"OrgRisk"))</f>
        <v/>
      </c>
      <c r="D91">
        <f t="array" ref="D91">IFERROR(INDEX('Work Items'!$C$6:$C$5000,SMALL(IF('Work Items'!$A$6:$A$5000="Risk",ROW('Work Items'!$A$6:$A$5000)-ROW('Work Items'!$A$6)+1),87)),"")</f>
        <v/>
      </c>
      <c r="E91">
        <f t="array" ref="E91">IFERROR(INDEX('Work Items'!$D$6:$D$5000,SMALL(IF('Work Items'!$A$6:$A$5000="Risk",ROW('Work Items'!$A$6:$A$5000)-ROW('Work Items'!$A$6)+1),87)),"")</f>
        <v/>
      </c>
      <c r="F91">
        <f t="array" ref="F91">IFERROR(INDEX('Work Items'!$E$6:$E$5000,SMALL(IF('Work Items'!$A$6:$A$5000="Risk",ROW('Work Items'!$A$6:$A$5000)-ROW('Work Items'!$A$6)+1),87)),"")</f>
        <v/>
      </c>
      <c r="G91">
        <f t="array" ref="G91">IFERROR(INDEX('Work Items'!$F$6:$F$5000,SMALL(IF('Work Items'!$A$6:$A$5000="Risk",ROW('Work Items'!$A$6:$A$5000)-ROW('Work Items'!$A$6)+1),87)),"")</f>
        <v/>
      </c>
      <c r="H91">
        <f t="array" ref="H91">IFERROR(INDEX('Work Items'!$J$6:$J$5000,SMALL(IF('Work Items'!$A$6:$A$5000="Risk",ROW('Work Items'!$A$6:$A$5000)-ROW('Work Items'!$A$6)+1),87)),"")</f>
        <v/>
      </c>
      <c r="I91">
        <f t="array" ref="I91">IFERROR(INDEX('Work Items'!$K$6:$K$5000,SMALL(IF('Work Items'!$A$6:$A$5000="Risk",ROW('Work Items'!$A$6:$A$5000)-ROW('Work Items'!$A$6)+1),87)),"")</f>
        <v/>
      </c>
      <c r="J91">
        <f t="array" ref="J91">IFERROR(INDEX('Work Items'!$L$6:$L$5000,SMALL(IF('Work Items'!$A$6:$A$5000="Risk",ROW('Work Items'!$A$6:$A$5000)-ROW('Work Items'!$A$6)+1),87)),"")</f>
        <v/>
      </c>
      <c r="K91">
        <f t="array" ref="K91">IFERROR(IF(AND(INDEX('Work Items'!$R$6:$R$5000,SMALL(IF('Work Items'!$A$6:$A$5000="Risk",ROW('Work Items'!$A$6:$A$5000)-ROW('Work Items'!$A$6)+1),87))&lt;&gt;"",INDEX('Work Items'!$S$6:$S$5000,SMALL(IF('Work Items'!$A$6:$A$5000="Risk",ROW('Work Items'!$A$6:$A$5000)-ROW('Work Items'!$A$6)+1),87))&lt;&gt;""),INDEX('Work Items'!$R$6:$R$5000,SMALL(IF('Work Items'!$A$6:$A$5000="Risk",ROW('Work Items'!$A$6:$A$5000)-ROW('Work Items'!$A$6)+1),87))*INDEX('Work Items'!$S$6:$S$5000,SMALL(IF('Work Items'!$A$6:$A$5000="Risk",ROW('Work Items'!$A$6:$A$5000)-ROW('Work Items'!$A$6)+1),87)),INDEX('Work Items'!$U$6:$U$5000,SMALL(IF('Work Items'!$A$6:$A$5000="Risk",ROW('Work Items'!$A$6:$A$5000)-ROW('Work Items'!$A$6)+1),87))),"")</f>
        <v/>
      </c>
      <c r="L91" s="217">
        <f t="array" ref="L91">IFERROR(INDEX('Work Items'!$Q$6:$Q$5000,SMALL(IF('Work Items'!$A$6:$A$5000="Risk",ROW('Work Items'!$A$6:$A$5000)-ROW('Work Items'!$A$6)+1),87)),"")</f>
        <v/>
      </c>
      <c r="M91">
        <f t="array" ref="M91">IFERROR(INDEX('Work Items'!$T$6:$T$5000,SMALL(IF('Work Items'!$A$6:$A$5000="Risk",ROW('Work Items'!$A$6:$A$5000)-ROW('Work Items'!$A$6)+1),87)),"")</f>
        <v/>
      </c>
    </row>
    <row r="92">
      <c r="A92">
        <f t="array" ref="A92">IFERROR(INDEX('Work Items'!$A$6:$A$5000,SMALL(IF('Work Items'!$A$6:$A$5000="Risk",ROW('Work Items'!$A$6:$A$5000)-ROW('Work Items'!$A$6)+1),88)),"")</f>
        <v/>
      </c>
      <c r="B92">
        <f t="array" ref="B92">IFERROR(INDEX('Work Items'!$B$6:$B$5000,SMALL(IF('Work Items'!$A$6:$A$5000="Risk",ROW('Work Items'!$A$6:$A$5000)-ROW('Work Items'!$A$6)+1),88)),"")</f>
        <v/>
      </c>
      <c r="C92">
        <f>IF(E92="","",IFERROR(INDEX('Projects Master'!$A:$A,MATCH(E92,'Projects Master'!$B:$B,0)),"OrgRisk"))</f>
        <v/>
      </c>
      <c r="D92">
        <f t="array" ref="D92">IFERROR(INDEX('Work Items'!$C$6:$C$5000,SMALL(IF('Work Items'!$A$6:$A$5000="Risk",ROW('Work Items'!$A$6:$A$5000)-ROW('Work Items'!$A$6)+1),88)),"")</f>
        <v/>
      </c>
      <c r="E92">
        <f t="array" ref="E92">IFERROR(INDEX('Work Items'!$D$6:$D$5000,SMALL(IF('Work Items'!$A$6:$A$5000="Risk",ROW('Work Items'!$A$6:$A$5000)-ROW('Work Items'!$A$6)+1),88)),"")</f>
        <v/>
      </c>
      <c r="F92">
        <f t="array" ref="F92">IFERROR(INDEX('Work Items'!$E$6:$E$5000,SMALL(IF('Work Items'!$A$6:$A$5000="Risk",ROW('Work Items'!$A$6:$A$5000)-ROW('Work Items'!$A$6)+1),88)),"")</f>
        <v/>
      </c>
      <c r="G92">
        <f t="array" ref="G92">IFERROR(INDEX('Work Items'!$F$6:$F$5000,SMALL(IF('Work Items'!$A$6:$A$5000="Risk",ROW('Work Items'!$A$6:$A$5000)-ROW('Work Items'!$A$6)+1),88)),"")</f>
        <v/>
      </c>
      <c r="H92">
        <f t="array" ref="H92">IFERROR(INDEX('Work Items'!$J$6:$J$5000,SMALL(IF('Work Items'!$A$6:$A$5000="Risk",ROW('Work Items'!$A$6:$A$5000)-ROW('Work Items'!$A$6)+1),88)),"")</f>
        <v/>
      </c>
      <c r="I92">
        <f t="array" ref="I92">IFERROR(INDEX('Work Items'!$K$6:$K$5000,SMALL(IF('Work Items'!$A$6:$A$5000="Risk",ROW('Work Items'!$A$6:$A$5000)-ROW('Work Items'!$A$6)+1),88)),"")</f>
        <v/>
      </c>
      <c r="J92">
        <f t="array" ref="J92">IFERROR(INDEX('Work Items'!$L$6:$L$5000,SMALL(IF('Work Items'!$A$6:$A$5000="Risk",ROW('Work Items'!$A$6:$A$5000)-ROW('Work Items'!$A$6)+1),88)),"")</f>
        <v/>
      </c>
      <c r="K92">
        <f t="array" ref="K92">IFERROR(IF(AND(INDEX('Work Items'!$R$6:$R$5000,SMALL(IF('Work Items'!$A$6:$A$5000="Risk",ROW('Work Items'!$A$6:$A$5000)-ROW('Work Items'!$A$6)+1),88))&lt;&gt;"",INDEX('Work Items'!$S$6:$S$5000,SMALL(IF('Work Items'!$A$6:$A$5000="Risk",ROW('Work Items'!$A$6:$A$5000)-ROW('Work Items'!$A$6)+1),88))&lt;&gt;""),INDEX('Work Items'!$R$6:$R$5000,SMALL(IF('Work Items'!$A$6:$A$5000="Risk",ROW('Work Items'!$A$6:$A$5000)-ROW('Work Items'!$A$6)+1),88))*INDEX('Work Items'!$S$6:$S$5000,SMALL(IF('Work Items'!$A$6:$A$5000="Risk",ROW('Work Items'!$A$6:$A$5000)-ROW('Work Items'!$A$6)+1),88)),INDEX('Work Items'!$U$6:$U$5000,SMALL(IF('Work Items'!$A$6:$A$5000="Risk",ROW('Work Items'!$A$6:$A$5000)-ROW('Work Items'!$A$6)+1),88))),"")</f>
        <v/>
      </c>
      <c r="L92" s="217">
        <f t="array" ref="L92">IFERROR(INDEX('Work Items'!$Q$6:$Q$5000,SMALL(IF('Work Items'!$A$6:$A$5000="Risk",ROW('Work Items'!$A$6:$A$5000)-ROW('Work Items'!$A$6)+1),88)),"")</f>
        <v/>
      </c>
      <c r="M92">
        <f t="array" ref="M92">IFERROR(INDEX('Work Items'!$T$6:$T$5000,SMALL(IF('Work Items'!$A$6:$A$5000="Risk",ROW('Work Items'!$A$6:$A$5000)-ROW('Work Items'!$A$6)+1),88)),"")</f>
        <v/>
      </c>
    </row>
    <row r="93">
      <c r="A93">
        <f t="array" ref="A93">IFERROR(INDEX('Work Items'!$A$6:$A$5000,SMALL(IF('Work Items'!$A$6:$A$5000="Risk",ROW('Work Items'!$A$6:$A$5000)-ROW('Work Items'!$A$6)+1),89)),"")</f>
        <v/>
      </c>
      <c r="B93">
        <f t="array" ref="B93">IFERROR(INDEX('Work Items'!$B$6:$B$5000,SMALL(IF('Work Items'!$A$6:$A$5000="Risk",ROW('Work Items'!$A$6:$A$5000)-ROW('Work Items'!$A$6)+1),89)),"")</f>
        <v/>
      </c>
      <c r="C93">
        <f>IF(E93="","",IFERROR(INDEX('Projects Master'!$A:$A,MATCH(E93,'Projects Master'!$B:$B,0)),"OrgRisk"))</f>
        <v/>
      </c>
      <c r="D93">
        <f t="array" ref="D93">IFERROR(INDEX('Work Items'!$C$6:$C$5000,SMALL(IF('Work Items'!$A$6:$A$5000="Risk",ROW('Work Items'!$A$6:$A$5000)-ROW('Work Items'!$A$6)+1),89)),"")</f>
        <v/>
      </c>
      <c r="E93">
        <f t="array" ref="E93">IFERROR(INDEX('Work Items'!$D$6:$D$5000,SMALL(IF('Work Items'!$A$6:$A$5000="Risk",ROW('Work Items'!$A$6:$A$5000)-ROW('Work Items'!$A$6)+1),89)),"")</f>
        <v/>
      </c>
      <c r="F93">
        <f t="array" ref="F93">IFERROR(INDEX('Work Items'!$E$6:$E$5000,SMALL(IF('Work Items'!$A$6:$A$5000="Risk",ROW('Work Items'!$A$6:$A$5000)-ROW('Work Items'!$A$6)+1),89)),"")</f>
        <v/>
      </c>
      <c r="G93">
        <f t="array" ref="G93">IFERROR(INDEX('Work Items'!$F$6:$F$5000,SMALL(IF('Work Items'!$A$6:$A$5000="Risk",ROW('Work Items'!$A$6:$A$5000)-ROW('Work Items'!$A$6)+1),89)),"")</f>
        <v/>
      </c>
      <c r="H93">
        <f t="array" ref="H93">IFERROR(INDEX('Work Items'!$J$6:$J$5000,SMALL(IF('Work Items'!$A$6:$A$5000="Risk",ROW('Work Items'!$A$6:$A$5000)-ROW('Work Items'!$A$6)+1),89)),"")</f>
        <v/>
      </c>
      <c r="I93">
        <f t="array" ref="I93">IFERROR(INDEX('Work Items'!$K$6:$K$5000,SMALL(IF('Work Items'!$A$6:$A$5000="Risk",ROW('Work Items'!$A$6:$A$5000)-ROW('Work Items'!$A$6)+1),89)),"")</f>
        <v/>
      </c>
      <c r="J93">
        <f t="array" ref="J93">IFERROR(INDEX('Work Items'!$L$6:$L$5000,SMALL(IF('Work Items'!$A$6:$A$5000="Risk",ROW('Work Items'!$A$6:$A$5000)-ROW('Work Items'!$A$6)+1),89)),"")</f>
        <v/>
      </c>
      <c r="K93">
        <f t="array" ref="K93">IFERROR(IF(AND(INDEX('Work Items'!$R$6:$R$5000,SMALL(IF('Work Items'!$A$6:$A$5000="Risk",ROW('Work Items'!$A$6:$A$5000)-ROW('Work Items'!$A$6)+1),89))&lt;&gt;"",INDEX('Work Items'!$S$6:$S$5000,SMALL(IF('Work Items'!$A$6:$A$5000="Risk",ROW('Work Items'!$A$6:$A$5000)-ROW('Work Items'!$A$6)+1),89))&lt;&gt;""),INDEX('Work Items'!$R$6:$R$5000,SMALL(IF('Work Items'!$A$6:$A$5000="Risk",ROW('Work Items'!$A$6:$A$5000)-ROW('Work Items'!$A$6)+1),89))*INDEX('Work Items'!$S$6:$S$5000,SMALL(IF('Work Items'!$A$6:$A$5000="Risk",ROW('Work Items'!$A$6:$A$5000)-ROW('Work Items'!$A$6)+1),89)),INDEX('Work Items'!$U$6:$U$5000,SMALL(IF('Work Items'!$A$6:$A$5000="Risk",ROW('Work Items'!$A$6:$A$5000)-ROW('Work Items'!$A$6)+1),89))),"")</f>
        <v/>
      </c>
      <c r="L93" s="217">
        <f t="array" ref="L93">IFERROR(INDEX('Work Items'!$Q$6:$Q$5000,SMALL(IF('Work Items'!$A$6:$A$5000="Risk",ROW('Work Items'!$A$6:$A$5000)-ROW('Work Items'!$A$6)+1),89)),"")</f>
        <v/>
      </c>
      <c r="M93">
        <f t="array" ref="M93">IFERROR(INDEX('Work Items'!$T$6:$T$5000,SMALL(IF('Work Items'!$A$6:$A$5000="Risk",ROW('Work Items'!$A$6:$A$5000)-ROW('Work Items'!$A$6)+1),89)),"")</f>
        <v/>
      </c>
    </row>
    <row r="94">
      <c r="A94">
        <f t="array" ref="A94">IFERROR(INDEX('Work Items'!$A$6:$A$5000,SMALL(IF('Work Items'!$A$6:$A$5000="Risk",ROW('Work Items'!$A$6:$A$5000)-ROW('Work Items'!$A$6)+1),90)),"")</f>
        <v/>
      </c>
      <c r="B94">
        <f t="array" ref="B94">IFERROR(INDEX('Work Items'!$B$6:$B$5000,SMALL(IF('Work Items'!$A$6:$A$5000="Risk",ROW('Work Items'!$A$6:$A$5000)-ROW('Work Items'!$A$6)+1),90)),"")</f>
        <v/>
      </c>
      <c r="C94">
        <f>IF(E94="","",IFERROR(INDEX('Projects Master'!$A:$A,MATCH(E94,'Projects Master'!$B:$B,0)),"OrgRisk"))</f>
        <v/>
      </c>
      <c r="D94">
        <f t="array" ref="D94">IFERROR(INDEX('Work Items'!$C$6:$C$5000,SMALL(IF('Work Items'!$A$6:$A$5000="Risk",ROW('Work Items'!$A$6:$A$5000)-ROW('Work Items'!$A$6)+1),90)),"")</f>
        <v/>
      </c>
      <c r="E94">
        <f t="array" ref="E94">IFERROR(INDEX('Work Items'!$D$6:$D$5000,SMALL(IF('Work Items'!$A$6:$A$5000="Risk",ROW('Work Items'!$A$6:$A$5000)-ROW('Work Items'!$A$6)+1),90)),"")</f>
        <v/>
      </c>
      <c r="F94">
        <f t="array" ref="F94">IFERROR(INDEX('Work Items'!$E$6:$E$5000,SMALL(IF('Work Items'!$A$6:$A$5000="Risk",ROW('Work Items'!$A$6:$A$5000)-ROW('Work Items'!$A$6)+1),90)),"")</f>
        <v/>
      </c>
      <c r="G94">
        <f t="array" ref="G94">IFERROR(INDEX('Work Items'!$F$6:$F$5000,SMALL(IF('Work Items'!$A$6:$A$5000="Risk",ROW('Work Items'!$A$6:$A$5000)-ROW('Work Items'!$A$6)+1),90)),"")</f>
        <v/>
      </c>
      <c r="H94">
        <f t="array" ref="H94">IFERROR(INDEX('Work Items'!$J$6:$J$5000,SMALL(IF('Work Items'!$A$6:$A$5000="Risk",ROW('Work Items'!$A$6:$A$5000)-ROW('Work Items'!$A$6)+1),90)),"")</f>
        <v/>
      </c>
      <c r="I94">
        <f t="array" ref="I94">IFERROR(INDEX('Work Items'!$K$6:$K$5000,SMALL(IF('Work Items'!$A$6:$A$5000="Risk",ROW('Work Items'!$A$6:$A$5000)-ROW('Work Items'!$A$6)+1),90)),"")</f>
        <v/>
      </c>
      <c r="J94">
        <f t="array" ref="J94">IFERROR(INDEX('Work Items'!$L$6:$L$5000,SMALL(IF('Work Items'!$A$6:$A$5000="Risk",ROW('Work Items'!$A$6:$A$5000)-ROW('Work Items'!$A$6)+1),90)),"")</f>
        <v/>
      </c>
      <c r="K94">
        <f t="array" ref="K94">IFERROR(IF(AND(INDEX('Work Items'!$R$6:$R$5000,SMALL(IF('Work Items'!$A$6:$A$5000="Risk",ROW('Work Items'!$A$6:$A$5000)-ROW('Work Items'!$A$6)+1),90))&lt;&gt;"",INDEX('Work Items'!$S$6:$S$5000,SMALL(IF('Work Items'!$A$6:$A$5000="Risk",ROW('Work Items'!$A$6:$A$5000)-ROW('Work Items'!$A$6)+1),90))&lt;&gt;""),INDEX('Work Items'!$R$6:$R$5000,SMALL(IF('Work Items'!$A$6:$A$5000="Risk",ROW('Work Items'!$A$6:$A$5000)-ROW('Work Items'!$A$6)+1),90))*INDEX('Work Items'!$S$6:$S$5000,SMALL(IF('Work Items'!$A$6:$A$5000="Risk",ROW('Work Items'!$A$6:$A$5000)-ROW('Work Items'!$A$6)+1),90)),INDEX('Work Items'!$U$6:$U$5000,SMALL(IF('Work Items'!$A$6:$A$5000="Risk",ROW('Work Items'!$A$6:$A$5000)-ROW('Work Items'!$A$6)+1),90))),"")</f>
        <v/>
      </c>
      <c r="L94" s="217">
        <f t="array" ref="L94">IFERROR(INDEX('Work Items'!$Q$6:$Q$5000,SMALL(IF('Work Items'!$A$6:$A$5000="Risk",ROW('Work Items'!$A$6:$A$5000)-ROW('Work Items'!$A$6)+1),90)),"")</f>
        <v/>
      </c>
      <c r="M94">
        <f t="array" ref="M94">IFERROR(INDEX('Work Items'!$T$6:$T$5000,SMALL(IF('Work Items'!$A$6:$A$5000="Risk",ROW('Work Items'!$A$6:$A$5000)-ROW('Work Items'!$A$6)+1),90)),"")</f>
        <v/>
      </c>
    </row>
    <row r="95">
      <c r="A95">
        <f t="array" ref="A95">IFERROR(INDEX('Work Items'!$A$6:$A$5000,SMALL(IF('Work Items'!$A$6:$A$5000="Risk",ROW('Work Items'!$A$6:$A$5000)-ROW('Work Items'!$A$6)+1),91)),"")</f>
        <v/>
      </c>
      <c r="B95">
        <f t="array" ref="B95">IFERROR(INDEX('Work Items'!$B$6:$B$5000,SMALL(IF('Work Items'!$A$6:$A$5000="Risk",ROW('Work Items'!$A$6:$A$5000)-ROW('Work Items'!$A$6)+1),91)),"")</f>
        <v/>
      </c>
      <c r="C95">
        <f>IF(E95="","",IFERROR(INDEX('Projects Master'!$A:$A,MATCH(E95,'Projects Master'!$B:$B,0)),"OrgRisk"))</f>
        <v/>
      </c>
      <c r="D95">
        <f t="array" ref="D95">IFERROR(INDEX('Work Items'!$C$6:$C$5000,SMALL(IF('Work Items'!$A$6:$A$5000="Risk",ROW('Work Items'!$A$6:$A$5000)-ROW('Work Items'!$A$6)+1),91)),"")</f>
        <v/>
      </c>
      <c r="E95">
        <f t="array" ref="E95">IFERROR(INDEX('Work Items'!$D$6:$D$5000,SMALL(IF('Work Items'!$A$6:$A$5000="Risk",ROW('Work Items'!$A$6:$A$5000)-ROW('Work Items'!$A$6)+1),91)),"")</f>
        <v/>
      </c>
      <c r="F95">
        <f t="array" ref="F95">IFERROR(INDEX('Work Items'!$E$6:$E$5000,SMALL(IF('Work Items'!$A$6:$A$5000="Risk",ROW('Work Items'!$A$6:$A$5000)-ROW('Work Items'!$A$6)+1),91)),"")</f>
        <v/>
      </c>
      <c r="G95">
        <f t="array" ref="G95">IFERROR(INDEX('Work Items'!$F$6:$F$5000,SMALL(IF('Work Items'!$A$6:$A$5000="Risk",ROW('Work Items'!$A$6:$A$5000)-ROW('Work Items'!$A$6)+1),91)),"")</f>
        <v/>
      </c>
      <c r="H95">
        <f t="array" ref="H95">IFERROR(INDEX('Work Items'!$J$6:$J$5000,SMALL(IF('Work Items'!$A$6:$A$5000="Risk",ROW('Work Items'!$A$6:$A$5000)-ROW('Work Items'!$A$6)+1),91)),"")</f>
        <v/>
      </c>
      <c r="I95">
        <f t="array" ref="I95">IFERROR(INDEX('Work Items'!$K$6:$K$5000,SMALL(IF('Work Items'!$A$6:$A$5000="Risk",ROW('Work Items'!$A$6:$A$5000)-ROW('Work Items'!$A$6)+1),91)),"")</f>
        <v/>
      </c>
      <c r="J95">
        <f t="array" ref="J95">IFERROR(INDEX('Work Items'!$L$6:$L$5000,SMALL(IF('Work Items'!$A$6:$A$5000="Risk",ROW('Work Items'!$A$6:$A$5000)-ROW('Work Items'!$A$6)+1),91)),"")</f>
        <v/>
      </c>
      <c r="K95">
        <f t="array" ref="K95">IFERROR(IF(AND(INDEX('Work Items'!$R$6:$R$5000,SMALL(IF('Work Items'!$A$6:$A$5000="Risk",ROW('Work Items'!$A$6:$A$5000)-ROW('Work Items'!$A$6)+1),91))&lt;&gt;"",INDEX('Work Items'!$S$6:$S$5000,SMALL(IF('Work Items'!$A$6:$A$5000="Risk",ROW('Work Items'!$A$6:$A$5000)-ROW('Work Items'!$A$6)+1),91))&lt;&gt;""),INDEX('Work Items'!$R$6:$R$5000,SMALL(IF('Work Items'!$A$6:$A$5000="Risk",ROW('Work Items'!$A$6:$A$5000)-ROW('Work Items'!$A$6)+1),91))*INDEX('Work Items'!$S$6:$S$5000,SMALL(IF('Work Items'!$A$6:$A$5000="Risk",ROW('Work Items'!$A$6:$A$5000)-ROW('Work Items'!$A$6)+1),91)),INDEX('Work Items'!$U$6:$U$5000,SMALL(IF('Work Items'!$A$6:$A$5000="Risk",ROW('Work Items'!$A$6:$A$5000)-ROW('Work Items'!$A$6)+1),91))),"")</f>
        <v/>
      </c>
      <c r="L95" s="217">
        <f t="array" ref="L95">IFERROR(INDEX('Work Items'!$Q$6:$Q$5000,SMALL(IF('Work Items'!$A$6:$A$5000="Risk",ROW('Work Items'!$A$6:$A$5000)-ROW('Work Items'!$A$6)+1),91)),"")</f>
        <v/>
      </c>
      <c r="M95">
        <f t="array" ref="M95">IFERROR(INDEX('Work Items'!$T$6:$T$5000,SMALL(IF('Work Items'!$A$6:$A$5000="Risk",ROW('Work Items'!$A$6:$A$5000)-ROW('Work Items'!$A$6)+1),91)),"")</f>
        <v/>
      </c>
    </row>
    <row r="96">
      <c r="A96">
        <f t="array" ref="A96">IFERROR(INDEX('Work Items'!$A$6:$A$5000,SMALL(IF('Work Items'!$A$6:$A$5000="Risk",ROW('Work Items'!$A$6:$A$5000)-ROW('Work Items'!$A$6)+1),92)),"")</f>
        <v/>
      </c>
      <c r="B96">
        <f t="array" ref="B96">IFERROR(INDEX('Work Items'!$B$6:$B$5000,SMALL(IF('Work Items'!$A$6:$A$5000="Risk",ROW('Work Items'!$A$6:$A$5000)-ROW('Work Items'!$A$6)+1),92)),"")</f>
        <v/>
      </c>
      <c r="C96">
        <f>IF(E96="","",IFERROR(INDEX('Projects Master'!$A:$A,MATCH(E96,'Projects Master'!$B:$B,0)),"OrgRisk"))</f>
        <v/>
      </c>
      <c r="D96">
        <f t="array" ref="D96">IFERROR(INDEX('Work Items'!$C$6:$C$5000,SMALL(IF('Work Items'!$A$6:$A$5000="Risk",ROW('Work Items'!$A$6:$A$5000)-ROW('Work Items'!$A$6)+1),92)),"")</f>
        <v/>
      </c>
      <c r="E96">
        <f t="array" ref="E96">IFERROR(INDEX('Work Items'!$D$6:$D$5000,SMALL(IF('Work Items'!$A$6:$A$5000="Risk",ROW('Work Items'!$A$6:$A$5000)-ROW('Work Items'!$A$6)+1),92)),"")</f>
        <v/>
      </c>
      <c r="F96">
        <f t="array" ref="F96">IFERROR(INDEX('Work Items'!$E$6:$E$5000,SMALL(IF('Work Items'!$A$6:$A$5000="Risk",ROW('Work Items'!$A$6:$A$5000)-ROW('Work Items'!$A$6)+1),92)),"")</f>
        <v/>
      </c>
      <c r="G96">
        <f t="array" ref="G96">IFERROR(INDEX('Work Items'!$F$6:$F$5000,SMALL(IF('Work Items'!$A$6:$A$5000="Risk",ROW('Work Items'!$A$6:$A$5000)-ROW('Work Items'!$A$6)+1),92)),"")</f>
        <v/>
      </c>
      <c r="H96">
        <f t="array" ref="H96">IFERROR(INDEX('Work Items'!$J$6:$J$5000,SMALL(IF('Work Items'!$A$6:$A$5000="Risk",ROW('Work Items'!$A$6:$A$5000)-ROW('Work Items'!$A$6)+1),92)),"")</f>
        <v/>
      </c>
      <c r="I96">
        <f t="array" ref="I96">IFERROR(INDEX('Work Items'!$K$6:$K$5000,SMALL(IF('Work Items'!$A$6:$A$5000="Risk",ROW('Work Items'!$A$6:$A$5000)-ROW('Work Items'!$A$6)+1),92)),"")</f>
        <v/>
      </c>
      <c r="J96">
        <f t="array" ref="J96">IFERROR(INDEX('Work Items'!$L$6:$L$5000,SMALL(IF('Work Items'!$A$6:$A$5000="Risk",ROW('Work Items'!$A$6:$A$5000)-ROW('Work Items'!$A$6)+1),92)),"")</f>
        <v/>
      </c>
      <c r="K96">
        <f t="array" ref="K96">IFERROR(IF(AND(INDEX('Work Items'!$R$6:$R$5000,SMALL(IF('Work Items'!$A$6:$A$5000="Risk",ROW('Work Items'!$A$6:$A$5000)-ROW('Work Items'!$A$6)+1),92))&lt;&gt;"",INDEX('Work Items'!$S$6:$S$5000,SMALL(IF('Work Items'!$A$6:$A$5000="Risk",ROW('Work Items'!$A$6:$A$5000)-ROW('Work Items'!$A$6)+1),92))&lt;&gt;""),INDEX('Work Items'!$R$6:$R$5000,SMALL(IF('Work Items'!$A$6:$A$5000="Risk",ROW('Work Items'!$A$6:$A$5000)-ROW('Work Items'!$A$6)+1),92))*INDEX('Work Items'!$S$6:$S$5000,SMALL(IF('Work Items'!$A$6:$A$5000="Risk",ROW('Work Items'!$A$6:$A$5000)-ROW('Work Items'!$A$6)+1),92)),INDEX('Work Items'!$U$6:$U$5000,SMALL(IF('Work Items'!$A$6:$A$5000="Risk",ROW('Work Items'!$A$6:$A$5000)-ROW('Work Items'!$A$6)+1),92))),"")</f>
        <v/>
      </c>
      <c r="L96" s="217">
        <f t="array" ref="L96">IFERROR(INDEX('Work Items'!$Q$6:$Q$5000,SMALL(IF('Work Items'!$A$6:$A$5000="Risk",ROW('Work Items'!$A$6:$A$5000)-ROW('Work Items'!$A$6)+1),92)),"")</f>
        <v/>
      </c>
      <c r="M96">
        <f t="array" ref="M96">IFERROR(INDEX('Work Items'!$T$6:$T$5000,SMALL(IF('Work Items'!$A$6:$A$5000="Risk",ROW('Work Items'!$A$6:$A$5000)-ROW('Work Items'!$A$6)+1),92)),"")</f>
        <v/>
      </c>
    </row>
    <row r="97">
      <c r="A97">
        <f t="array" ref="A97">IFERROR(INDEX('Work Items'!$A$6:$A$5000,SMALL(IF('Work Items'!$A$6:$A$5000="Risk",ROW('Work Items'!$A$6:$A$5000)-ROW('Work Items'!$A$6)+1),93)),"")</f>
        <v/>
      </c>
      <c r="B97">
        <f t="array" ref="B97">IFERROR(INDEX('Work Items'!$B$6:$B$5000,SMALL(IF('Work Items'!$A$6:$A$5000="Risk",ROW('Work Items'!$A$6:$A$5000)-ROW('Work Items'!$A$6)+1),93)),"")</f>
        <v/>
      </c>
      <c r="C97">
        <f>IF(E97="","",IFERROR(INDEX('Projects Master'!$A:$A,MATCH(E97,'Projects Master'!$B:$B,0)),"OrgRisk"))</f>
        <v/>
      </c>
      <c r="D97">
        <f t="array" ref="D97">IFERROR(INDEX('Work Items'!$C$6:$C$5000,SMALL(IF('Work Items'!$A$6:$A$5000="Risk",ROW('Work Items'!$A$6:$A$5000)-ROW('Work Items'!$A$6)+1),93)),"")</f>
        <v/>
      </c>
      <c r="E97">
        <f t="array" ref="E97">IFERROR(INDEX('Work Items'!$D$6:$D$5000,SMALL(IF('Work Items'!$A$6:$A$5000="Risk",ROW('Work Items'!$A$6:$A$5000)-ROW('Work Items'!$A$6)+1),93)),"")</f>
        <v/>
      </c>
      <c r="F97">
        <f t="array" ref="F97">IFERROR(INDEX('Work Items'!$E$6:$E$5000,SMALL(IF('Work Items'!$A$6:$A$5000="Risk",ROW('Work Items'!$A$6:$A$5000)-ROW('Work Items'!$A$6)+1),93)),"")</f>
        <v/>
      </c>
      <c r="G97">
        <f t="array" ref="G97">IFERROR(INDEX('Work Items'!$F$6:$F$5000,SMALL(IF('Work Items'!$A$6:$A$5000="Risk",ROW('Work Items'!$A$6:$A$5000)-ROW('Work Items'!$A$6)+1),93)),"")</f>
        <v/>
      </c>
      <c r="H97">
        <f t="array" ref="H97">IFERROR(INDEX('Work Items'!$J$6:$J$5000,SMALL(IF('Work Items'!$A$6:$A$5000="Risk",ROW('Work Items'!$A$6:$A$5000)-ROW('Work Items'!$A$6)+1),93)),"")</f>
        <v/>
      </c>
      <c r="I97">
        <f t="array" ref="I97">IFERROR(INDEX('Work Items'!$K$6:$K$5000,SMALL(IF('Work Items'!$A$6:$A$5000="Risk",ROW('Work Items'!$A$6:$A$5000)-ROW('Work Items'!$A$6)+1),93)),"")</f>
        <v/>
      </c>
      <c r="J97">
        <f t="array" ref="J97">IFERROR(INDEX('Work Items'!$L$6:$L$5000,SMALL(IF('Work Items'!$A$6:$A$5000="Risk",ROW('Work Items'!$A$6:$A$5000)-ROW('Work Items'!$A$6)+1),93)),"")</f>
        <v/>
      </c>
      <c r="K97">
        <f t="array" ref="K97">IFERROR(IF(AND(INDEX('Work Items'!$R$6:$R$5000,SMALL(IF('Work Items'!$A$6:$A$5000="Risk",ROW('Work Items'!$A$6:$A$5000)-ROW('Work Items'!$A$6)+1),93))&lt;&gt;"",INDEX('Work Items'!$S$6:$S$5000,SMALL(IF('Work Items'!$A$6:$A$5000="Risk",ROW('Work Items'!$A$6:$A$5000)-ROW('Work Items'!$A$6)+1),93))&lt;&gt;""),INDEX('Work Items'!$R$6:$R$5000,SMALL(IF('Work Items'!$A$6:$A$5000="Risk",ROW('Work Items'!$A$6:$A$5000)-ROW('Work Items'!$A$6)+1),93))*INDEX('Work Items'!$S$6:$S$5000,SMALL(IF('Work Items'!$A$6:$A$5000="Risk",ROW('Work Items'!$A$6:$A$5000)-ROW('Work Items'!$A$6)+1),93)),INDEX('Work Items'!$U$6:$U$5000,SMALL(IF('Work Items'!$A$6:$A$5000="Risk",ROW('Work Items'!$A$6:$A$5000)-ROW('Work Items'!$A$6)+1),93))),"")</f>
        <v/>
      </c>
      <c r="L97" s="217">
        <f t="array" ref="L97">IFERROR(INDEX('Work Items'!$Q$6:$Q$5000,SMALL(IF('Work Items'!$A$6:$A$5000="Risk",ROW('Work Items'!$A$6:$A$5000)-ROW('Work Items'!$A$6)+1),93)),"")</f>
        <v/>
      </c>
      <c r="M97">
        <f t="array" ref="M97">IFERROR(INDEX('Work Items'!$T$6:$T$5000,SMALL(IF('Work Items'!$A$6:$A$5000="Risk",ROW('Work Items'!$A$6:$A$5000)-ROW('Work Items'!$A$6)+1),93)),"")</f>
        <v/>
      </c>
    </row>
    <row r="98">
      <c r="A98">
        <f t="array" ref="A98">IFERROR(INDEX('Work Items'!$A$6:$A$5000,SMALL(IF('Work Items'!$A$6:$A$5000="Risk",ROW('Work Items'!$A$6:$A$5000)-ROW('Work Items'!$A$6)+1),94)),"")</f>
        <v/>
      </c>
      <c r="B98">
        <f t="array" ref="B98">IFERROR(INDEX('Work Items'!$B$6:$B$5000,SMALL(IF('Work Items'!$A$6:$A$5000="Risk",ROW('Work Items'!$A$6:$A$5000)-ROW('Work Items'!$A$6)+1),94)),"")</f>
        <v/>
      </c>
      <c r="C98">
        <f>IF(E98="","",IFERROR(INDEX('Projects Master'!$A:$A,MATCH(E98,'Projects Master'!$B:$B,0)),"OrgRisk"))</f>
        <v/>
      </c>
      <c r="D98">
        <f t="array" ref="D98">IFERROR(INDEX('Work Items'!$C$6:$C$5000,SMALL(IF('Work Items'!$A$6:$A$5000="Risk",ROW('Work Items'!$A$6:$A$5000)-ROW('Work Items'!$A$6)+1),94)),"")</f>
        <v/>
      </c>
      <c r="E98">
        <f t="array" ref="E98">IFERROR(INDEX('Work Items'!$D$6:$D$5000,SMALL(IF('Work Items'!$A$6:$A$5000="Risk",ROW('Work Items'!$A$6:$A$5000)-ROW('Work Items'!$A$6)+1),94)),"")</f>
        <v/>
      </c>
      <c r="F98">
        <f t="array" ref="F98">IFERROR(INDEX('Work Items'!$E$6:$E$5000,SMALL(IF('Work Items'!$A$6:$A$5000="Risk",ROW('Work Items'!$A$6:$A$5000)-ROW('Work Items'!$A$6)+1),94)),"")</f>
        <v/>
      </c>
      <c r="G98">
        <f t="array" ref="G98">IFERROR(INDEX('Work Items'!$F$6:$F$5000,SMALL(IF('Work Items'!$A$6:$A$5000="Risk",ROW('Work Items'!$A$6:$A$5000)-ROW('Work Items'!$A$6)+1),94)),"")</f>
        <v/>
      </c>
      <c r="H98">
        <f t="array" ref="H98">IFERROR(INDEX('Work Items'!$J$6:$J$5000,SMALL(IF('Work Items'!$A$6:$A$5000="Risk",ROW('Work Items'!$A$6:$A$5000)-ROW('Work Items'!$A$6)+1),94)),"")</f>
        <v/>
      </c>
      <c r="I98">
        <f t="array" ref="I98">IFERROR(INDEX('Work Items'!$K$6:$K$5000,SMALL(IF('Work Items'!$A$6:$A$5000="Risk",ROW('Work Items'!$A$6:$A$5000)-ROW('Work Items'!$A$6)+1),94)),"")</f>
        <v/>
      </c>
      <c r="J98">
        <f t="array" ref="J98">IFERROR(INDEX('Work Items'!$L$6:$L$5000,SMALL(IF('Work Items'!$A$6:$A$5000="Risk",ROW('Work Items'!$A$6:$A$5000)-ROW('Work Items'!$A$6)+1),94)),"")</f>
        <v/>
      </c>
      <c r="K98">
        <f t="array" ref="K98">IFERROR(IF(AND(INDEX('Work Items'!$R$6:$R$5000,SMALL(IF('Work Items'!$A$6:$A$5000="Risk",ROW('Work Items'!$A$6:$A$5000)-ROW('Work Items'!$A$6)+1),94))&lt;&gt;"",INDEX('Work Items'!$S$6:$S$5000,SMALL(IF('Work Items'!$A$6:$A$5000="Risk",ROW('Work Items'!$A$6:$A$5000)-ROW('Work Items'!$A$6)+1),94))&lt;&gt;""),INDEX('Work Items'!$R$6:$R$5000,SMALL(IF('Work Items'!$A$6:$A$5000="Risk",ROW('Work Items'!$A$6:$A$5000)-ROW('Work Items'!$A$6)+1),94))*INDEX('Work Items'!$S$6:$S$5000,SMALL(IF('Work Items'!$A$6:$A$5000="Risk",ROW('Work Items'!$A$6:$A$5000)-ROW('Work Items'!$A$6)+1),94)),INDEX('Work Items'!$U$6:$U$5000,SMALL(IF('Work Items'!$A$6:$A$5000="Risk",ROW('Work Items'!$A$6:$A$5000)-ROW('Work Items'!$A$6)+1),94))),"")</f>
        <v/>
      </c>
      <c r="L98" s="217">
        <f t="array" ref="L98">IFERROR(INDEX('Work Items'!$Q$6:$Q$5000,SMALL(IF('Work Items'!$A$6:$A$5000="Risk",ROW('Work Items'!$A$6:$A$5000)-ROW('Work Items'!$A$6)+1),94)),"")</f>
        <v/>
      </c>
      <c r="M98">
        <f t="array" ref="M98">IFERROR(INDEX('Work Items'!$T$6:$T$5000,SMALL(IF('Work Items'!$A$6:$A$5000="Risk",ROW('Work Items'!$A$6:$A$5000)-ROW('Work Items'!$A$6)+1),94)),"")</f>
        <v/>
      </c>
    </row>
    <row r="99">
      <c r="A99">
        <f t="array" ref="A99">IFERROR(INDEX('Work Items'!$A$6:$A$5000,SMALL(IF('Work Items'!$A$6:$A$5000="Risk",ROW('Work Items'!$A$6:$A$5000)-ROW('Work Items'!$A$6)+1),95)),"")</f>
        <v/>
      </c>
      <c r="B99">
        <f t="array" ref="B99">IFERROR(INDEX('Work Items'!$B$6:$B$5000,SMALL(IF('Work Items'!$A$6:$A$5000="Risk",ROW('Work Items'!$A$6:$A$5000)-ROW('Work Items'!$A$6)+1),95)),"")</f>
        <v/>
      </c>
      <c r="C99">
        <f>IF(E99="","",IFERROR(INDEX('Projects Master'!$A:$A,MATCH(E99,'Projects Master'!$B:$B,0)),"OrgRisk"))</f>
        <v/>
      </c>
      <c r="D99">
        <f t="array" ref="D99">IFERROR(INDEX('Work Items'!$C$6:$C$5000,SMALL(IF('Work Items'!$A$6:$A$5000="Risk",ROW('Work Items'!$A$6:$A$5000)-ROW('Work Items'!$A$6)+1),95)),"")</f>
        <v/>
      </c>
      <c r="E99">
        <f t="array" ref="E99">IFERROR(INDEX('Work Items'!$D$6:$D$5000,SMALL(IF('Work Items'!$A$6:$A$5000="Risk",ROW('Work Items'!$A$6:$A$5000)-ROW('Work Items'!$A$6)+1),95)),"")</f>
        <v/>
      </c>
      <c r="F99">
        <f t="array" ref="F99">IFERROR(INDEX('Work Items'!$E$6:$E$5000,SMALL(IF('Work Items'!$A$6:$A$5000="Risk",ROW('Work Items'!$A$6:$A$5000)-ROW('Work Items'!$A$6)+1),95)),"")</f>
        <v/>
      </c>
      <c r="G99">
        <f t="array" ref="G99">IFERROR(INDEX('Work Items'!$F$6:$F$5000,SMALL(IF('Work Items'!$A$6:$A$5000="Risk",ROW('Work Items'!$A$6:$A$5000)-ROW('Work Items'!$A$6)+1),95)),"")</f>
        <v/>
      </c>
      <c r="H99">
        <f t="array" ref="H99">IFERROR(INDEX('Work Items'!$J$6:$J$5000,SMALL(IF('Work Items'!$A$6:$A$5000="Risk",ROW('Work Items'!$A$6:$A$5000)-ROW('Work Items'!$A$6)+1),95)),"")</f>
        <v/>
      </c>
      <c r="I99">
        <f t="array" ref="I99">IFERROR(INDEX('Work Items'!$K$6:$K$5000,SMALL(IF('Work Items'!$A$6:$A$5000="Risk",ROW('Work Items'!$A$6:$A$5000)-ROW('Work Items'!$A$6)+1),95)),"")</f>
        <v/>
      </c>
      <c r="J99">
        <f t="array" ref="J99">IFERROR(INDEX('Work Items'!$L$6:$L$5000,SMALL(IF('Work Items'!$A$6:$A$5000="Risk",ROW('Work Items'!$A$6:$A$5000)-ROW('Work Items'!$A$6)+1),95)),"")</f>
        <v/>
      </c>
      <c r="K99">
        <f t="array" ref="K99">IFERROR(IF(AND(INDEX('Work Items'!$R$6:$R$5000,SMALL(IF('Work Items'!$A$6:$A$5000="Risk",ROW('Work Items'!$A$6:$A$5000)-ROW('Work Items'!$A$6)+1),95))&lt;&gt;"",INDEX('Work Items'!$S$6:$S$5000,SMALL(IF('Work Items'!$A$6:$A$5000="Risk",ROW('Work Items'!$A$6:$A$5000)-ROW('Work Items'!$A$6)+1),95))&lt;&gt;""),INDEX('Work Items'!$R$6:$R$5000,SMALL(IF('Work Items'!$A$6:$A$5000="Risk",ROW('Work Items'!$A$6:$A$5000)-ROW('Work Items'!$A$6)+1),95))*INDEX('Work Items'!$S$6:$S$5000,SMALL(IF('Work Items'!$A$6:$A$5000="Risk",ROW('Work Items'!$A$6:$A$5000)-ROW('Work Items'!$A$6)+1),95)),INDEX('Work Items'!$U$6:$U$5000,SMALL(IF('Work Items'!$A$6:$A$5000="Risk",ROW('Work Items'!$A$6:$A$5000)-ROW('Work Items'!$A$6)+1),95))),"")</f>
        <v/>
      </c>
      <c r="L99" s="217">
        <f t="array" ref="L99">IFERROR(INDEX('Work Items'!$Q$6:$Q$5000,SMALL(IF('Work Items'!$A$6:$A$5000="Risk",ROW('Work Items'!$A$6:$A$5000)-ROW('Work Items'!$A$6)+1),95)),"")</f>
        <v/>
      </c>
      <c r="M99">
        <f t="array" ref="M99">IFERROR(INDEX('Work Items'!$T$6:$T$5000,SMALL(IF('Work Items'!$A$6:$A$5000="Risk",ROW('Work Items'!$A$6:$A$5000)-ROW('Work Items'!$A$6)+1),95)),"")</f>
        <v/>
      </c>
    </row>
    <row r="100">
      <c r="A100">
        <f t="array" ref="A100">IFERROR(INDEX('Work Items'!$A$6:$A$5000,SMALL(IF('Work Items'!$A$6:$A$5000="Risk",ROW('Work Items'!$A$6:$A$5000)-ROW('Work Items'!$A$6)+1),96)),"")</f>
        <v/>
      </c>
      <c r="B100">
        <f t="array" ref="B100">IFERROR(INDEX('Work Items'!$B$6:$B$5000,SMALL(IF('Work Items'!$A$6:$A$5000="Risk",ROW('Work Items'!$A$6:$A$5000)-ROW('Work Items'!$A$6)+1),96)),"")</f>
        <v/>
      </c>
      <c r="C100">
        <f>IF(E100="","",IFERROR(INDEX('Projects Master'!$A:$A,MATCH(E100,'Projects Master'!$B:$B,0)),"OrgRisk"))</f>
        <v/>
      </c>
      <c r="D100">
        <f t="array" ref="D100">IFERROR(INDEX('Work Items'!$C$6:$C$5000,SMALL(IF('Work Items'!$A$6:$A$5000="Risk",ROW('Work Items'!$A$6:$A$5000)-ROW('Work Items'!$A$6)+1),96)),"")</f>
        <v/>
      </c>
      <c r="E100">
        <f t="array" ref="E100">IFERROR(INDEX('Work Items'!$D$6:$D$5000,SMALL(IF('Work Items'!$A$6:$A$5000="Risk",ROW('Work Items'!$A$6:$A$5000)-ROW('Work Items'!$A$6)+1),96)),"")</f>
        <v/>
      </c>
      <c r="F100">
        <f t="array" ref="F100">IFERROR(INDEX('Work Items'!$E$6:$E$5000,SMALL(IF('Work Items'!$A$6:$A$5000="Risk",ROW('Work Items'!$A$6:$A$5000)-ROW('Work Items'!$A$6)+1),96)),"")</f>
        <v/>
      </c>
      <c r="G100">
        <f t="array" ref="G100">IFERROR(INDEX('Work Items'!$F$6:$F$5000,SMALL(IF('Work Items'!$A$6:$A$5000="Risk",ROW('Work Items'!$A$6:$A$5000)-ROW('Work Items'!$A$6)+1),96)),"")</f>
        <v/>
      </c>
      <c r="H100">
        <f t="array" ref="H100">IFERROR(INDEX('Work Items'!$J$6:$J$5000,SMALL(IF('Work Items'!$A$6:$A$5000="Risk",ROW('Work Items'!$A$6:$A$5000)-ROW('Work Items'!$A$6)+1),96)),"")</f>
        <v/>
      </c>
      <c r="I100">
        <f t="array" ref="I100">IFERROR(INDEX('Work Items'!$K$6:$K$5000,SMALL(IF('Work Items'!$A$6:$A$5000="Risk",ROW('Work Items'!$A$6:$A$5000)-ROW('Work Items'!$A$6)+1),96)),"")</f>
        <v/>
      </c>
      <c r="J100">
        <f t="array" ref="J100">IFERROR(INDEX('Work Items'!$L$6:$L$5000,SMALL(IF('Work Items'!$A$6:$A$5000="Risk",ROW('Work Items'!$A$6:$A$5000)-ROW('Work Items'!$A$6)+1),96)),"")</f>
        <v/>
      </c>
      <c r="K100">
        <f t="array" ref="K100">IFERROR(IF(AND(INDEX('Work Items'!$R$6:$R$5000,SMALL(IF('Work Items'!$A$6:$A$5000="Risk",ROW('Work Items'!$A$6:$A$5000)-ROW('Work Items'!$A$6)+1),96))&lt;&gt;"",INDEX('Work Items'!$S$6:$S$5000,SMALL(IF('Work Items'!$A$6:$A$5000="Risk",ROW('Work Items'!$A$6:$A$5000)-ROW('Work Items'!$A$6)+1),96))&lt;&gt;""),INDEX('Work Items'!$R$6:$R$5000,SMALL(IF('Work Items'!$A$6:$A$5000="Risk",ROW('Work Items'!$A$6:$A$5000)-ROW('Work Items'!$A$6)+1),96))*INDEX('Work Items'!$S$6:$S$5000,SMALL(IF('Work Items'!$A$6:$A$5000="Risk",ROW('Work Items'!$A$6:$A$5000)-ROW('Work Items'!$A$6)+1),96)),INDEX('Work Items'!$U$6:$U$5000,SMALL(IF('Work Items'!$A$6:$A$5000="Risk",ROW('Work Items'!$A$6:$A$5000)-ROW('Work Items'!$A$6)+1),96))),"")</f>
        <v/>
      </c>
      <c r="L100" s="217">
        <f t="array" ref="L100">IFERROR(INDEX('Work Items'!$Q$6:$Q$5000,SMALL(IF('Work Items'!$A$6:$A$5000="Risk",ROW('Work Items'!$A$6:$A$5000)-ROW('Work Items'!$A$6)+1),96)),"")</f>
        <v/>
      </c>
      <c r="M100">
        <f t="array" ref="M100">IFERROR(INDEX('Work Items'!$T$6:$T$5000,SMALL(IF('Work Items'!$A$6:$A$5000="Risk",ROW('Work Items'!$A$6:$A$5000)-ROW('Work Items'!$A$6)+1),96)),"")</f>
        <v/>
      </c>
    </row>
    <row r="101">
      <c r="A101">
        <f t="array" ref="A101">IFERROR(INDEX('Work Items'!$A$6:$A$5000,SMALL(IF('Work Items'!$A$6:$A$5000="Risk",ROW('Work Items'!$A$6:$A$5000)-ROW('Work Items'!$A$6)+1),97)),"")</f>
        <v/>
      </c>
      <c r="B101">
        <f t="array" ref="B101">IFERROR(INDEX('Work Items'!$B$6:$B$5000,SMALL(IF('Work Items'!$A$6:$A$5000="Risk",ROW('Work Items'!$A$6:$A$5000)-ROW('Work Items'!$A$6)+1),97)),"")</f>
        <v/>
      </c>
      <c r="C101">
        <f>IF(E101="","",IFERROR(INDEX('Projects Master'!$A:$A,MATCH(E101,'Projects Master'!$B:$B,0)),"OrgRisk"))</f>
        <v/>
      </c>
      <c r="D101">
        <f t="array" ref="D101">IFERROR(INDEX('Work Items'!$C$6:$C$5000,SMALL(IF('Work Items'!$A$6:$A$5000="Risk",ROW('Work Items'!$A$6:$A$5000)-ROW('Work Items'!$A$6)+1),97)),"")</f>
        <v/>
      </c>
      <c r="E101">
        <f t="array" ref="E101">IFERROR(INDEX('Work Items'!$D$6:$D$5000,SMALL(IF('Work Items'!$A$6:$A$5000="Risk",ROW('Work Items'!$A$6:$A$5000)-ROW('Work Items'!$A$6)+1),97)),"")</f>
        <v/>
      </c>
      <c r="F101">
        <f t="array" ref="F101">IFERROR(INDEX('Work Items'!$E$6:$E$5000,SMALL(IF('Work Items'!$A$6:$A$5000="Risk",ROW('Work Items'!$A$6:$A$5000)-ROW('Work Items'!$A$6)+1),97)),"")</f>
        <v/>
      </c>
      <c r="G101">
        <f t="array" ref="G101">IFERROR(INDEX('Work Items'!$F$6:$F$5000,SMALL(IF('Work Items'!$A$6:$A$5000="Risk",ROW('Work Items'!$A$6:$A$5000)-ROW('Work Items'!$A$6)+1),97)),"")</f>
        <v/>
      </c>
      <c r="H101">
        <f t="array" ref="H101">IFERROR(INDEX('Work Items'!$J$6:$J$5000,SMALL(IF('Work Items'!$A$6:$A$5000="Risk",ROW('Work Items'!$A$6:$A$5000)-ROW('Work Items'!$A$6)+1),97)),"")</f>
        <v/>
      </c>
      <c r="I101">
        <f t="array" ref="I101">IFERROR(INDEX('Work Items'!$K$6:$K$5000,SMALL(IF('Work Items'!$A$6:$A$5000="Risk",ROW('Work Items'!$A$6:$A$5000)-ROW('Work Items'!$A$6)+1),97)),"")</f>
        <v/>
      </c>
      <c r="J101">
        <f t="array" ref="J101">IFERROR(INDEX('Work Items'!$L$6:$L$5000,SMALL(IF('Work Items'!$A$6:$A$5000="Risk",ROW('Work Items'!$A$6:$A$5000)-ROW('Work Items'!$A$6)+1),97)),"")</f>
        <v/>
      </c>
      <c r="K101">
        <f t="array" ref="K101">IFERROR(IF(AND(INDEX('Work Items'!$R$6:$R$5000,SMALL(IF('Work Items'!$A$6:$A$5000="Risk",ROW('Work Items'!$A$6:$A$5000)-ROW('Work Items'!$A$6)+1),97))&lt;&gt;"",INDEX('Work Items'!$S$6:$S$5000,SMALL(IF('Work Items'!$A$6:$A$5000="Risk",ROW('Work Items'!$A$6:$A$5000)-ROW('Work Items'!$A$6)+1),97))&lt;&gt;""),INDEX('Work Items'!$R$6:$R$5000,SMALL(IF('Work Items'!$A$6:$A$5000="Risk",ROW('Work Items'!$A$6:$A$5000)-ROW('Work Items'!$A$6)+1),97))*INDEX('Work Items'!$S$6:$S$5000,SMALL(IF('Work Items'!$A$6:$A$5000="Risk",ROW('Work Items'!$A$6:$A$5000)-ROW('Work Items'!$A$6)+1),97)),INDEX('Work Items'!$U$6:$U$5000,SMALL(IF('Work Items'!$A$6:$A$5000="Risk",ROW('Work Items'!$A$6:$A$5000)-ROW('Work Items'!$A$6)+1),97))),"")</f>
        <v/>
      </c>
      <c r="L101" s="217">
        <f t="array" ref="L101">IFERROR(INDEX('Work Items'!$Q$6:$Q$5000,SMALL(IF('Work Items'!$A$6:$A$5000="Risk",ROW('Work Items'!$A$6:$A$5000)-ROW('Work Items'!$A$6)+1),97)),"")</f>
        <v/>
      </c>
      <c r="M101">
        <f t="array" ref="M101">IFERROR(INDEX('Work Items'!$T$6:$T$5000,SMALL(IF('Work Items'!$A$6:$A$5000="Risk",ROW('Work Items'!$A$6:$A$5000)-ROW('Work Items'!$A$6)+1),97)),"")</f>
        <v/>
      </c>
    </row>
    <row r="102">
      <c r="A102">
        <f t="array" ref="A102">IFERROR(INDEX('Work Items'!$A$6:$A$5000,SMALL(IF('Work Items'!$A$6:$A$5000="Risk",ROW('Work Items'!$A$6:$A$5000)-ROW('Work Items'!$A$6)+1),98)),"")</f>
        <v/>
      </c>
      <c r="B102">
        <f t="array" ref="B102">IFERROR(INDEX('Work Items'!$B$6:$B$5000,SMALL(IF('Work Items'!$A$6:$A$5000="Risk",ROW('Work Items'!$A$6:$A$5000)-ROW('Work Items'!$A$6)+1),98)),"")</f>
        <v/>
      </c>
      <c r="C102">
        <f>IF(E102="","",IFERROR(INDEX('Projects Master'!$A:$A,MATCH(E102,'Projects Master'!$B:$B,0)),"OrgRisk"))</f>
        <v/>
      </c>
      <c r="D102">
        <f t="array" ref="D102">IFERROR(INDEX('Work Items'!$C$6:$C$5000,SMALL(IF('Work Items'!$A$6:$A$5000="Risk",ROW('Work Items'!$A$6:$A$5000)-ROW('Work Items'!$A$6)+1),98)),"")</f>
        <v/>
      </c>
      <c r="E102">
        <f t="array" ref="E102">IFERROR(INDEX('Work Items'!$D$6:$D$5000,SMALL(IF('Work Items'!$A$6:$A$5000="Risk",ROW('Work Items'!$A$6:$A$5000)-ROW('Work Items'!$A$6)+1),98)),"")</f>
        <v/>
      </c>
      <c r="F102">
        <f t="array" ref="F102">IFERROR(INDEX('Work Items'!$E$6:$E$5000,SMALL(IF('Work Items'!$A$6:$A$5000="Risk",ROW('Work Items'!$A$6:$A$5000)-ROW('Work Items'!$A$6)+1),98)),"")</f>
        <v/>
      </c>
      <c r="G102">
        <f t="array" ref="G102">IFERROR(INDEX('Work Items'!$F$6:$F$5000,SMALL(IF('Work Items'!$A$6:$A$5000="Risk",ROW('Work Items'!$A$6:$A$5000)-ROW('Work Items'!$A$6)+1),98)),"")</f>
        <v/>
      </c>
      <c r="H102">
        <f t="array" ref="H102">IFERROR(INDEX('Work Items'!$J$6:$J$5000,SMALL(IF('Work Items'!$A$6:$A$5000="Risk",ROW('Work Items'!$A$6:$A$5000)-ROW('Work Items'!$A$6)+1),98)),"")</f>
        <v/>
      </c>
      <c r="I102">
        <f t="array" ref="I102">IFERROR(INDEX('Work Items'!$K$6:$K$5000,SMALL(IF('Work Items'!$A$6:$A$5000="Risk",ROW('Work Items'!$A$6:$A$5000)-ROW('Work Items'!$A$6)+1),98)),"")</f>
        <v/>
      </c>
      <c r="J102">
        <f t="array" ref="J102">IFERROR(INDEX('Work Items'!$L$6:$L$5000,SMALL(IF('Work Items'!$A$6:$A$5000="Risk",ROW('Work Items'!$A$6:$A$5000)-ROW('Work Items'!$A$6)+1),98)),"")</f>
        <v/>
      </c>
      <c r="K102">
        <f t="array" ref="K102">IFERROR(IF(AND(INDEX('Work Items'!$R$6:$R$5000,SMALL(IF('Work Items'!$A$6:$A$5000="Risk",ROW('Work Items'!$A$6:$A$5000)-ROW('Work Items'!$A$6)+1),98))&lt;&gt;"",INDEX('Work Items'!$S$6:$S$5000,SMALL(IF('Work Items'!$A$6:$A$5000="Risk",ROW('Work Items'!$A$6:$A$5000)-ROW('Work Items'!$A$6)+1),98))&lt;&gt;""),INDEX('Work Items'!$R$6:$R$5000,SMALL(IF('Work Items'!$A$6:$A$5000="Risk",ROW('Work Items'!$A$6:$A$5000)-ROW('Work Items'!$A$6)+1),98))*INDEX('Work Items'!$S$6:$S$5000,SMALL(IF('Work Items'!$A$6:$A$5000="Risk",ROW('Work Items'!$A$6:$A$5000)-ROW('Work Items'!$A$6)+1),98)),INDEX('Work Items'!$U$6:$U$5000,SMALL(IF('Work Items'!$A$6:$A$5000="Risk",ROW('Work Items'!$A$6:$A$5000)-ROW('Work Items'!$A$6)+1),98))),"")</f>
        <v/>
      </c>
      <c r="L102" s="217">
        <f t="array" ref="L102">IFERROR(INDEX('Work Items'!$Q$6:$Q$5000,SMALL(IF('Work Items'!$A$6:$A$5000="Risk",ROW('Work Items'!$A$6:$A$5000)-ROW('Work Items'!$A$6)+1),98)),"")</f>
        <v/>
      </c>
      <c r="M102">
        <f t="array" ref="M102">IFERROR(INDEX('Work Items'!$T$6:$T$5000,SMALL(IF('Work Items'!$A$6:$A$5000="Risk",ROW('Work Items'!$A$6:$A$5000)-ROW('Work Items'!$A$6)+1),98)),"")</f>
        <v/>
      </c>
    </row>
    <row r="103">
      <c r="A103">
        <f t="array" ref="A103">IFERROR(INDEX('Work Items'!$A$6:$A$5000,SMALL(IF('Work Items'!$A$6:$A$5000="Risk",ROW('Work Items'!$A$6:$A$5000)-ROW('Work Items'!$A$6)+1),99)),"")</f>
        <v/>
      </c>
      <c r="B103">
        <f t="array" ref="B103">IFERROR(INDEX('Work Items'!$B$6:$B$5000,SMALL(IF('Work Items'!$A$6:$A$5000="Risk",ROW('Work Items'!$A$6:$A$5000)-ROW('Work Items'!$A$6)+1),99)),"")</f>
        <v/>
      </c>
      <c r="C103">
        <f>IF(E103="","",IFERROR(INDEX('Projects Master'!$A:$A,MATCH(E103,'Projects Master'!$B:$B,0)),"OrgRisk"))</f>
        <v/>
      </c>
      <c r="D103">
        <f t="array" ref="D103">IFERROR(INDEX('Work Items'!$C$6:$C$5000,SMALL(IF('Work Items'!$A$6:$A$5000="Risk",ROW('Work Items'!$A$6:$A$5000)-ROW('Work Items'!$A$6)+1),99)),"")</f>
        <v/>
      </c>
      <c r="E103">
        <f t="array" ref="E103">IFERROR(INDEX('Work Items'!$D$6:$D$5000,SMALL(IF('Work Items'!$A$6:$A$5000="Risk",ROW('Work Items'!$A$6:$A$5000)-ROW('Work Items'!$A$6)+1),99)),"")</f>
        <v/>
      </c>
      <c r="F103">
        <f t="array" ref="F103">IFERROR(INDEX('Work Items'!$E$6:$E$5000,SMALL(IF('Work Items'!$A$6:$A$5000="Risk",ROW('Work Items'!$A$6:$A$5000)-ROW('Work Items'!$A$6)+1),99)),"")</f>
        <v/>
      </c>
      <c r="G103">
        <f t="array" ref="G103">IFERROR(INDEX('Work Items'!$F$6:$F$5000,SMALL(IF('Work Items'!$A$6:$A$5000="Risk",ROW('Work Items'!$A$6:$A$5000)-ROW('Work Items'!$A$6)+1),99)),"")</f>
        <v/>
      </c>
      <c r="H103">
        <f t="array" ref="H103">IFERROR(INDEX('Work Items'!$J$6:$J$5000,SMALL(IF('Work Items'!$A$6:$A$5000="Risk",ROW('Work Items'!$A$6:$A$5000)-ROW('Work Items'!$A$6)+1),99)),"")</f>
        <v/>
      </c>
      <c r="I103">
        <f t="array" ref="I103">IFERROR(INDEX('Work Items'!$K$6:$K$5000,SMALL(IF('Work Items'!$A$6:$A$5000="Risk",ROW('Work Items'!$A$6:$A$5000)-ROW('Work Items'!$A$6)+1),99)),"")</f>
        <v/>
      </c>
      <c r="J103">
        <f t="array" ref="J103">IFERROR(INDEX('Work Items'!$L$6:$L$5000,SMALL(IF('Work Items'!$A$6:$A$5000="Risk",ROW('Work Items'!$A$6:$A$5000)-ROW('Work Items'!$A$6)+1),99)),"")</f>
        <v/>
      </c>
      <c r="K103">
        <f t="array" ref="K103">IFERROR(IF(AND(INDEX('Work Items'!$R$6:$R$5000,SMALL(IF('Work Items'!$A$6:$A$5000="Risk",ROW('Work Items'!$A$6:$A$5000)-ROW('Work Items'!$A$6)+1),99))&lt;&gt;"",INDEX('Work Items'!$S$6:$S$5000,SMALL(IF('Work Items'!$A$6:$A$5000="Risk",ROW('Work Items'!$A$6:$A$5000)-ROW('Work Items'!$A$6)+1),99))&lt;&gt;""),INDEX('Work Items'!$R$6:$R$5000,SMALL(IF('Work Items'!$A$6:$A$5000="Risk",ROW('Work Items'!$A$6:$A$5000)-ROW('Work Items'!$A$6)+1),99))*INDEX('Work Items'!$S$6:$S$5000,SMALL(IF('Work Items'!$A$6:$A$5000="Risk",ROW('Work Items'!$A$6:$A$5000)-ROW('Work Items'!$A$6)+1),99)),INDEX('Work Items'!$U$6:$U$5000,SMALL(IF('Work Items'!$A$6:$A$5000="Risk",ROW('Work Items'!$A$6:$A$5000)-ROW('Work Items'!$A$6)+1),99))),"")</f>
        <v/>
      </c>
      <c r="L103" s="217">
        <f t="array" ref="L103">IFERROR(INDEX('Work Items'!$Q$6:$Q$5000,SMALL(IF('Work Items'!$A$6:$A$5000="Risk",ROW('Work Items'!$A$6:$A$5000)-ROW('Work Items'!$A$6)+1),99)),"")</f>
        <v/>
      </c>
      <c r="M103">
        <f t="array" ref="M103">IFERROR(INDEX('Work Items'!$T$6:$T$5000,SMALL(IF('Work Items'!$A$6:$A$5000="Risk",ROW('Work Items'!$A$6:$A$5000)-ROW('Work Items'!$A$6)+1),99)),"")</f>
        <v/>
      </c>
    </row>
    <row r="104">
      <c r="A104">
        <f t="array" ref="A104">IFERROR(INDEX('Work Items'!$A$6:$A$5000,SMALL(IF('Work Items'!$A$6:$A$5000="Risk",ROW('Work Items'!$A$6:$A$5000)-ROW('Work Items'!$A$6)+1),100)),"")</f>
        <v/>
      </c>
      <c r="B104">
        <f t="array" ref="B104">IFERROR(INDEX('Work Items'!$B$6:$B$5000,SMALL(IF('Work Items'!$A$6:$A$5000="Risk",ROW('Work Items'!$A$6:$A$5000)-ROW('Work Items'!$A$6)+1),100)),"")</f>
        <v/>
      </c>
      <c r="C104">
        <f>IF(E104="","",IFERROR(INDEX('Projects Master'!$A:$A,MATCH(E104,'Projects Master'!$B:$B,0)),"OrgRisk"))</f>
        <v/>
      </c>
      <c r="D104">
        <f t="array" ref="D104">IFERROR(INDEX('Work Items'!$C$6:$C$5000,SMALL(IF('Work Items'!$A$6:$A$5000="Risk",ROW('Work Items'!$A$6:$A$5000)-ROW('Work Items'!$A$6)+1),100)),"")</f>
        <v/>
      </c>
      <c r="E104">
        <f t="array" ref="E104">IFERROR(INDEX('Work Items'!$D$6:$D$5000,SMALL(IF('Work Items'!$A$6:$A$5000="Risk",ROW('Work Items'!$A$6:$A$5000)-ROW('Work Items'!$A$6)+1),100)),"")</f>
        <v/>
      </c>
      <c r="F104">
        <f t="array" ref="F104">IFERROR(INDEX('Work Items'!$E$6:$E$5000,SMALL(IF('Work Items'!$A$6:$A$5000="Risk",ROW('Work Items'!$A$6:$A$5000)-ROW('Work Items'!$A$6)+1),100)),"")</f>
        <v/>
      </c>
      <c r="G104">
        <f t="array" ref="G104">IFERROR(INDEX('Work Items'!$F$6:$F$5000,SMALL(IF('Work Items'!$A$6:$A$5000="Risk",ROW('Work Items'!$A$6:$A$5000)-ROW('Work Items'!$A$6)+1),100)),"")</f>
        <v/>
      </c>
      <c r="H104">
        <f t="array" ref="H104">IFERROR(INDEX('Work Items'!$J$6:$J$5000,SMALL(IF('Work Items'!$A$6:$A$5000="Risk",ROW('Work Items'!$A$6:$A$5000)-ROW('Work Items'!$A$6)+1),100)),"")</f>
        <v/>
      </c>
      <c r="I104">
        <f t="array" ref="I104">IFERROR(INDEX('Work Items'!$K$6:$K$5000,SMALL(IF('Work Items'!$A$6:$A$5000="Risk",ROW('Work Items'!$A$6:$A$5000)-ROW('Work Items'!$A$6)+1),100)),"")</f>
        <v/>
      </c>
      <c r="J104">
        <f t="array" ref="J104">IFERROR(INDEX('Work Items'!$L$6:$L$5000,SMALL(IF('Work Items'!$A$6:$A$5000="Risk",ROW('Work Items'!$A$6:$A$5000)-ROW('Work Items'!$A$6)+1),100)),"")</f>
        <v/>
      </c>
      <c r="K104">
        <f t="array" ref="K104">IFERROR(IF(AND(INDEX('Work Items'!$R$6:$R$5000,SMALL(IF('Work Items'!$A$6:$A$5000="Risk",ROW('Work Items'!$A$6:$A$5000)-ROW('Work Items'!$A$6)+1),100))&lt;&gt;"",INDEX('Work Items'!$S$6:$S$5000,SMALL(IF('Work Items'!$A$6:$A$5000="Risk",ROW('Work Items'!$A$6:$A$5000)-ROW('Work Items'!$A$6)+1),100))&lt;&gt;""),INDEX('Work Items'!$R$6:$R$5000,SMALL(IF('Work Items'!$A$6:$A$5000="Risk",ROW('Work Items'!$A$6:$A$5000)-ROW('Work Items'!$A$6)+1),100))*INDEX('Work Items'!$S$6:$S$5000,SMALL(IF('Work Items'!$A$6:$A$5000="Risk",ROW('Work Items'!$A$6:$A$5000)-ROW('Work Items'!$A$6)+1),100)),INDEX('Work Items'!$U$6:$U$5000,SMALL(IF('Work Items'!$A$6:$A$5000="Risk",ROW('Work Items'!$A$6:$A$5000)-ROW('Work Items'!$A$6)+1),100))),"")</f>
        <v/>
      </c>
      <c r="L104" s="217">
        <f t="array" ref="L104">IFERROR(INDEX('Work Items'!$Q$6:$Q$5000,SMALL(IF('Work Items'!$A$6:$A$5000="Risk",ROW('Work Items'!$A$6:$A$5000)-ROW('Work Items'!$A$6)+1),100)),"")</f>
        <v/>
      </c>
      <c r="M104">
        <f t="array" ref="M104">IFERROR(INDEX('Work Items'!$T$6:$T$5000,SMALL(IF('Work Items'!$A$6:$A$5000="Risk",ROW('Work Items'!$A$6:$A$5000)-ROW('Work Items'!$A$6)+1),100)),"")</f>
        <v/>
      </c>
    </row>
    <row r="105">
      <c r="A105">
        <f t="array" ref="A105">IFERROR(INDEX('Work Items'!$A$6:$A$5000,SMALL(IF('Work Items'!$A$6:$A$5000="Risk",ROW('Work Items'!$A$6:$A$5000)-ROW('Work Items'!$A$6)+1),101)),"")</f>
        <v/>
      </c>
      <c r="B105">
        <f t="array" ref="B105">IFERROR(INDEX('Work Items'!$B$6:$B$5000,SMALL(IF('Work Items'!$A$6:$A$5000="Risk",ROW('Work Items'!$A$6:$A$5000)-ROW('Work Items'!$A$6)+1),101)),"")</f>
        <v/>
      </c>
      <c r="C105">
        <f>IF(E105="","",IFERROR(INDEX('Projects Master'!$A:$A,MATCH(E105,'Projects Master'!$B:$B,0)),"OrgRisk"))</f>
        <v/>
      </c>
      <c r="D105">
        <f t="array" ref="D105">IFERROR(INDEX('Work Items'!$C$6:$C$5000,SMALL(IF('Work Items'!$A$6:$A$5000="Risk",ROW('Work Items'!$A$6:$A$5000)-ROW('Work Items'!$A$6)+1),101)),"")</f>
        <v/>
      </c>
      <c r="E105">
        <f t="array" ref="E105">IFERROR(INDEX('Work Items'!$D$6:$D$5000,SMALL(IF('Work Items'!$A$6:$A$5000="Risk",ROW('Work Items'!$A$6:$A$5000)-ROW('Work Items'!$A$6)+1),101)),"")</f>
        <v/>
      </c>
      <c r="F105">
        <f t="array" ref="F105">IFERROR(INDEX('Work Items'!$E$6:$E$5000,SMALL(IF('Work Items'!$A$6:$A$5000="Risk",ROW('Work Items'!$A$6:$A$5000)-ROW('Work Items'!$A$6)+1),101)),"")</f>
        <v/>
      </c>
      <c r="G105">
        <f t="array" ref="G105">IFERROR(INDEX('Work Items'!$F$6:$F$5000,SMALL(IF('Work Items'!$A$6:$A$5000="Risk",ROW('Work Items'!$A$6:$A$5000)-ROW('Work Items'!$A$6)+1),101)),"")</f>
        <v/>
      </c>
      <c r="H105">
        <f t="array" ref="H105">IFERROR(INDEX('Work Items'!$J$6:$J$5000,SMALL(IF('Work Items'!$A$6:$A$5000="Risk",ROW('Work Items'!$A$6:$A$5000)-ROW('Work Items'!$A$6)+1),101)),"")</f>
        <v/>
      </c>
      <c r="I105">
        <f t="array" ref="I105">IFERROR(INDEX('Work Items'!$K$6:$K$5000,SMALL(IF('Work Items'!$A$6:$A$5000="Risk",ROW('Work Items'!$A$6:$A$5000)-ROW('Work Items'!$A$6)+1),101)),"")</f>
        <v/>
      </c>
      <c r="J105">
        <f t="array" ref="J105">IFERROR(INDEX('Work Items'!$L$6:$L$5000,SMALL(IF('Work Items'!$A$6:$A$5000="Risk",ROW('Work Items'!$A$6:$A$5000)-ROW('Work Items'!$A$6)+1),101)),"")</f>
        <v/>
      </c>
      <c r="K105">
        <f t="array" ref="K105">IFERROR(IF(AND(INDEX('Work Items'!$R$6:$R$5000,SMALL(IF('Work Items'!$A$6:$A$5000="Risk",ROW('Work Items'!$A$6:$A$5000)-ROW('Work Items'!$A$6)+1),101))&lt;&gt;"",INDEX('Work Items'!$S$6:$S$5000,SMALL(IF('Work Items'!$A$6:$A$5000="Risk",ROW('Work Items'!$A$6:$A$5000)-ROW('Work Items'!$A$6)+1),101))&lt;&gt;""),INDEX('Work Items'!$R$6:$R$5000,SMALL(IF('Work Items'!$A$6:$A$5000="Risk",ROW('Work Items'!$A$6:$A$5000)-ROW('Work Items'!$A$6)+1),101))*INDEX('Work Items'!$S$6:$S$5000,SMALL(IF('Work Items'!$A$6:$A$5000="Risk",ROW('Work Items'!$A$6:$A$5000)-ROW('Work Items'!$A$6)+1),101)),INDEX('Work Items'!$U$6:$U$5000,SMALL(IF('Work Items'!$A$6:$A$5000="Risk",ROW('Work Items'!$A$6:$A$5000)-ROW('Work Items'!$A$6)+1),101))),"")</f>
        <v/>
      </c>
      <c r="L105" s="217">
        <f t="array" ref="L105">IFERROR(INDEX('Work Items'!$Q$6:$Q$5000,SMALL(IF('Work Items'!$A$6:$A$5000="Risk",ROW('Work Items'!$A$6:$A$5000)-ROW('Work Items'!$A$6)+1),101)),"")</f>
        <v/>
      </c>
      <c r="M105">
        <f t="array" ref="M105">IFERROR(INDEX('Work Items'!$T$6:$T$5000,SMALL(IF('Work Items'!$A$6:$A$5000="Risk",ROW('Work Items'!$A$6:$A$5000)-ROW('Work Items'!$A$6)+1),101)),"")</f>
        <v/>
      </c>
    </row>
    <row r="106">
      <c r="A106">
        <f t="array" ref="A106">IFERROR(INDEX('Work Items'!$A$6:$A$5000,SMALL(IF('Work Items'!$A$6:$A$5000="Risk",ROW('Work Items'!$A$6:$A$5000)-ROW('Work Items'!$A$6)+1),102)),"")</f>
        <v/>
      </c>
      <c r="B106">
        <f t="array" ref="B106">IFERROR(INDEX('Work Items'!$B$6:$B$5000,SMALL(IF('Work Items'!$A$6:$A$5000="Risk",ROW('Work Items'!$A$6:$A$5000)-ROW('Work Items'!$A$6)+1),102)),"")</f>
        <v/>
      </c>
      <c r="C106">
        <f>IF(E106="","",IFERROR(INDEX('Projects Master'!$A:$A,MATCH(E106,'Projects Master'!$B:$B,0)),"OrgRisk"))</f>
        <v/>
      </c>
      <c r="D106">
        <f t="array" ref="D106">IFERROR(INDEX('Work Items'!$C$6:$C$5000,SMALL(IF('Work Items'!$A$6:$A$5000="Risk",ROW('Work Items'!$A$6:$A$5000)-ROW('Work Items'!$A$6)+1),102)),"")</f>
        <v/>
      </c>
      <c r="E106">
        <f t="array" ref="E106">IFERROR(INDEX('Work Items'!$D$6:$D$5000,SMALL(IF('Work Items'!$A$6:$A$5000="Risk",ROW('Work Items'!$A$6:$A$5000)-ROW('Work Items'!$A$6)+1),102)),"")</f>
        <v/>
      </c>
      <c r="F106">
        <f t="array" ref="F106">IFERROR(INDEX('Work Items'!$E$6:$E$5000,SMALL(IF('Work Items'!$A$6:$A$5000="Risk",ROW('Work Items'!$A$6:$A$5000)-ROW('Work Items'!$A$6)+1),102)),"")</f>
        <v/>
      </c>
      <c r="G106">
        <f t="array" ref="G106">IFERROR(INDEX('Work Items'!$F$6:$F$5000,SMALL(IF('Work Items'!$A$6:$A$5000="Risk",ROW('Work Items'!$A$6:$A$5000)-ROW('Work Items'!$A$6)+1),102)),"")</f>
        <v/>
      </c>
      <c r="H106">
        <f t="array" ref="H106">IFERROR(INDEX('Work Items'!$J$6:$J$5000,SMALL(IF('Work Items'!$A$6:$A$5000="Risk",ROW('Work Items'!$A$6:$A$5000)-ROW('Work Items'!$A$6)+1),102)),"")</f>
        <v/>
      </c>
      <c r="I106">
        <f t="array" ref="I106">IFERROR(INDEX('Work Items'!$K$6:$K$5000,SMALL(IF('Work Items'!$A$6:$A$5000="Risk",ROW('Work Items'!$A$6:$A$5000)-ROW('Work Items'!$A$6)+1),102)),"")</f>
        <v/>
      </c>
      <c r="J106">
        <f t="array" ref="J106">IFERROR(INDEX('Work Items'!$L$6:$L$5000,SMALL(IF('Work Items'!$A$6:$A$5000="Risk",ROW('Work Items'!$A$6:$A$5000)-ROW('Work Items'!$A$6)+1),102)),"")</f>
        <v/>
      </c>
      <c r="K106">
        <f t="array" ref="K106">IFERROR(IF(AND(INDEX('Work Items'!$R$6:$R$5000,SMALL(IF('Work Items'!$A$6:$A$5000="Risk",ROW('Work Items'!$A$6:$A$5000)-ROW('Work Items'!$A$6)+1),102))&lt;&gt;"",INDEX('Work Items'!$S$6:$S$5000,SMALL(IF('Work Items'!$A$6:$A$5000="Risk",ROW('Work Items'!$A$6:$A$5000)-ROW('Work Items'!$A$6)+1),102))&lt;&gt;""),INDEX('Work Items'!$R$6:$R$5000,SMALL(IF('Work Items'!$A$6:$A$5000="Risk",ROW('Work Items'!$A$6:$A$5000)-ROW('Work Items'!$A$6)+1),102))*INDEX('Work Items'!$S$6:$S$5000,SMALL(IF('Work Items'!$A$6:$A$5000="Risk",ROW('Work Items'!$A$6:$A$5000)-ROW('Work Items'!$A$6)+1),102)),INDEX('Work Items'!$U$6:$U$5000,SMALL(IF('Work Items'!$A$6:$A$5000="Risk",ROW('Work Items'!$A$6:$A$5000)-ROW('Work Items'!$A$6)+1),102))),"")</f>
        <v/>
      </c>
      <c r="L106" s="217">
        <f t="array" ref="L106">IFERROR(INDEX('Work Items'!$Q$6:$Q$5000,SMALL(IF('Work Items'!$A$6:$A$5000="Risk",ROW('Work Items'!$A$6:$A$5000)-ROW('Work Items'!$A$6)+1),102)),"")</f>
        <v/>
      </c>
      <c r="M106">
        <f t="array" ref="M106">IFERROR(INDEX('Work Items'!$T$6:$T$5000,SMALL(IF('Work Items'!$A$6:$A$5000="Risk",ROW('Work Items'!$A$6:$A$5000)-ROW('Work Items'!$A$6)+1),102)),"")</f>
        <v/>
      </c>
    </row>
    <row r="107">
      <c r="A107">
        <f t="array" ref="A107">IFERROR(INDEX('Work Items'!$A$6:$A$5000,SMALL(IF('Work Items'!$A$6:$A$5000="Risk",ROW('Work Items'!$A$6:$A$5000)-ROW('Work Items'!$A$6)+1),103)),"")</f>
        <v/>
      </c>
      <c r="B107">
        <f t="array" ref="B107">IFERROR(INDEX('Work Items'!$B$6:$B$5000,SMALL(IF('Work Items'!$A$6:$A$5000="Risk",ROW('Work Items'!$A$6:$A$5000)-ROW('Work Items'!$A$6)+1),103)),"")</f>
        <v/>
      </c>
      <c r="C107">
        <f>IF(E107="","",IFERROR(INDEX('Projects Master'!$A:$A,MATCH(E107,'Projects Master'!$B:$B,0)),"OrgRisk"))</f>
        <v/>
      </c>
      <c r="D107">
        <f t="array" ref="D107">IFERROR(INDEX('Work Items'!$C$6:$C$5000,SMALL(IF('Work Items'!$A$6:$A$5000="Risk",ROW('Work Items'!$A$6:$A$5000)-ROW('Work Items'!$A$6)+1),103)),"")</f>
        <v/>
      </c>
      <c r="E107">
        <f t="array" ref="E107">IFERROR(INDEX('Work Items'!$D$6:$D$5000,SMALL(IF('Work Items'!$A$6:$A$5000="Risk",ROW('Work Items'!$A$6:$A$5000)-ROW('Work Items'!$A$6)+1),103)),"")</f>
        <v/>
      </c>
      <c r="F107">
        <f t="array" ref="F107">IFERROR(INDEX('Work Items'!$E$6:$E$5000,SMALL(IF('Work Items'!$A$6:$A$5000="Risk",ROW('Work Items'!$A$6:$A$5000)-ROW('Work Items'!$A$6)+1),103)),"")</f>
        <v/>
      </c>
      <c r="G107">
        <f t="array" ref="G107">IFERROR(INDEX('Work Items'!$F$6:$F$5000,SMALL(IF('Work Items'!$A$6:$A$5000="Risk",ROW('Work Items'!$A$6:$A$5000)-ROW('Work Items'!$A$6)+1),103)),"")</f>
        <v/>
      </c>
      <c r="H107">
        <f t="array" ref="H107">IFERROR(INDEX('Work Items'!$J$6:$J$5000,SMALL(IF('Work Items'!$A$6:$A$5000="Risk",ROW('Work Items'!$A$6:$A$5000)-ROW('Work Items'!$A$6)+1),103)),"")</f>
        <v/>
      </c>
      <c r="I107">
        <f t="array" ref="I107">IFERROR(INDEX('Work Items'!$K$6:$K$5000,SMALL(IF('Work Items'!$A$6:$A$5000="Risk",ROW('Work Items'!$A$6:$A$5000)-ROW('Work Items'!$A$6)+1),103)),"")</f>
        <v/>
      </c>
      <c r="J107">
        <f t="array" ref="J107">IFERROR(INDEX('Work Items'!$L$6:$L$5000,SMALL(IF('Work Items'!$A$6:$A$5000="Risk",ROW('Work Items'!$A$6:$A$5000)-ROW('Work Items'!$A$6)+1),103)),"")</f>
        <v/>
      </c>
      <c r="K107">
        <f t="array" ref="K107">IFERROR(IF(AND(INDEX('Work Items'!$R$6:$R$5000,SMALL(IF('Work Items'!$A$6:$A$5000="Risk",ROW('Work Items'!$A$6:$A$5000)-ROW('Work Items'!$A$6)+1),103))&lt;&gt;"",INDEX('Work Items'!$S$6:$S$5000,SMALL(IF('Work Items'!$A$6:$A$5000="Risk",ROW('Work Items'!$A$6:$A$5000)-ROW('Work Items'!$A$6)+1),103))&lt;&gt;""),INDEX('Work Items'!$R$6:$R$5000,SMALL(IF('Work Items'!$A$6:$A$5000="Risk",ROW('Work Items'!$A$6:$A$5000)-ROW('Work Items'!$A$6)+1),103))*INDEX('Work Items'!$S$6:$S$5000,SMALL(IF('Work Items'!$A$6:$A$5000="Risk",ROW('Work Items'!$A$6:$A$5000)-ROW('Work Items'!$A$6)+1),103)),INDEX('Work Items'!$U$6:$U$5000,SMALL(IF('Work Items'!$A$6:$A$5000="Risk",ROW('Work Items'!$A$6:$A$5000)-ROW('Work Items'!$A$6)+1),103))),"")</f>
        <v/>
      </c>
      <c r="L107" s="217">
        <f t="array" ref="L107">IFERROR(INDEX('Work Items'!$Q$6:$Q$5000,SMALL(IF('Work Items'!$A$6:$A$5000="Risk",ROW('Work Items'!$A$6:$A$5000)-ROW('Work Items'!$A$6)+1),103)),"")</f>
        <v/>
      </c>
      <c r="M107">
        <f t="array" ref="M107">IFERROR(INDEX('Work Items'!$T$6:$T$5000,SMALL(IF('Work Items'!$A$6:$A$5000="Risk",ROW('Work Items'!$A$6:$A$5000)-ROW('Work Items'!$A$6)+1),103)),"")</f>
        <v/>
      </c>
    </row>
    <row r="108">
      <c r="A108">
        <f t="array" ref="A108">IFERROR(INDEX('Work Items'!$A$6:$A$5000,SMALL(IF('Work Items'!$A$6:$A$5000="Risk",ROW('Work Items'!$A$6:$A$5000)-ROW('Work Items'!$A$6)+1),104)),"")</f>
        <v/>
      </c>
      <c r="B108">
        <f t="array" ref="B108">IFERROR(INDEX('Work Items'!$B$6:$B$5000,SMALL(IF('Work Items'!$A$6:$A$5000="Risk",ROW('Work Items'!$A$6:$A$5000)-ROW('Work Items'!$A$6)+1),104)),"")</f>
        <v/>
      </c>
      <c r="C108">
        <f>IF(E108="","",IFERROR(INDEX('Projects Master'!$A:$A,MATCH(E108,'Projects Master'!$B:$B,0)),"OrgRisk"))</f>
        <v/>
      </c>
      <c r="D108">
        <f t="array" ref="D108">IFERROR(INDEX('Work Items'!$C$6:$C$5000,SMALL(IF('Work Items'!$A$6:$A$5000="Risk",ROW('Work Items'!$A$6:$A$5000)-ROW('Work Items'!$A$6)+1),104)),"")</f>
        <v/>
      </c>
      <c r="E108">
        <f t="array" ref="E108">IFERROR(INDEX('Work Items'!$D$6:$D$5000,SMALL(IF('Work Items'!$A$6:$A$5000="Risk",ROW('Work Items'!$A$6:$A$5000)-ROW('Work Items'!$A$6)+1),104)),"")</f>
        <v/>
      </c>
      <c r="F108">
        <f t="array" ref="F108">IFERROR(INDEX('Work Items'!$E$6:$E$5000,SMALL(IF('Work Items'!$A$6:$A$5000="Risk",ROW('Work Items'!$A$6:$A$5000)-ROW('Work Items'!$A$6)+1),104)),"")</f>
        <v/>
      </c>
      <c r="G108">
        <f t="array" ref="G108">IFERROR(INDEX('Work Items'!$F$6:$F$5000,SMALL(IF('Work Items'!$A$6:$A$5000="Risk",ROW('Work Items'!$A$6:$A$5000)-ROW('Work Items'!$A$6)+1),104)),"")</f>
        <v/>
      </c>
      <c r="H108">
        <f t="array" ref="H108">IFERROR(INDEX('Work Items'!$J$6:$J$5000,SMALL(IF('Work Items'!$A$6:$A$5000="Risk",ROW('Work Items'!$A$6:$A$5000)-ROW('Work Items'!$A$6)+1),104)),"")</f>
        <v/>
      </c>
      <c r="I108">
        <f t="array" ref="I108">IFERROR(INDEX('Work Items'!$K$6:$K$5000,SMALL(IF('Work Items'!$A$6:$A$5000="Risk",ROW('Work Items'!$A$6:$A$5000)-ROW('Work Items'!$A$6)+1),104)),"")</f>
        <v/>
      </c>
      <c r="J108">
        <f t="array" ref="J108">IFERROR(INDEX('Work Items'!$L$6:$L$5000,SMALL(IF('Work Items'!$A$6:$A$5000="Risk",ROW('Work Items'!$A$6:$A$5000)-ROW('Work Items'!$A$6)+1),104)),"")</f>
        <v/>
      </c>
      <c r="K108">
        <f t="array" ref="K108">IFERROR(IF(AND(INDEX('Work Items'!$R$6:$R$5000,SMALL(IF('Work Items'!$A$6:$A$5000="Risk",ROW('Work Items'!$A$6:$A$5000)-ROW('Work Items'!$A$6)+1),104))&lt;&gt;"",INDEX('Work Items'!$S$6:$S$5000,SMALL(IF('Work Items'!$A$6:$A$5000="Risk",ROW('Work Items'!$A$6:$A$5000)-ROW('Work Items'!$A$6)+1),104))&lt;&gt;""),INDEX('Work Items'!$R$6:$R$5000,SMALL(IF('Work Items'!$A$6:$A$5000="Risk",ROW('Work Items'!$A$6:$A$5000)-ROW('Work Items'!$A$6)+1),104))*INDEX('Work Items'!$S$6:$S$5000,SMALL(IF('Work Items'!$A$6:$A$5000="Risk",ROW('Work Items'!$A$6:$A$5000)-ROW('Work Items'!$A$6)+1),104)),INDEX('Work Items'!$U$6:$U$5000,SMALL(IF('Work Items'!$A$6:$A$5000="Risk",ROW('Work Items'!$A$6:$A$5000)-ROW('Work Items'!$A$6)+1),104))),"")</f>
        <v/>
      </c>
      <c r="L108" s="217">
        <f t="array" ref="L108">IFERROR(INDEX('Work Items'!$Q$6:$Q$5000,SMALL(IF('Work Items'!$A$6:$A$5000="Risk",ROW('Work Items'!$A$6:$A$5000)-ROW('Work Items'!$A$6)+1),104)),"")</f>
        <v/>
      </c>
      <c r="M108">
        <f t="array" ref="M108">IFERROR(INDEX('Work Items'!$T$6:$T$5000,SMALL(IF('Work Items'!$A$6:$A$5000="Risk",ROW('Work Items'!$A$6:$A$5000)-ROW('Work Items'!$A$6)+1),104)),"")</f>
        <v/>
      </c>
    </row>
    <row r="109">
      <c r="A109">
        <f t="array" ref="A109">IFERROR(INDEX('Work Items'!$A$6:$A$5000,SMALL(IF('Work Items'!$A$6:$A$5000="Risk",ROW('Work Items'!$A$6:$A$5000)-ROW('Work Items'!$A$6)+1),105)),"")</f>
        <v/>
      </c>
      <c r="B109">
        <f t="array" ref="B109">IFERROR(INDEX('Work Items'!$B$6:$B$5000,SMALL(IF('Work Items'!$A$6:$A$5000="Risk",ROW('Work Items'!$A$6:$A$5000)-ROW('Work Items'!$A$6)+1),105)),"")</f>
        <v/>
      </c>
      <c r="C109">
        <f>IF(E109="","",IFERROR(INDEX('Projects Master'!$A:$A,MATCH(E109,'Projects Master'!$B:$B,0)),"OrgRisk"))</f>
        <v/>
      </c>
      <c r="D109">
        <f t="array" ref="D109">IFERROR(INDEX('Work Items'!$C$6:$C$5000,SMALL(IF('Work Items'!$A$6:$A$5000="Risk",ROW('Work Items'!$A$6:$A$5000)-ROW('Work Items'!$A$6)+1),105)),"")</f>
        <v/>
      </c>
      <c r="E109">
        <f t="array" ref="E109">IFERROR(INDEX('Work Items'!$D$6:$D$5000,SMALL(IF('Work Items'!$A$6:$A$5000="Risk",ROW('Work Items'!$A$6:$A$5000)-ROW('Work Items'!$A$6)+1),105)),"")</f>
        <v/>
      </c>
      <c r="F109">
        <f t="array" ref="F109">IFERROR(INDEX('Work Items'!$E$6:$E$5000,SMALL(IF('Work Items'!$A$6:$A$5000="Risk",ROW('Work Items'!$A$6:$A$5000)-ROW('Work Items'!$A$6)+1),105)),"")</f>
        <v/>
      </c>
      <c r="G109">
        <f t="array" ref="G109">IFERROR(INDEX('Work Items'!$F$6:$F$5000,SMALL(IF('Work Items'!$A$6:$A$5000="Risk",ROW('Work Items'!$A$6:$A$5000)-ROW('Work Items'!$A$6)+1),105)),"")</f>
        <v/>
      </c>
      <c r="H109">
        <f t="array" ref="H109">IFERROR(INDEX('Work Items'!$J$6:$J$5000,SMALL(IF('Work Items'!$A$6:$A$5000="Risk",ROW('Work Items'!$A$6:$A$5000)-ROW('Work Items'!$A$6)+1),105)),"")</f>
        <v/>
      </c>
      <c r="I109">
        <f t="array" ref="I109">IFERROR(INDEX('Work Items'!$K$6:$K$5000,SMALL(IF('Work Items'!$A$6:$A$5000="Risk",ROW('Work Items'!$A$6:$A$5000)-ROW('Work Items'!$A$6)+1),105)),"")</f>
        <v/>
      </c>
      <c r="J109">
        <f t="array" ref="J109">IFERROR(INDEX('Work Items'!$L$6:$L$5000,SMALL(IF('Work Items'!$A$6:$A$5000="Risk",ROW('Work Items'!$A$6:$A$5000)-ROW('Work Items'!$A$6)+1),105)),"")</f>
        <v/>
      </c>
      <c r="K109">
        <f t="array" ref="K109">IFERROR(IF(AND(INDEX('Work Items'!$R$6:$R$5000,SMALL(IF('Work Items'!$A$6:$A$5000="Risk",ROW('Work Items'!$A$6:$A$5000)-ROW('Work Items'!$A$6)+1),105))&lt;&gt;"",INDEX('Work Items'!$S$6:$S$5000,SMALL(IF('Work Items'!$A$6:$A$5000="Risk",ROW('Work Items'!$A$6:$A$5000)-ROW('Work Items'!$A$6)+1),105))&lt;&gt;""),INDEX('Work Items'!$R$6:$R$5000,SMALL(IF('Work Items'!$A$6:$A$5000="Risk",ROW('Work Items'!$A$6:$A$5000)-ROW('Work Items'!$A$6)+1),105))*INDEX('Work Items'!$S$6:$S$5000,SMALL(IF('Work Items'!$A$6:$A$5000="Risk",ROW('Work Items'!$A$6:$A$5000)-ROW('Work Items'!$A$6)+1),105)),INDEX('Work Items'!$U$6:$U$5000,SMALL(IF('Work Items'!$A$6:$A$5000="Risk",ROW('Work Items'!$A$6:$A$5000)-ROW('Work Items'!$A$6)+1),105))),"")</f>
        <v/>
      </c>
      <c r="L109" s="217">
        <f t="array" ref="L109">IFERROR(INDEX('Work Items'!$Q$6:$Q$5000,SMALL(IF('Work Items'!$A$6:$A$5000="Risk",ROW('Work Items'!$A$6:$A$5000)-ROW('Work Items'!$A$6)+1),105)),"")</f>
        <v/>
      </c>
      <c r="M109">
        <f t="array" ref="M109">IFERROR(INDEX('Work Items'!$T$6:$T$5000,SMALL(IF('Work Items'!$A$6:$A$5000="Risk",ROW('Work Items'!$A$6:$A$5000)-ROW('Work Items'!$A$6)+1),105)),"")</f>
        <v/>
      </c>
    </row>
    <row r="110">
      <c r="A110">
        <f t="array" ref="A110">IFERROR(INDEX('Work Items'!$A$6:$A$5000,SMALL(IF('Work Items'!$A$6:$A$5000="Risk",ROW('Work Items'!$A$6:$A$5000)-ROW('Work Items'!$A$6)+1),106)),"")</f>
        <v/>
      </c>
      <c r="B110">
        <f t="array" ref="B110">IFERROR(INDEX('Work Items'!$B$6:$B$5000,SMALL(IF('Work Items'!$A$6:$A$5000="Risk",ROW('Work Items'!$A$6:$A$5000)-ROW('Work Items'!$A$6)+1),106)),"")</f>
        <v/>
      </c>
      <c r="C110">
        <f>IF(E110="","",IFERROR(INDEX('Projects Master'!$A:$A,MATCH(E110,'Projects Master'!$B:$B,0)),"OrgRisk"))</f>
        <v/>
      </c>
      <c r="D110">
        <f t="array" ref="D110">IFERROR(INDEX('Work Items'!$C$6:$C$5000,SMALL(IF('Work Items'!$A$6:$A$5000="Risk",ROW('Work Items'!$A$6:$A$5000)-ROW('Work Items'!$A$6)+1),106)),"")</f>
        <v/>
      </c>
      <c r="E110">
        <f t="array" ref="E110">IFERROR(INDEX('Work Items'!$D$6:$D$5000,SMALL(IF('Work Items'!$A$6:$A$5000="Risk",ROW('Work Items'!$A$6:$A$5000)-ROW('Work Items'!$A$6)+1),106)),"")</f>
        <v/>
      </c>
      <c r="F110">
        <f t="array" ref="F110">IFERROR(INDEX('Work Items'!$E$6:$E$5000,SMALL(IF('Work Items'!$A$6:$A$5000="Risk",ROW('Work Items'!$A$6:$A$5000)-ROW('Work Items'!$A$6)+1),106)),"")</f>
        <v/>
      </c>
      <c r="G110">
        <f t="array" ref="G110">IFERROR(INDEX('Work Items'!$F$6:$F$5000,SMALL(IF('Work Items'!$A$6:$A$5000="Risk",ROW('Work Items'!$A$6:$A$5000)-ROW('Work Items'!$A$6)+1),106)),"")</f>
        <v/>
      </c>
      <c r="H110">
        <f t="array" ref="H110">IFERROR(INDEX('Work Items'!$J$6:$J$5000,SMALL(IF('Work Items'!$A$6:$A$5000="Risk",ROW('Work Items'!$A$6:$A$5000)-ROW('Work Items'!$A$6)+1),106)),"")</f>
        <v/>
      </c>
      <c r="I110">
        <f t="array" ref="I110">IFERROR(INDEX('Work Items'!$K$6:$K$5000,SMALL(IF('Work Items'!$A$6:$A$5000="Risk",ROW('Work Items'!$A$6:$A$5000)-ROW('Work Items'!$A$6)+1),106)),"")</f>
        <v/>
      </c>
      <c r="J110">
        <f t="array" ref="J110">IFERROR(INDEX('Work Items'!$L$6:$L$5000,SMALL(IF('Work Items'!$A$6:$A$5000="Risk",ROW('Work Items'!$A$6:$A$5000)-ROW('Work Items'!$A$6)+1),106)),"")</f>
        <v/>
      </c>
      <c r="K110">
        <f t="array" ref="K110">IFERROR(IF(AND(INDEX('Work Items'!$R$6:$R$5000,SMALL(IF('Work Items'!$A$6:$A$5000="Risk",ROW('Work Items'!$A$6:$A$5000)-ROW('Work Items'!$A$6)+1),106))&lt;&gt;"",INDEX('Work Items'!$S$6:$S$5000,SMALL(IF('Work Items'!$A$6:$A$5000="Risk",ROW('Work Items'!$A$6:$A$5000)-ROW('Work Items'!$A$6)+1),106))&lt;&gt;""),INDEX('Work Items'!$R$6:$R$5000,SMALL(IF('Work Items'!$A$6:$A$5000="Risk",ROW('Work Items'!$A$6:$A$5000)-ROW('Work Items'!$A$6)+1),106))*INDEX('Work Items'!$S$6:$S$5000,SMALL(IF('Work Items'!$A$6:$A$5000="Risk",ROW('Work Items'!$A$6:$A$5000)-ROW('Work Items'!$A$6)+1),106)),INDEX('Work Items'!$U$6:$U$5000,SMALL(IF('Work Items'!$A$6:$A$5000="Risk",ROW('Work Items'!$A$6:$A$5000)-ROW('Work Items'!$A$6)+1),106))),"")</f>
        <v/>
      </c>
      <c r="L110" s="217">
        <f t="array" ref="L110">IFERROR(INDEX('Work Items'!$Q$6:$Q$5000,SMALL(IF('Work Items'!$A$6:$A$5000="Risk",ROW('Work Items'!$A$6:$A$5000)-ROW('Work Items'!$A$6)+1),106)),"")</f>
        <v/>
      </c>
      <c r="M110">
        <f t="array" ref="M110">IFERROR(INDEX('Work Items'!$T$6:$T$5000,SMALL(IF('Work Items'!$A$6:$A$5000="Risk",ROW('Work Items'!$A$6:$A$5000)-ROW('Work Items'!$A$6)+1),106)),"")</f>
        <v/>
      </c>
    </row>
    <row r="111">
      <c r="A111">
        <f t="array" ref="A111">IFERROR(INDEX('Work Items'!$A$6:$A$5000,SMALL(IF('Work Items'!$A$6:$A$5000="Risk",ROW('Work Items'!$A$6:$A$5000)-ROW('Work Items'!$A$6)+1),107)),"")</f>
        <v/>
      </c>
      <c r="B111">
        <f t="array" ref="B111">IFERROR(INDEX('Work Items'!$B$6:$B$5000,SMALL(IF('Work Items'!$A$6:$A$5000="Risk",ROW('Work Items'!$A$6:$A$5000)-ROW('Work Items'!$A$6)+1),107)),"")</f>
        <v/>
      </c>
      <c r="C111">
        <f>IF(E111="","",IFERROR(INDEX('Projects Master'!$A:$A,MATCH(E111,'Projects Master'!$B:$B,0)),"OrgRisk"))</f>
        <v/>
      </c>
      <c r="D111">
        <f t="array" ref="D111">IFERROR(INDEX('Work Items'!$C$6:$C$5000,SMALL(IF('Work Items'!$A$6:$A$5000="Risk",ROW('Work Items'!$A$6:$A$5000)-ROW('Work Items'!$A$6)+1),107)),"")</f>
        <v/>
      </c>
      <c r="E111">
        <f t="array" ref="E111">IFERROR(INDEX('Work Items'!$D$6:$D$5000,SMALL(IF('Work Items'!$A$6:$A$5000="Risk",ROW('Work Items'!$A$6:$A$5000)-ROW('Work Items'!$A$6)+1),107)),"")</f>
        <v/>
      </c>
      <c r="F111">
        <f t="array" ref="F111">IFERROR(INDEX('Work Items'!$E$6:$E$5000,SMALL(IF('Work Items'!$A$6:$A$5000="Risk",ROW('Work Items'!$A$6:$A$5000)-ROW('Work Items'!$A$6)+1),107)),"")</f>
        <v/>
      </c>
      <c r="G111">
        <f t="array" ref="G111">IFERROR(INDEX('Work Items'!$F$6:$F$5000,SMALL(IF('Work Items'!$A$6:$A$5000="Risk",ROW('Work Items'!$A$6:$A$5000)-ROW('Work Items'!$A$6)+1),107)),"")</f>
        <v/>
      </c>
      <c r="H111">
        <f t="array" ref="H111">IFERROR(INDEX('Work Items'!$J$6:$J$5000,SMALL(IF('Work Items'!$A$6:$A$5000="Risk",ROW('Work Items'!$A$6:$A$5000)-ROW('Work Items'!$A$6)+1),107)),"")</f>
        <v/>
      </c>
      <c r="I111">
        <f t="array" ref="I111">IFERROR(INDEX('Work Items'!$K$6:$K$5000,SMALL(IF('Work Items'!$A$6:$A$5000="Risk",ROW('Work Items'!$A$6:$A$5000)-ROW('Work Items'!$A$6)+1),107)),"")</f>
        <v/>
      </c>
      <c r="J111">
        <f t="array" ref="J111">IFERROR(INDEX('Work Items'!$L$6:$L$5000,SMALL(IF('Work Items'!$A$6:$A$5000="Risk",ROW('Work Items'!$A$6:$A$5000)-ROW('Work Items'!$A$6)+1),107)),"")</f>
        <v/>
      </c>
      <c r="K111">
        <f t="array" ref="K111">IFERROR(IF(AND(INDEX('Work Items'!$R$6:$R$5000,SMALL(IF('Work Items'!$A$6:$A$5000="Risk",ROW('Work Items'!$A$6:$A$5000)-ROW('Work Items'!$A$6)+1),107))&lt;&gt;"",INDEX('Work Items'!$S$6:$S$5000,SMALL(IF('Work Items'!$A$6:$A$5000="Risk",ROW('Work Items'!$A$6:$A$5000)-ROW('Work Items'!$A$6)+1),107))&lt;&gt;""),INDEX('Work Items'!$R$6:$R$5000,SMALL(IF('Work Items'!$A$6:$A$5000="Risk",ROW('Work Items'!$A$6:$A$5000)-ROW('Work Items'!$A$6)+1),107))*INDEX('Work Items'!$S$6:$S$5000,SMALL(IF('Work Items'!$A$6:$A$5000="Risk",ROW('Work Items'!$A$6:$A$5000)-ROW('Work Items'!$A$6)+1),107)),INDEX('Work Items'!$U$6:$U$5000,SMALL(IF('Work Items'!$A$6:$A$5000="Risk",ROW('Work Items'!$A$6:$A$5000)-ROW('Work Items'!$A$6)+1),107))),"")</f>
        <v/>
      </c>
      <c r="L111" s="217">
        <f t="array" ref="L111">IFERROR(INDEX('Work Items'!$Q$6:$Q$5000,SMALL(IF('Work Items'!$A$6:$A$5000="Risk",ROW('Work Items'!$A$6:$A$5000)-ROW('Work Items'!$A$6)+1),107)),"")</f>
        <v/>
      </c>
      <c r="M111">
        <f t="array" ref="M111">IFERROR(INDEX('Work Items'!$T$6:$T$5000,SMALL(IF('Work Items'!$A$6:$A$5000="Risk",ROW('Work Items'!$A$6:$A$5000)-ROW('Work Items'!$A$6)+1),107)),"")</f>
        <v/>
      </c>
    </row>
    <row r="112">
      <c r="A112">
        <f t="array" ref="A112">IFERROR(INDEX('Work Items'!$A$6:$A$5000,SMALL(IF('Work Items'!$A$6:$A$5000="Risk",ROW('Work Items'!$A$6:$A$5000)-ROW('Work Items'!$A$6)+1),108)),"")</f>
        <v/>
      </c>
      <c r="B112">
        <f t="array" ref="B112">IFERROR(INDEX('Work Items'!$B$6:$B$5000,SMALL(IF('Work Items'!$A$6:$A$5000="Risk",ROW('Work Items'!$A$6:$A$5000)-ROW('Work Items'!$A$6)+1),108)),"")</f>
        <v/>
      </c>
      <c r="C112">
        <f>IF(E112="","",IFERROR(INDEX('Projects Master'!$A:$A,MATCH(E112,'Projects Master'!$B:$B,0)),"OrgRisk"))</f>
        <v/>
      </c>
      <c r="D112">
        <f t="array" ref="D112">IFERROR(INDEX('Work Items'!$C$6:$C$5000,SMALL(IF('Work Items'!$A$6:$A$5000="Risk",ROW('Work Items'!$A$6:$A$5000)-ROW('Work Items'!$A$6)+1),108)),"")</f>
        <v/>
      </c>
      <c r="E112">
        <f t="array" ref="E112">IFERROR(INDEX('Work Items'!$D$6:$D$5000,SMALL(IF('Work Items'!$A$6:$A$5000="Risk",ROW('Work Items'!$A$6:$A$5000)-ROW('Work Items'!$A$6)+1),108)),"")</f>
        <v/>
      </c>
      <c r="F112">
        <f t="array" ref="F112">IFERROR(INDEX('Work Items'!$E$6:$E$5000,SMALL(IF('Work Items'!$A$6:$A$5000="Risk",ROW('Work Items'!$A$6:$A$5000)-ROW('Work Items'!$A$6)+1),108)),"")</f>
        <v/>
      </c>
      <c r="G112">
        <f t="array" ref="G112">IFERROR(INDEX('Work Items'!$F$6:$F$5000,SMALL(IF('Work Items'!$A$6:$A$5000="Risk",ROW('Work Items'!$A$6:$A$5000)-ROW('Work Items'!$A$6)+1),108)),"")</f>
        <v/>
      </c>
      <c r="H112">
        <f t="array" ref="H112">IFERROR(INDEX('Work Items'!$J$6:$J$5000,SMALL(IF('Work Items'!$A$6:$A$5000="Risk",ROW('Work Items'!$A$6:$A$5000)-ROW('Work Items'!$A$6)+1),108)),"")</f>
        <v/>
      </c>
      <c r="I112">
        <f t="array" ref="I112">IFERROR(INDEX('Work Items'!$K$6:$K$5000,SMALL(IF('Work Items'!$A$6:$A$5000="Risk",ROW('Work Items'!$A$6:$A$5000)-ROW('Work Items'!$A$6)+1),108)),"")</f>
        <v/>
      </c>
      <c r="J112">
        <f t="array" ref="J112">IFERROR(INDEX('Work Items'!$L$6:$L$5000,SMALL(IF('Work Items'!$A$6:$A$5000="Risk",ROW('Work Items'!$A$6:$A$5000)-ROW('Work Items'!$A$6)+1),108)),"")</f>
        <v/>
      </c>
      <c r="K112">
        <f t="array" ref="K112">IFERROR(IF(AND(INDEX('Work Items'!$R$6:$R$5000,SMALL(IF('Work Items'!$A$6:$A$5000="Risk",ROW('Work Items'!$A$6:$A$5000)-ROW('Work Items'!$A$6)+1),108))&lt;&gt;"",INDEX('Work Items'!$S$6:$S$5000,SMALL(IF('Work Items'!$A$6:$A$5000="Risk",ROW('Work Items'!$A$6:$A$5000)-ROW('Work Items'!$A$6)+1),108))&lt;&gt;""),INDEX('Work Items'!$R$6:$R$5000,SMALL(IF('Work Items'!$A$6:$A$5000="Risk",ROW('Work Items'!$A$6:$A$5000)-ROW('Work Items'!$A$6)+1),108))*INDEX('Work Items'!$S$6:$S$5000,SMALL(IF('Work Items'!$A$6:$A$5000="Risk",ROW('Work Items'!$A$6:$A$5000)-ROW('Work Items'!$A$6)+1),108)),INDEX('Work Items'!$U$6:$U$5000,SMALL(IF('Work Items'!$A$6:$A$5000="Risk",ROW('Work Items'!$A$6:$A$5000)-ROW('Work Items'!$A$6)+1),108))),"")</f>
        <v/>
      </c>
      <c r="L112" s="217">
        <f t="array" ref="L112">IFERROR(INDEX('Work Items'!$Q$6:$Q$5000,SMALL(IF('Work Items'!$A$6:$A$5000="Risk",ROW('Work Items'!$A$6:$A$5000)-ROW('Work Items'!$A$6)+1),108)),"")</f>
        <v/>
      </c>
      <c r="M112">
        <f t="array" ref="M112">IFERROR(INDEX('Work Items'!$T$6:$T$5000,SMALL(IF('Work Items'!$A$6:$A$5000="Risk",ROW('Work Items'!$A$6:$A$5000)-ROW('Work Items'!$A$6)+1),108)),"")</f>
        <v/>
      </c>
    </row>
    <row r="113">
      <c r="A113">
        <f t="array" ref="A113">IFERROR(INDEX('Work Items'!$A$6:$A$5000,SMALL(IF('Work Items'!$A$6:$A$5000="Risk",ROW('Work Items'!$A$6:$A$5000)-ROW('Work Items'!$A$6)+1),109)),"")</f>
        <v/>
      </c>
      <c r="B113">
        <f t="array" ref="B113">IFERROR(INDEX('Work Items'!$B$6:$B$5000,SMALL(IF('Work Items'!$A$6:$A$5000="Risk",ROW('Work Items'!$A$6:$A$5000)-ROW('Work Items'!$A$6)+1),109)),"")</f>
        <v/>
      </c>
      <c r="C113">
        <f>IF(E113="","",IFERROR(INDEX('Projects Master'!$A:$A,MATCH(E113,'Projects Master'!$B:$B,0)),"OrgRisk"))</f>
        <v/>
      </c>
      <c r="D113">
        <f t="array" ref="D113">IFERROR(INDEX('Work Items'!$C$6:$C$5000,SMALL(IF('Work Items'!$A$6:$A$5000="Risk",ROW('Work Items'!$A$6:$A$5000)-ROW('Work Items'!$A$6)+1),109)),"")</f>
        <v/>
      </c>
      <c r="E113">
        <f t="array" ref="E113">IFERROR(INDEX('Work Items'!$D$6:$D$5000,SMALL(IF('Work Items'!$A$6:$A$5000="Risk",ROW('Work Items'!$A$6:$A$5000)-ROW('Work Items'!$A$6)+1),109)),"")</f>
        <v/>
      </c>
      <c r="F113">
        <f t="array" ref="F113">IFERROR(INDEX('Work Items'!$E$6:$E$5000,SMALL(IF('Work Items'!$A$6:$A$5000="Risk",ROW('Work Items'!$A$6:$A$5000)-ROW('Work Items'!$A$6)+1),109)),"")</f>
        <v/>
      </c>
      <c r="G113">
        <f t="array" ref="G113">IFERROR(INDEX('Work Items'!$F$6:$F$5000,SMALL(IF('Work Items'!$A$6:$A$5000="Risk",ROW('Work Items'!$A$6:$A$5000)-ROW('Work Items'!$A$6)+1),109)),"")</f>
        <v/>
      </c>
      <c r="H113">
        <f t="array" ref="H113">IFERROR(INDEX('Work Items'!$J$6:$J$5000,SMALL(IF('Work Items'!$A$6:$A$5000="Risk",ROW('Work Items'!$A$6:$A$5000)-ROW('Work Items'!$A$6)+1),109)),"")</f>
        <v/>
      </c>
      <c r="I113">
        <f t="array" ref="I113">IFERROR(INDEX('Work Items'!$K$6:$K$5000,SMALL(IF('Work Items'!$A$6:$A$5000="Risk",ROW('Work Items'!$A$6:$A$5000)-ROW('Work Items'!$A$6)+1),109)),"")</f>
        <v/>
      </c>
      <c r="J113">
        <f t="array" ref="J113">IFERROR(INDEX('Work Items'!$L$6:$L$5000,SMALL(IF('Work Items'!$A$6:$A$5000="Risk",ROW('Work Items'!$A$6:$A$5000)-ROW('Work Items'!$A$6)+1),109)),"")</f>
        <v/>
      </c>
      <c r="K113">
        <f t="array" ref="K113">IFERROR(IF(AND(INDEX('Work Items'!$R$6:$R$5000,SMALL(IF('Work Items'!$A$6:$A$5000="Risk",ROW('Work Items'!$A$6:$A$5000)-ROW('Work Items'!$A$6)+1),109))&lt;&gt;"",INDEX('Work Items'!$S$6:$S$5000,SMALL(IF('Work Items'!$A$6:$A$5000="Risk",ROW('Work Items'!$A$6:$A$5000)-ROW('Work Items'!$A$6)+1),109))&lt;&gt;""),INDEX('Work Items'!$R$6:$R$5000,SMALL(IF('Work Items'!$A$6:$A$5000="Risk",ROW('Work Items'!$A$6:$A$5000)-ROW('Work Items'!$A$6)+1),109))*INDEX('Work Items'!$S$6:$S$5000,SMALL(IF('Work Items'!$A$6:$A$5000="Risk",ROW('Work Items'!$A$6:$A$5000)-ROW('Work Items'!$A$6)+1),109)),INDEX('Work Items'!$U$6:$U$5000,SMALL(IF('Work Items'!$A$6:$A$5000="Risk",ROW('Work Items'!$A$6:$A$5000)-ROW('Work Items'!$A$6)+1),109))),"")</f>
        <v/>
      </c>
      <c r="L113" s="217">
        <f t="array" ref="L113">IFERROR(INDEX('Work Items'!$Q$6:$Q$5000,SMALL(IF('Work Items'!$A$6:$A$5000="Risk",ROW('Work Items'!$A$6:$A$5000)-ROW('Work Items'!$A$6)+1),109)),"")</f>
        <v/>
      </c>
      <c r="M113">
        <f t="array" ref="M113">IFERROR(INDEX('Work Items'!$T$6:$T$5000,SMALL(IF('Work Items'!$A$6:$A$5000="Risk",ROW('Work Items'!$A$6:$A$5000)-ROW('Work Items'!$A$6)+1),109)),"")</f>
        <v/>
      </c>
    </row>
    <row r="114">
      <c r="A114">
        <f t="array" ref="A114">IFERROR(INDEX('Work Items'!$A$6:$A$5000,SMALL(IF('Work Items'!$A$6:$A$5000="Risk",ROW('Work Items'!$A$6:$A$5000)-ROW('Work Items'!$A$6)+1),110)),"")</f>
        <v/>
      </c>
      <c r="B114">
        <f t="array" ref="B114">IFERROR(INDEX('Work Items'!$B$6:$B$5000,SMALL(IF('Work Items'!$A$6:$A$5000="Risk",ROW('Work Items'!$A$6:$A$5000)-ROW('Work Items'!$A$6)+1),110)),"")</f>
        <v/>
      </c>
      <c r="C114">
        <f>IF(E114="","",IFERROR(INDEX('Projects Master'!$A:$A,MATCH(E114,'Projects Master'!$B:$B,0)),"OrgRisk"))</f>
        <v/>
      </c>
      <c r="D114">
        <f t="array" ref="D114">IFERROR(INDEX('Work Items'!$C$6:$C$5000,SMALL(IF('Work Items'!$A$6:$A$5000="Risk",ROW('Work Items'!$A$6:$A$5000)-ROW('Work Items'!$A$6)+1),110)),"")</f>
        <v/>
      </c>
      <c r="E114">
        <f t="array" ref="E114">IFERROR(INDEX('Work Items'!$D$6:$D$5000,SMALL(IF('Work Items'!$A$6:$A$5000="Risk",ROW('Work Items'!$A$6:$A$5000)-ROW('Work Items'!$A$6)+1),110)),"")</f>
        <v/>
      </c>
      <c r="F114">
        <f t="array" ref="F114">IFERROR(INDEX('Work Items'!$E$6:$E$5000,SMALL(IF('Work Items'!$A$6:$A$5000="Risk",ROW('Work Items'!$A$6:$A$5000)-ROW('Work Items'!$A$6)+1),110)),"")</f>
        <v/>
      </c>
      <c r="G114">
        <f t="array" ref="G114">IFERROR(INDEX('Work Items'!$F$6:$F$5000,SMALL(IF('Work Items'!$A$6:$A$5000="Risk",ROW('Work Items'!$A$6:$A$5000)-ROW('Work Items'!$A$6)+1),110)),"")</f>
        <v/>
      </c>
      <c r="H114">
        <f t="array" ref="H114">IFERROR(INDEX('Work Items'!$J$6:$J$5000,SMALL(IF('Work Items'!$A$6:$A$5000="Risk",ROW('Work Items'!$A$6:$A$5000)-ROW('Work Items'!$A$6)+1),110)),"")</f>
        <v/>
      </c>
      <c r="I114">
        <f t="array" ref="I114">IFERROR(INDEX('Work Items'!$K$6:$K$5000,SMALL(IF('Work Items'!$A$6:$A$5000="Risk",ROW('Work Items'!$A$6:$A$5000)-ROW('Work Items'!$A$6)+1),110)),"")</f>
        <v/>
      </c>
      <c r="J114">
        <f t="array" ref="J114">IFERROR(INDEX('Work Items'!$L$6:$L$5000,SMALL(IF('Work Items'!$A$6:$A$5000="Risk",ROW('Work Items'!$A$6:$A$5000)-ROW('Work Items'!$A$6)+1),110)),"")</f>
        <v/>
      </c>
      <c r="K114">
        <f t="array" ref="K114">IFERROR(IF(AND(INDEX('Work Items'!$R$6:$R$5000,SMALL(IF('Work Items'!$A$6:$A$5000="Risk",ROW('Work Items'!$A$6:$A$5000)-ROW('Work Items'!$A$6)+1),110))&lt;&gt;"",INDEX('Work Items'!$S$6:$S$5000,SMALL(IF('Work Items'!$A$6:$A$5000="Risk",ROW('Work Items'!$A$6:$A$5000)-ROW('Work Items'!$A$6)+1),110))&lt;&gt;""),INDEX('Work Items'!$R$6:$R$5000,SMALL(IF('Work Items'!$A$6:$A$5000="Risk",ROW('Work Items'!$A$6:$A$5000)-ROW('Work Items'!$A$6)+1),110))*INDEX('Work Items'!$S$6:$S$5000,SMALL(IF('Work Items'!$A$6:$A$5000="Risk",ROW('Work Items'!$A$6:$A$5000)-ROW('Work Items'!$A$6)+1),110)),INDEX('Work Items'!$U$6:$U$5000,SMALL(IF('Work Items'!$A$6:$A$5000="Risk",ROW('Work Items'!$A$6:$A$5000)-ROW('Work Items'!$A$6)+1),110))),"")</f>
        <v/>
      </c>
      <c r="L114" s="217">
        <f t="array" ref="L114">IFERROR(INDEX('Work Items'!$Q$6:$Q$5000,SMALL(IF('Work Items'!$A$6:$A$5000="Risk",ROW('Work Items'!$A$6:$A$5000)-ROW('Work Items'!$A$6)+1),110)),"")</f>
        <v/>
      </c>
      <c r="M114">
        <f t="array" ref="M114">IFERROR(INDEX('Work Items'!$T$6:$T$5000,SMALL(IF('Work Items'!$A$6:$A$5000="Risk",ROW('Work Items'!$A$6:$A$5000)-ROW('Work Items'!$A$6)+1),110)),"")</f>
        <v/>
      </c>
    </row>
    <row r="115">
      <c r="A115">
        <f t="array" ref="A115">IFERROR(INDEX('Work Items'!$A$6:$A$5000,SMALL(IF('Work Items'!$A$6:$A$5000="Risk",ROW('Work Items'!$A$6:$A$5000)-ROW('Work Items'!$A$6)+1),111)),"")</f>
        <v/>
      </c>
      <c r="B115">
        <f t="array" ref="B115">IFERROR(INDEX('Work Items'!$B$6:$B$5000,SMALL(IF('Work Items'!$A$6:$A$5000="Risk",ROW('Work Items'!$A$6:$A$5000)-ROW('Work Items'!$A$6)+1),111)),"")</f>
        <v/>
      </c>
      <c r="C115">
        <f>IF(E115="","",IFERROR(INDEX('Projects Master'!$A:$A,MATCH(E115,'Projects Master'!$B:$B,0)),"OrgRisk"))</f>
        <v/>
      </c>
      <c r="D115">
        <f t="array" ref="D115">IFERROR(INDEX('Work Items'!$C$6:$C$5000,SMALL(IF('Work Items'!$A$6:$A$5000="Risk",ROW('Work Items'!$A$6:$A$5000)-ROW('Work Items'!$A$6)+1),111)),"")</f>
        <v/>
      </c>
      <c r="E115">
        <f t="array" ref="E115">IFERROR(INDEX('Work Items'!$D$6:$D$5000,SMALL(IF('Work Items'!$A$6:$A$5000="Risk",ROW('Work Items'!$A$6:$A$5000)-ROW('Work Items'!$A$6)+1),111)),"")</f>
        <v/>
      </c>
      <c r="F115">
        <f t="array" ref="F115">IFERROR(INDEX('Work Items'!$E$6:$E$5000,SMALL(IF('Work Items'!$A$6:$A$5000="Risk",ROW('Work Items'!$A$6:$A$5000)-ROW('Work Items'!$A$6)+1),111)),"")</f>
        <v/>
      </c>
      <c r="G115">
        <f t="array" ref="G115">IFERROR(INDEX('Work Items'!$F$6:$F$5000,SMALL(IF('Work Items'!$A$6:$A$5000="Risk",ROW('Work Items'!$A$6:$A$5000)-ROW('Work Items'!$A$6)+1),111)),"")</f>
        <v/>
      </c>
      <c r="H115">
        <f t="array" ref="H115">IFERROR(INDEX('Work Items'!$J$6:$J$5000,SMALL(IF('Work Items'!$A$6:$A$5000="Risk",ROW('Work Items'!$A$6:$A$5000)-ROW('Work Items'!$A$6)+1),111)),"")</f>
        <v/>
      </c>
      <c r="I115">
        <f t="array" ref="I115">IFERROR(INDEX('Work Items'!$K$6:$K$5000,SMALL(IF('Work Items'!$A$6:$A$5000="Risk",ROW('Work Items'!$A$6:$A$5000)-ROW('Work Items'!$A$6)+1),111)),"")</f>
        <v/>
      </c>
      <c r="J115">
        <f t="array" ref="J115">IFERROR(INDEX('Work Items'!$L$6:$L$5000,SMALL(IF('Work Items'!$A$6:$A$5000="Risk",ROW('Work Items'!$A$6:$A$5000)-ROW('Work Items'!$A$6)+1),111)),"")</f>
        <v/>
      </c>
      <c r="K115">
        <f t="array" ref="K115">IFERROR(IF(AND(INDEX('Work Items'!$R$6:$R$5000,SMALL(IF('Work Items'!$A$6:$A$5000="Risk",ROW('Work Items'!$A$6:$A$5000)-ROW('Work Items'!$A$6)+1),111))&lt;&gt;"",INDEX('Work Items'!$S$6:$S$5000,SMALL(IF('Work Items'!$A$6:$A$5000="Risk",ROW('Work Items'!$A$6:$A$5000)-ROW('Work Items'!$A$6)+1),111))&lt;&gt;""),INDEX('Work Items'!$R$6:$R$5000,SMALL(IF('Work Items'!$A$6:$A$5000="Risk",ROW('Work Items'!$A$6:$A$5000)-ROW('Work Items'!$A$6)+1),111))*INDEX('Work Items'!$S$6:$S$5000,SMALL(IF('Work Items'!$A$6:$A$5000="Risk",ROW('Work Items'!$A$6:$A$5000)-ROW('Work Items'!$A$6)+1),111)),INDEX('Work Items'!$U$6:$U$5000,SMALL(IF('Work Items'!$A$6:$A$5000="Risk",ROW('Work Items'!$A$6:$A$5000)-ROW('Work Items'!$A$6)+1),111))),"")</f>
        <v/>
      </c>
      <c r="L115" s="217">
        <f t="array" ref="L115">IFERROR(INDEX('Work Items'!$Q$6:$Q$5000,SMALL(IF('Work Items'!$A$6:$A$5000="Risk",ROW('Work Items'!$A$6:$A$5000)-ROW('Work Items'!$A$6)+1),111)),"")</f>
        <v/>
      </c>
      <c r="M115">
        <f t="array" ref="M115">IFERROR(INDEX('Work Items'!$T$6:$T$5000,SMALL(IF('Work Items'!$A$6:$A$5000="Risk",ROW('Work Items'!$A$6:$A$5000)-ROW('Work Items'!$A$6)+1),111)),"")</f>
        <v/>
      </c>
    </row>
    <row r="116">
      <c r="A116">
        <f t="array" ref="A116">IFERROR(INDEX('Work Items'!$A$6:$A$5000,SMALL(IF('Work Items'!$A$6:$A$5000="Risk",ROW('Work Items'!$A$6:$A$5000)-ROW('Work Items'!$A$6)+1),112)),"")</f>
        <v/>
      </c>
      <c r="B116">
        <f t="array" ref="B116">IFERROR(INDEX('Work Items'!$B$6:$B$5000,SMALL(IF('Work Items'!$A$6:$A$5000="Risk",ROW('Work Items'!$A$6:$A$5000)-ROW('Work Items'!$A$6)+1),112)),"")</f>
        <v/>
      </c>
      <c r="C116">
        <f>IF(E116="","",IFERROR(INDEX('Projects Master'!$A:$A,MATCH(E116,'Projects Master'!$B:$B,0)),"OrgRisk"))</f>
        <v/>
      </c>
      <c r="D116">
        <f t="array" ref="D116">IFERROR(INDEX('Work Items'!$C$6:$C$5000,SMALL(IF('Work Items'!$A$6:$A$5000="Risk",ROW('Work Items'!$A$6:$A$5000)-ROW('Work Items'!$A$6)+1),112)),"")</f>
        <v/>
      </c>
      <c r="E116">
        <f t="array" ref="E116">IFERROR(INDEX('Work Items'!$D$6:$D$5000,SMALL(IF('Work Items'!$A$6:$A$5000="Risk",ROW('Work Items'!$A$6:$A$5000)-ROW('Work Items'!$A$6)+1),112)),"")</f>
        <v/>
      </c>
      <c r="F116">
        <f t="array" ref="F116">IFERROR(INDEX('Work Items'!$E$6:$E$5000,SMALL(IF('Work Items'!$A$6:$A$5000="Risk",ROW('Work Items'!$A$6:$A$5000)-ROW('Work Items'!$A$6)+1),112)),"")</f>
        <v/>
      </c>
      <c r="G116">
        <f t="array" ref="G116">IFERROR(INDEX('Work Items'!$F$6:$F$5000,SMALL(IF('Work Items'!$A$6:$A$5000="Risk",ROW('Work Items'!$A$6:$A$5000)-ROW('Work Items'!$A$6)+1),112)),"")</f>
        <v/>
      </c>
      <c r="H116">
        <f t="array" ref="H116">IFERROR(INDEX('Work Items'!$J$6:$J$5000,SMALL(IF('Work Items'!$A$6:$A$5000="Risk",ROW('Work Items'!$A$6:$A$5000)-ROW('Work Items'!$A$6)+1),112)),"")</f>
        <v/>
      </c>
      <c r="I116">
        <f t="array" ref="I116">IFERROR(INDEX('Work Items'!$K$6:$K$5000,SMALL(IF('Work Items'!$A$6:$A$5000="Risk",ROW('Work Items'!$A$6:$A$5000)-ROW('Work Items'!$A$6)+1),112)),"")</f>
        <v/>
      </c>
      <c r="J116">
        <f t="array" ref="J116">IFERROR(INDEX('Work Items'!$L$6:$L$5000,SMALL(IF('Work Items'!$A$6:$A$5000="Risk",ROW('Work Items'!$A$6:$A$5000)-ROW('Work Items'!$A$6)+1),112)),"")</f>
        <v/>
      </c>
      <c r="K116">
        <f t="array" ref="K116">IFERROR(IF(AND(INDEX('Work Items'!$R$6:$R$5000,SMALL(IF('Work Items'!$A$6:$A$5000="Risk",ROW('Work Items'!$A$6:$A$5000)-ROW('Work Items'!$A$6)+1),112))&lt;&gt;"",INDEX('Work Items'!$S$6:$S$5000,SMALL(IF('Work Items'!$A$6:$A$5000="Risk",ROW('Work Items'!$A$6:$A$5000)-ROW('Work Items'!$A$6)+1),112))&lt;&gt;""),INDEX('Work Items'!$R$6:$R$5000,SMALL(IF('Work Items'!$A$6:$A$5000="Risk",ROW('Work Items'!$A$6:$A$5000)-ROW('Work Items'!$A$6)+1),112))*INDEX('Work Items'!$S$6:$S$5000,SMALL(IF('Work Items'!$A$6:$A$5000="Risk",ROW('Work Items'!$A$6:$A$5000)-ROW('Work Items'!$A$6)+1),112)),INDEX('Work Items'!$U$6:$U$5000,SMALL(IF('Work Items'!$A$6:$A$5000="Risk",ROW('Work Items'!$A$6:$A$5000)-ROW('Work Items'!$A$6)+1),112))),"")</f>
        <v/>
      </c>
      <c r="L116" s="217">
        <f t="array" ref="L116">IFERROR(INDEX('Work Items'!$Q$6:$Q$5000,SMALL(IF('Work Items'!$A$6:$A$5000="Risk",ROW('Work Items'!$A$6:$A$5000)-ROW('Work Items'!$A$6)+1),112)),"")</f>
        <v/>
      </c>
      <c r="M116">
        <f t="array" ref="M116">IFERROR(INDEX('Work Items'!$T$6:$T$5000,SMALL(IF('Work Items'!$A$6:$A$5000="Risk",ROW('Work Items'!$A$6:$A$5000)-ROW('Work Items'!$A$6)+1),112)),"")</f>
        <v/>
      </c>
    </row>
    <row r="117">
      <c r="A117">
        <f t="array" ref="A117">IFERROR(INDEX('Work Items'!$A$6:$A$5000,SMALL(IF('Work Items'!$A$6:$A$5000="Risk",ROW('Work Items'!$A$6:$A$5000)-ROW('Work Items'!$A$6)+1),113)),"")</f>
        <v/>
      </c>
      <c r="B117">
        <f t="array" ref="B117">IFERROR(INDEX('Work Items'!$B$6:$B$5000,SMALL(IF('Work Items'!$A$6:$A$5000="Risk",ROW('Work Items'!$A$6:$A$5000)-ROW('Work Items'!$A$6)+1),113)),"")</f>
        <v/>
      </c>
      <c r="C117">
        <f>IF(E117="","",IFERROR(INDEX('Projects Master'!$A:$A,MATCH(E117,'Projects Master'!$B:$B,0)),"OrgRisk"))</f>
        <v/>
      </c>
      <c r="D117">
        <f t="array" ref="D117">IFERROR(INDEX('Work Items'!$C$6:$C$5000,SMALL(IF('Work Items'!$A$6:$A$5000="Risk",ROW('Work Items'!$A$6:$A$5000)-ROW('Work Items'!$A$6)+1),113)),"")</f>
        <v/>
      </c>
      <c r="E117">
        <f t="array" ref="E117">IFERROR(INDEX('Work Items'!$D$6:$D$5000,SMALL(IF('Work Items'!$A$6:$A$5000="Risk",ROW('Work Items'!$A$6:$A$5000)-ROW('Work Items'!$A$6)+1),113)),"")</f>
        <v/>
      </c>
      <c r="F117">
        <f t="array" ref="F117">IFERROR(INDEX('Work Items'!$E$6:$E$5000,SMALL(IF('Work Items'!$A$6:$A$5000="Risk",ROW('Work Items'!$A$6:$A$5000)-ROW('Work Items'!$A$6)+1),113)),"")</f>
        <v/>
      </c>
      <c r="G117">
        <f t="array" ref="G117">IFERROR(INDEX('Work Items'!$F$6:$F$5000,SMALL(IF('Work Items'!$A$6:$A$5000="Risk",ROW('Work Items'!$A$6:$A$5000)-ROW('Work Items'!$A$6)+1),113)),"")</f>
        <v/>
      </c>
      <c r="H117">
        <f t="array" ref="H117">IFERROR(INDEX('Work Items'!$J$6:$J$5000,SMALL(IF('Work Items'!$A$6:$A$5000="Risk",ROW('Work Items'!$A$6:$A$5000)-ROW('Work Items'!$A$6)+1),113)),"")</f>
        <v/>
      </c>
      <c r="I117">
        <f t="array" ref="I117">IFERROR(INDEX('Work Items'!$K$6:$K$5000,SMALL(IF('Work Items'!$A$6:$A$5000="Risk",ROW('Work Items'!$A$6:$A$5000)-ROW('Work Items'!$A$6)+1),113)),"")</f>
        <v/>
      </c>
      <c r="J117">
        <f t="array" ref="J117">IFERROR(INDEX('Work Items'!$L$6:$L$5000,SMALL(IF('Work Items'!$A$6:$A$5000="Risk",ROW('Work Items'!$A$6:$A$5000)-ROW('Work Items'!$A$6)+1),113)),"")</f>
        <v/>
      </c>
      <c r="K117">
        <f t="array" ref="K117">IFERROR(IF(AND(INDEX('Work Items'!$R$6:$R$5000,SMALL(IF('Work Items'!$A$6:$A$5000="Risk",ROW('Work Items'!$A$6:$A$5000)-ROW('Work Items'!$A$6)+1),113))&lt;&gt;"",INDEX('Work Items'!$S$6:$S$5000,SMALL(IF('Work Items'!$A$6:$A$5000="Risk",ROW('Work Items'!$A$6:$A$5000)-ROW('Work Items'!$A$6)+1),113))&lt;&gt;""),INDEX('Work Items'!$R$6:$R$5000,SMALL(IF('Work Items'!$A$6:$A$5000="Risk",ROW('Work Items'!$A$6:$A$5000)-ROW('Work Items'!$A$6)+1),113))*INDEX('Work Items'!$S$6:$S$5000,SMALL(IF('Work Items'!$A$6:$A$5000="Risk",ROW('Work Items'!$A$6:$A$5000)-ROW('Work Items'!$A$6)+1),113)),INDEX('Work Items'!$U$6:$U$5000,SMALL(IF('Work Items'!$A$6:$A$5000="Risk",ROW('Work Items'!$A$6:$A$5000)-ROW('Work Items'!$A$6)+1),113))),"")</f>
        <v/>
      </c>
      <c r="L117" s="217">
        <f t="array" ref="L117">IFERROR(INDEX('Work Items'!$Q$6:$Q$5000,SMALL(IF('Work Items'!$A$6:$A$5000="Risk",ROW('Work Items'!$A$6:$A$5000)-ROW('Work Items'!$A$6)+1),113)),"")</f>
        <v/>
      </c>
      <c r="M117">
        <f t="array" ref="M117">IFERROR(INDEX('Work Items'!$T$6:$T$5000,SMALL(IF('Work Items'!$A$6:$A$5000="Risk",ROW('Work Items'!$A$6:$A$5000)-ROW('Work Items'!$A$6)+1),113)),"")</f>
        <v/>
      </c>
    </row>
    <row r="118">
      <c r="A118">
        <f t="array" ref="A118">IFERROR(INDEX('Work Items'!$A$6:$A$5000,SMALL(IF('Work Items'!$A$6:$A$5000="Risk",ROW('Work Items'!$A$6:$A$5000)-ROW('Work Items'!$A$6)+1),114)),"")</f>
        <v/>
      </c>
      <c r="B118">
        <f t="array" ref="B118">IFERROR(INDEX('Work Items'!$B$6:$B$5000,SMALL(IF('Work Items'!$A$6:$A$5000="Risk",ROW('Work Items'!$A$6:$A$5000)-ROW('Work Items'!$A$6)+1),114)),"")</f>
        <v/>
      </c>
      <c r="C118">
        <f>IF(E118="","",IFERROR(INDEX('Projects Master'!$A:$A,MATCH(E118,'Projects Master'!$B:$B,0)),"OrgRisk"))</f>
        <v/>
      </c>
      <c r="D118">
        <f t="array" ref="D118">IFERROR(INDEX('Work Items'!$C$6:$C$5000,SMALL(IF('Work Items'!$A$6:$A$5000="Risk",ROW('Work Items'!$A$6:$A$5000)-ROW('Work Items'!$A$6)+1),114)),"")</f>
        <v/>
      </c>
      <c r="E118">
        <f t="array" ref="E118">IFERROR(INDEX('Work Items'!$D$6:$D$5000,SMALL(IF('Work Items'!$A$6:$A$5000="Risk",ROW('Work Items'!$A$6:$A$5000)-ROW('Work Items'!$A$6)+1),114)),"")</f>
        <v/>
      </c>
      <c r="F118">
        <f t="array" ref="F118">IFERROR(INDEX('Work Items'!$E$6:$E$5000,SMALL(IF('Work Items'!$A$6:$A$5000="Risk",ROW('Work Items'!$A$6:$A$5000)-ROW('Work Items'!$A$6)+1),114)),"")</f>
        <v/>
      </c>
      <c r="G118">
        <f t="array" ref="G118">IFERROR(INDEX('Work Items'!$F$6:$F$5000,SMALL(IF('Work Items'!$A$6:$A$5000="Risk",ROW('Work Items'!$A$6:$A$5000)-ROW('Work Items'!$A$6)+1),114)),"")</f>
        <v/>
      </c>
      <c r="H118">
        <f t="array" ref="H118">IFERROR(INDEX('Work Items'!$J$6:$J$5000,SMALL(IF('Work Items'!$A$6:$A$5000="Risk",ROW('Work Items'!$A$6:$A$5000)-ROW('Work Items'!$A$6)+1),114)),"")</f>
        <v/>
      </c>
      <c r="I118">
        <f t="array" ref="I118">IFERROR(INDEX('Work Items'!$K$6:$K$5000,SMALL(IF('Work Items'!$A$6:$A$5000="Risk",ROW('Work Items'!$A$6:$A$5000)-ROW('Work Items'!$A$6)+1),114)),"")</f>
        <v/>
      </c>
      <c r="J118">
        <f t="array" ref="J118">IFERROR(INDEX('Work Items'!$L$6:$L$5000,SMALL(IF('Work Items'!$A$6:$A$5000="Risk",ROW('Work Items'!$A$6:$A$5000)-ROW('Work Items'!$A$6)+1),114)),"")</f>
        <v/>
      </c>
      <c r="K118">
        <f t="array" ref="K118">IFERROR(IF(AND(INDEX('Work Items'!$R$6:$R$5000,SMALL(IF('Work Items'!$A$6:$A$5000="Risk",ROW('Work Items'!$A$6:$A$5000)-ROW('Work Items'!$A$6)+1),114))&lt;&gt;"",INDEX('Work Items'!$S$6:$S$5000,SMALL(IF('Work Items'!$A$6:$A$5000="Risk",ROW('Work Items'!$A$6:$A$5000)-ROW('Work Items'!$A$6)+1),114))&lt;&gt;""),INDEX('Work Items'!$R$6:$R$5000,SMALL(IF('Work Items'!$A$6:$A$5000="Risk",ROW('Work Items'!$A$6:$A$5000)-ROW('Work Items'!$A$6)+1),114))*INDEX('Work Items'!$S$6:$S$5000,SMALL(IF('Work Items'!$A$6:$A$5000="Risk",ROW('Work Items'!$A$6:$A$5000)-ROW('Work Items'!$A$6)+1),114)),INDEX('Work Items'!$U$6:$U$5000,SMALL(IF('Work Items'!$A$6:$A$5000="Risk",ROW('Work Items'!$A$6:$A$5000)-ROW('Work Items'!$A$6)+1),114))),"")</f>
        <v/>
      </c>
      <c r="L118" s="217">
        <f t="array" ref="L118">IFERROR(INDEX('Work Items'!$Q$6:$Q$5000,SMALL(IF('Work Items'!$A$6:$A$5000="Risk",ROW('Work Items'!$A$6:$A$5000)-ROW('Work Items'!$A$6)+1),114)),"")</f>
        <v/>
      </c>
      <c r="M118">
        <f t="array" ref="M118">IFERROR(INDEX('Work Items'!$T$6:$T$5000,SMALL(IF('Work Items'!$A$6:$A$5000="Risk",ROW('Work Items'!$A$6:$A$5000)-ROW('Work Items'!$A$6)+1),114)),"")</f>
        <v/>
      </c>
    </row>
    <row r="119">
      <c r="A119">
        <f t="array" ref="A119">IFERROR(INDEX('Work Items'!$A$6:$A$5000,SMALL(IF('Work Items'!$A$6:$A$5000="Risk",ROW('Work Items'!$A$6:$A$5000)-ROW('Work Items'!$A$6)+1),115)),"")</f>
        <v/>
      </c>
      <c r="B119">
        <f t="array" ref="B119">IFERROR(INDEX('Work Items'!$B$6:$B$5000,SMALL(IF('Work Items'!$A$6:$A$5000="Risk",ROW('Work Items'!$A$6:$A$5000)-ROW('Work Items'!$A$6)+1),115)),"")</f>
        <v/>
      </c>
      <c r="C119">
        <f>IF(E119="","",IFERROR(INDEX('Projects Master'!$A:$A,MATCH(E119,'Projects Master'!$B:$B,0)),"OrgRisk"))</f>
        <v/>
      </c>
      <c r="D119">
        <f t="array" ref="D119">IFERROR(INDEX('Work Items'!$C$6:$C$5000,SMALL(IF('Work Items'!$A$6:$A$5000="Risk",ROW('Work Items'!$A$6:$A$5000)-ROW('Work Items'!$A$6)+1),115)),"")</f>
        <v/>
      </c>
      <c r="E119">
        <f t="array" ref="E119">IFERROR(INDEX('Work Items'!$D$6:$D$5000,SMALL(IF('Work Items'!$A$6:$A$5000="Risk",ROW('Work Items'!$A$6:$A$5000)-ROW('Work Items'!$A$6)+1),115)),"")</f>
        <v/>
      </c>
      <c r="F119">
        <f t="array" ref="F119">IFERROR(INDEX('Work Items'!$E$6:$E$5000,SMALL(IF('Work Items'!$A$6:$A$5000="Risk",ROW('Work Items'!$A$6:$A$5000)-ROW('Work Items'!$A$6)+1),115)),"")</f>
        <v/>
      </c>
      <c r="G119">
        <f t="array" ref="G119">IFERROR(INDEX('Work Items'!$F$6:$F$5000,SMALL(IF('Work Items'!$A$6:$A$5000="Risk",ROW('Work Items'!$A$6:$A$5000)-ROW('Work Items'!$A$6)+1),115)),"")</f>
        <v/>
      </c>
      <c r="H119">
        <f t="array" ref="H119">IFERROR(INDEX('Work Items'!$J$6:$J$5000,SMALL(IF('Work Items'!$A$6:$A$5000="Risk",ROW('Work Items'!$A$6:$A$5000)-ROW('Work Items'!$A$6)+1),115)),"")</f>
        <v/>
      </c>
      <c r="I119">
        <f t="array" ref="I119">IFERROR(INDEX('Work Items'!$K$6:$K$5000,SMALL(IF('Work Items'!$A$6:$A$5000="Risk",ROW('Work Items'!$A$6:$A$5000)-ROW('Work Items'!$A$6)+1),115)),"")</f>
        <v/>
      </c>
      <c r="J119">
        <f t="array" ref="J119">IFERROR(INDEX('Work Items'!$L$6:$L$5000,SMALL(IF('Work Items'!$A$6:$A$5000="Risk",ROW('Work Items'!$A$6:$A$5000)-ROW('Work Items'!$A$6)+1),115)),"")</f>
        <v/>
      </c>
      <c r="K119">
        <f t="array" ref="K119">IFERROR(IF(AND(INDEX('Work Items'!$R$6:$R$5000,SMALL(IF('Work Items'!$A$6:$A$5000="Risk",ROW('Work Items'!$A$6:$A$5000)-ROW('Work Items'!$A$6)+1),115))&lt;&gt;"",INDEX('Work Items'!$S$6:$S$5000,SMALL(IF('Work Items'!$A$6:$A$5000="Risk",ROW('Work Items'!$A$6:$A$5000)-ROW('Work Items'!$A$6)+1),115))&lt;&gt;""),INDEX('Work Items'!$R$6:$R$5000,SMALL(IF('Work Items'!$A$6:$A$5000="Risk",ROW('Work Items'!$A$6:$A$5000)-ROW('Work Items'!$A$6)+1),115))*INDEX('Work Items'!$S$6:$S$5000,SMALL(IF('Work Items'!$A$6:$A$5000="Risk",ROW('Work Items'!$A$6:$A$5000)-ROW('Work Items'!$A$6)+1),115)),INDEX('Work Items'!$U$6:$U$5000,SMALL(IF('Work Items'!$A$6:$A$5000="Risk",ROW('Work Items'!$A$6:$A$5000)-ROW('Work Items'!$A$6)+1),115))),"")</f>
        <v/>
      </c>
      <c r="L119" s="217">
        <f t="array" ref="L119">IFERROR(INDEX('Work Items'!$Q$6:$Q$5000,SMALL(IF('Work Items'!$A$6:$A$5000="Risk",ROW('Work Items'!$A$6:$A$5000)-ROW('Work Items'!$A$6)+1),115)),"")</f>
        <v/>
      </c>
      <c r="M119">
        <f t="array" ref="M119">IFERROR(INDEX('Work Items'!$T$6:$T$5000,SMALL(IF('Work Items'!$A$6:$A$5000="Risk",ROW('Work Items'!$A$6:$A$5000)-ROW('Work Items'!$A$6)+1),115)),"")</f>
        <v/>
      </c>
    </row>
    <row r="120">
      <c r="A120">
        <f t="array" ref="A120">IFERROR(INDEX('Work Items'!$A$6:$A$5000,SMALL(IF('Work Items'!$A$6:$A$5000="Risk",ROW('Work Items'!$A$6:$A$5000)-ROW('Work Items'!$A$6)+1),116)),"")</f>
        <v/>
      </c>
      <c r="B120">
        <f t="array" ref="B120">IFERROR(INDEX('Work Items'!$B$6:$B$5000,SMALL(IF('Work Items'!$A$6:$A$5000="Risk",ROW('Work Items'!$A$6:$A$5000)-ROW('Work Items'!$A$6)+1),116)),"")</f>
        <v/>
      </c>
      <c r="C120">
        <f>IF(E120="","",IFERROR(INDEX('Projects Master'!$A:$A,MATCH(E120,'Projects Master'!$B:$B,0)),"OrgRisk"))</f>
        <v/>
      </c>
      <c r="D120">
        <f t="array" ref="D120">IFERROR(INDEX('Work Items'!$C$6:$C$5000,SMALL(IF('Work Items'!$A$6:$A$5000="Risk",ROW('Work Items'!$A$6:$A$5000)-ROW('Work Items'!$A$6)+1),116)),"")</f>
        <v/>
      </c>
      <c r="E120">
        <f t="array" ref="E120">IFERROR(INDEX('Work Items'!$D$6:$D$5000,SMALL(IF('Work Items'!$A$6:$A$5000="Risk",ROW('Work Items'!$A$6:$A$5000)-ROW('Work Items'!$A$6)+1),116)),"")</f>
        <v/>
      </c>
      <c r="F120">
        <f t="array" ref="F120">IFERROR(INDEX('Work Items'!$E$6:$E$5000,SMALL(IF('Work Items'!$A$6:$A$5000="Risk",ROW('Work Items'!$A$6:$A$5000)-ROW('Work Items'!$A$6)+1),116)),"")</f>
        <v/>
      </c>
      <c r="G120">
        <f t="array" ref="G120">IFERROR(INDEX('Work Items'!$F$6:$F$5000,SMALL(IF('Work Items'!$A$6:$A$5000="Risk",ROW('Work Items'!$A$6:$A$5000)-ROW('Work Items'!$A$6)+1),116)),"")</f>
        <v/>
      </c>
      <c r="H120">
        <f t="array" ref="H120">IFERROR(INDEX('Work Items'!$J$6:$J$5000,SMALL(IF('Work Items'!$A$6:$A$5000="Risk",ROW('Work Items'!$A$6:$A$5000)-ROW('Work Items'!$A$6)+1),116)),"")</f>
        <v/>
      </c>
      <c r="I120">
        <f t="array" ref="I120">IFERROR(INDEX('Work Items'!$K$6:$K$5000,SMALL(IF('Work Items'!$A$6:$A$5000="Risk",ROW('Work Items'!$A$6:$A$5000)-ROW('Work Items'!$A$6)+1),116)),"")</f>
        <v/>
      </c>
      <c r="J120">
        <f t="array" ref="J120">IFERROR(INDEX('Work Items'!$L$6:$L$5000,SMALL(IF('Work Items'!$A$6:$A$5000="Risk",ROW('Work Items'!$A$6:$A$5000)-ROW('Work Items'!$A$6)+1),116)),"")</f>
        <v/>
      </c>
      <c r="K120">
        <f t="array" ref="K120">IFERROR(IF(AND(INDEX('Work Items'!$R$6:$R$5000,SMALL(IF('Work Items'!$A$6:$A$5000="Risk",ROW('Work Items'!$A$6:$A$5000)-ROW('Work Items'!$A$6)+1),116))&lt;&gt;"",INDEX('Work Items'!$S$6:$S$5000,SMALL(IF('Work Items'!$A$6:$A$5000="Risk",ROW('Work Items'!$A$6:$A$5000)-ROW('Work Items'!$A$6)+1),116))&lt;&gt;""),INDEX('Work Items'!$R$6:$R$5000,SMALL(IF('Work Items'!$A$6:$A$5000="Risk",ROW('Work Items'!$A$6:$A$5000)-ROW('Work Items'!$A$6)+1),116))*INDEX('Work Items'!$S$6:$S$5000,SMALL(IF('Work Items'!$A$6:$A$5000="Risk",ROW('Work Items'!$A$6:$A$5000)-ROW('Work Items'!$A$6)+1),116)),INDEX('Work Items'!$U$6:$U$5000,SMALL(IF('Work Items'!$A$6:$A$5000="Risk",ROW('Work Items'!$A$6:$A$5000)-ROW('Work Items'!$A$6)+1),116))),"")</f>
        <v/>
      </c>
      <c r="L120" s="217">
        <f t="array" ref="L120">IFERROR(INDEX('Work Items'!$Q$6:$Q$5000,SMALL(IF('Work Items'!$A$6:$A$5000="Risk",ROW('Work Items'!$A$6:$A$5000)-ROW('Work Items'!$A$6)+1),116)),"")</f>
        <v/>
      </c>
      <c r="M120">
        <f t="array" ref="M120">IFERROR(INDEX('Work Items'!$T$6:$T$5000,SMALL(IF('Work Items'!$A$6:$A$5000="Risk",ROW('Work Items'!$A$6:$A$5000)-ROW('Work Items'!$A$6)+1),116)),"")</f>
        <v/>
      </c>
    </row>
    <row r="121">
      <c r="A121">
        <f t="array" ref="A121">IFERROR(INDEX('Work Items'!$A$6:$A$5000,SMALL(IF('Work Items'!$A$6:$A$5000="Risk",ROW('Work Items'!$A$6:$A$5000)-ROW('Work Items'!$A$6)+1),117)),"")</f>
        <v/>
      </c>
      <c r="B121">
        <f t="array" ref="B121">IFERROR(INDEX('Work Items'!$B$6:$B$5000,SMALL(IF('Work Items'!$A$6:$A$5000="Risk",ROW('Work Items'!$A$6:$A$5000)-ROW('Work Items'!$A$6)+1),117)),"")</f>
        <v/>
      </c>
      <c r="C121">
        <f>IF(E121="","",IFERROR(INDEX('Projects Master'!$A:$A,MATCH(E121,'Projects Master'!$B:$B,0)),"OrgRisk"))</f>
        <v/>
      </c>
      <c r="D121">
        <f t="array" ref="D121">IFERROR(INDEX('Work Items'!$C$6:$C$5000,SMALL(IF('Work Items'!$A$6:$A$5000="Risk",ROW('Work Items'!$A$6:$A$5000)-ROW('Work Items'!$A$6)+1),117)),"")</f>
        <v/>
      </c>
      <c r="E121">
        <f t="array" ref="E121">IFERROR(INDEX('Work Items'!$D$6:$D$5000,SMALL(IF('Work Items'!$A$6:$A$5000="Risk",ROW('Work Items'!$A$6:$A$5000)-ROW('Work Items'!$A$6)+1),117)),"")</f>
        <v/>
      </c>
      <c r="F121">
        <f t="array" ref="F121">IFERROR(INDEX('Work Items'!$E$6:$E$5000,SMALL(IF('Work Items'!$A$6:$A$5000="Risk",ROW('Work Items'!$A$6:$A$5000)-ROW('Work Items'!$A$6)+1),117)),"")</f>
        <v/>
      </c>
      <c r="G121">
        <f t="array" ref="G121">IFERROR(INDEX('Work Items'!$F$6:$F$5000,SMALL(IF('Work Items'!$A$6:$A$5000="Risk",ROW('Work Items'!$A$6:$A$5000)-ROW('Work Items'!$A$6)+1),117)),"")</f>
        <v/>
      </c>
      <c r="H121">
        <f t="array" ref="H121">IFERROR(INDEX('Work Items'!$J$6:$J$5000,SMALL(IF('Work Items'!$A$6:$A$5000="Risk",ROW('Work Items'!$A$6:$A$5000)-ROW('Work Items'!$A$6)+1),117)),"")</f>
        <v/>
      </c>
      <c r="I121">
        <f t="array" ref="I121">IFERROR(INDEX('Work Items'!$K$6:$K$5000,SMALL(IF('Work Items'!$A$6:$A$5000="Risk",ROW('Work Items'!$A$6:$A$5000)-ROW('Work Items'!$A$6)+1),117)),"")</f>
        <v/>
      </c>
      <c r="J121">
        <f t="array" ref="J121">IFERROR(INDEX('Work Items'!$L$6:$L$5000,SMALL(IF('Work Items'!$A$6:$A$5000="Risk",ROW('Work Items'!$A$6:$A$5000)-ROW('Work Items'!$A$6)+1),117)),"")</f>
        <v/>
      </c>
      <c r="K121">
        <f t="array" ref="K121">IFERROR(IF(AND(INDEX('Work Items'!$R$6:$R$5000,SMALL(IF('Work Items'!$A$6:$A$5000="Risk",ROW('Work Items'!$A$6:$A$5000)-ROW('Work Items'!$A$6)+1),117))&lt;&gt;"",INDEX('Work Items'!$S$6:$S$5000,SMALL(IF('Work Items'!$A$6:$A$5000="Risk",ROW('Work Items'!$A$6:$A$5000)-ROW('Work Items'!$A$6)+1),117))&lt;&gt;""),INDEX('Work Items'!$R$6:$R$5000,SMALL(IF('Work Items'!$A$6:$A$5000="Risk",ROW('Work Items'!$A$6:$A$5000)-ROW('Work Items'!$A$6)+1),117))*INDEX('Work Items'!$S$6:$S$5000,SMALL(IF('Work Items'!$A$6:$A$5000="Risk",ROW('Work Items'!$A$6:$A$5000)-ROW('Work Items'!$A$6)+1),117)),INDEX('Work Items'!$U$6:$U$5000,SMALL(IF('Work Items'!$A$6:$A$5000="Risk",ROW('Work Items'!$A$6:$A$5000)-ROW('Work Items'!$A$6)+1),117))),"")</f>
        <v/>
      </c>
      <c r="L121" s="217">
        <f t="array" ref="L121">IFERROR(INDEX('Work Items'!$Q$6:$Q$5000,SMALL(IF('Work Items'!$A$6:$A$5000="Risk",ROW('Work Items'!$A$6:$A$5000)-ROW('Work Items'!$A$6)+1),117)),"")</f>
        <v/>
      </c>
      <c r="M121">
        <f t="array" ref="M121">IFERROR(INDEX('Work Items'!$T$6:$T$5000,SMALL(IF('Work Items'!$A$6:$A$5000="Risk",ROW('Work Items'!$A$6:$A$5000)-ROW('Work Items'!$A$6)+1),117)),"")</f>
        <v/>
      </c>
    </row>
    <row r="122">
      <c r="A122">
        <f t="array" ref="A122">IFERROR(INDEX('Work Items'!$A$6:$A$5000,SMALL(IF('Work Items'!$A$6:$A$5000="Risk",ROW('Work Items'!$A$6:$A$5000)-ROW('Work Items'!$A$6)+1),118)),"")</f>
        <v/>
      </c>
      <c r="B122">
        <f t="array" ref="B122">IFERROR(INDEX('Work Items'!$B$6:$B$5000,SMALL(IF('Work Items'!$A$6:$A$5000="Risk",ROW('Work Items'!$A$6:$A$5000)-ROW('Work Items'!$A$6)+1),118)),"")</f>
        <v/>
      </c>
      <c r="C122">
        <f>IF(E122="","",IFERROR(INDEX('Projects Master'!$A:$A,MATCH(E122,'Projects Master'!$B:$B,0)),"OrgRisk"))</f>
        <v/>
      </c>
      <c r="D122">
        <f t="array" ref="D122">IFERROR(INDEX('Work Items'!$C$6:$C$5000,SMALL(IF('Work Items'!$A$6:$A$5000="Risk",ROW('Work Items'!$A$6:$A$5000)-ROW('Work Items'!$A$6)+1),118)),"")</f>
        <v/>
      </c>
      <c r="E122">
        <f t="array" ref="E122">IFERROR(INDEX('Work Items'!$D$6:$D$5000,SMALL(IF('Work Items'!$A$6:$A$5000="Risk",ROW('Work Items'!$A$6:$A$5000)-ROW('Work Items'!$A$6)+1),118)),"")</f>
        <v/>
      </c>
      <c r="F122">
        <f t="array" ref="F122">IFERROR(INDEX('Work Items'!$E$6:$E$5000,SMALL(IF('Work Items'!$A$6:$A$5000="Risk",ROW('Work Items'!$A$6:$A$5000)-ROW('Work Items'!$A$6)+1),118)),"")</f>
        <v/>
      </c>
      <c r="G122">
        <f t="array" ref="G122">IFERROR(INDEX('Work Items'!$F$6:$F$5000,SMALL(IF('Work Items'!$A$6:$A$5000="Risk",ROW('Work Items'!$A$6:$A$5000)-ROW('Work Items'!$A$6)+1),118)),"")</f>
        <v/>
      </c>
      <c r="H122">
        <f t="array" ref="H122">IFERROR(INDEX('Work Items'!$J$6:$J$5000,SMALL(IF('Work Items'!$A$6:$A$5000="Risk",ROW('Work Items'!$A$6:$A$5000)-ROW('Work Items'!$A$6)+1),118)),"")</f>
        <v/>
      </c>
      <c r="I122">
        <f t="array" ref="I122">IFERROR(INDEX('Work Items'!$K$6:$K$5000,SMALL(IF('Work Items'!$A$6:$A$5000="Risk",ROW('Work Items'!$A$6:$A$5000)-ROW('Work Items'!$A$6)+1),118)),"")</f>
        <v/>
      </c>
      <c r="J122">
        <f t="array" ref="J122">IFERROR(INDEX('Work Items'!$L$6:$L$5000,SMALL(IF('Work Items'!$A$6:$A$5000="Risk",ROW('Work Items'!$A$6:$A$5000)-ROW('Work Items'!$A$6)+1),118)),"")</f>
        <v/>
      </c>
      <c r="K122">
        <f t="array" ref="K122">IFERROR(IF(AND(INDEX('Work Items'!$R$6:$R$5000,SMALL(IF('Work Items'!$A$6:$A$5000="Risk",ROW('Work Items'!$A$6:$A$5000)-ROW('Work Items'!$A$6)+1),118))&lt;&gt;"",INDEX('Work Items'!$S$6:$S$5000,SMALL(IF('Work Items'!$A$6:$A$5000="Risk",ROW('Work Items'!$A$6:$A$5000)-ROW('Work Items'!$A$6)+1),118))&lt;&gt;""),INDEX('Work Items'!$R$6:$R$5000,SMALL(IF('Work Items'!$A$6:$A$5000="Risk",ROW('Work Items'!$A$6:$A$5000)-ROW('Work Items'!$A$6)+1),118))*INDEX('Work Items'!$S$6:$S$5000,SMALL(IF('Work Items'!$A$6:$A$5000="Risk",ROW('Work Items'!$A$6:$A$5000)-ROW('Work Items'!$A$6)+1),118)),INDEX('Work Items'!$U$6:$U$5000,SMALL(IF('Work Items'!$A$6:$A$5000="Risk",ROW('Work Items'!$A$6:$A$5000)-ROW('Work Items'!$A$6)+1),118))),"")</f>
        <v/>
      </c>
      <c r="L122" s="217">
        <f t="array" ref="L122">IFERROR(INDEX('Work Items'!$Q$6:$Q$5000,SMALL(IF('Work Items'!$A$6:$A$5000="Risk",ROW('Work Items'!$A$6:$A$5000)-ROW('Work Items'!$A$6)+1),118)),"")</f>
        <v/>
      </c>
      <c r="M122">
        <f t="array" ref="M122">IFERROR(INDEX('Work Items'!$T$6:$T$5000,SMALL(IF('Work Items'!$A$6:$A$5000="Risk",ROW('Work Items'!$A$6:$A$5000)-ROW('Work Items'!$A$6)+1),118)),"")</f>
        <v/>
      </c>
    </row>
    <row r="123">
      <c r="A123">
        <f t="array" ref="A123">IFERROR(INDEX('Work Items'!$A$6:$A$5000,SMALL(IF('Work Items'!$A$6:$A$5000="Risk",ROW('Work Items'!$A$6:$A$5000)-ROW('Work Items'!$A$6)+1),119)),"")</f>
        <v/>
      </c>
      <c r="B123">
        <f t="array" ref="B123">IFERROR(INDEX('Work Items'!$B$6:$B$5000,SMALL(IF('Work Items'!$A$6:$A$5000="Risk",ROW('Work Items'!$A$6:$A$5000)-ROW('Work Items'!$A$6)+1),119)),"")</f>
        <v/>
      </c>
      <c r="C123">
        <f>IF(E123="","",IFERROR(INDEX('Projects Master'!$A:$A,MATCH(E123,'Projects Master'!$B:$B,0)),"OrgRisk"))</f>
        <v/>
      </c>
      <c r="D123">
        <f t="array" ref="D123">IFERROR(INDEX('Work Items'!$C$6:$C$5000,SMALL(IF('Work Items'!$A$6:$A$5000="Risk",ROW('Work Items'!$A$6:$A$5000)-ROW('Work Items'!$A$6)+1),119)),"")</f>
        <v/>
      </c>
      <c r="E123">
        <f t="array" ref="E123">IFERROR(INDEX('Work Items'!$D$6:$D$5000,SMALL(IF('Work Items'!$A$6:$A$5000="Risk",ROW('Work Items'!$A$6:$A$5000)-ROW('Work Items'!$A$6)+1),119)),"")</f>
        <v/>
      </c>
      <c r="F123">
        <f t="array" ref="F123">IFERROR(INDEX('Work Items'!$E$6:$E$5000,SMALL(IF('Work Items'!$A$6:$A$5000="Risk",ROW('Work Items'!$A$6:$A$5000)-ROW('Work Items'!$A$6)+1),119)),"")</f>
        <v/>
      </c>
      <c r="G123">
        <f t="array" ref="G123">IFERROR(INDEX('Work Items'!$F$6:$F$5000,SMALL(IF('Work Items'!$A$6:$A$5000="Risk",ROW('Work Items'!$A$6:$A$5000)-ROW('Work Items'!$A$6)+1),119)),"")</f>
        <v/>
      </c>
      <c r="H123">
        <f t="array" ref="H123">IFERROR(INDEX('Work Items'!$J$6:$J$5000,SMALL(IF('Work Items'!$A$6:$A$5000="Risk",ROW('Work Items'!$A$6:$A$5000)-ROW('Work Items'!$A$6)+1),119)),"")</f>
        <v/>
      </c>
      <c r="I123">
        <f t="array" ref="I123">IFERROR(INDEX('Work Items'!$K$6:$K$5000,SMALL(IF('Work Items'!$A$6:$A$5000="Risk",ROW('Work Items'!$A$6:$A$5000)-ROW('Work Items'!$A$6)+1),119)),"")</f>
        <v/>
      </c>
      <c r="J123">
        <f t="array" ref="J123">IFERROR(INDEX('Work Items'!$L$6:$L$5000,SMALL(IF('Work Items'!$A$6:$A$5000="Risk",ROW('Work Items'!$A$6:$A$5000)-ROW('Work Items'!$A$6)+1),119)),"")</f>
        <v/>
      </c>
      <c r="K123">
        <f t="array" ref="K123">IFERROR(IF(AND(INDEX('Work Items'!$R$6:$R$5000,SMALL(IF('Work Items'!$A$6:$A$5000="Risk",ROW('Work Items'!$A$6:$A$5000)-ROW('Work Items'!$A$6)+1),119))&lt;&gt;"",INDEX('Work Items'!$S$6:$S$5000,SMALL(IF('Work Items'!$A$6:$A$5000="Risk",ROW('Work Items'!$A$6:$A$5000)-ROW('Work Items'!$A$6)+1),119))&lt;&gt;""),INDEX('Work Items'!$R$6:$R$5000,SMALL(IF('Work Items'!$A$6:$A$5000="Risk",ROW('Work Items'!$A$6:$A$5000)-ROW('Work Items'!$A$6)+1),119))*INDEX('Work Items'!$S$6:$S$5000,SMALL(IF('Work Items'!$A$6:$A$5000="Risk",ROW('Work Items'!$A$6:$A$5000)-ROW('Work Items'!$A$6)+1),119)),INDEX('Work Items'!$U$6:$U$5000,SMALL(IF('Work Items'!$A$6:$A$5000="Risk",ROW('Work Items'!$A$6:$A$5000)-ROW('Work Items'!$A$6)+1),119))),"")</f>
        <v/>
      </c>
      <c r="L123" s="217">
        <f t="array" ref="L123">IFERROR(INDEX('Work Items'!$Q$6:$Q$5000,SMALL(IF('Work Items'!$A$6:$A$5000="Risk",ROW('Work Items'!$A$6:$A$5000)-ROW('Work Items'!$A$6)+1),119)),"")</f>
        <v/>
      </c>
      <c r="M123">
        <f t="array" ref="M123">IFERROR(INDEX('Work Items'!$T$6:$T$5000,SMALL(IF('Work Items'!$A$6:$A$5000="Risk",ROW('Work Items'!$A$6:$A$5000)-ROW('Work Items'!$A$6)+1),119)),"")</f>
        <v/>
      </c>
    </row>
    <row r="124">
      <c r="A124">
        <f t="array" ref="A124">IFERROR(INDEX('Work Items'!$A$6:$A$5000,SMALL(IF('Work Items'!$A$6:$A$5000="Risk",ROW('Work Items'!$A$6:$A$5000)-ROW('Work Items'!$A$6)+1),120)),"")</f>
        <v/>
      </c>
      <c r="B124">
        <f t="array" ref="B124">IFERROR(INDEX('Work Items'!$B$6:$B$5000,SMALL(IF('Work Items'!$A$6:$A$5000="Risk",ROW('Work Items'!$A$6:$A$5000)-ROW('Work Items'!$A$6)+1),120)),"")</f>
        <v/>
      </c>
      <c r="C124">
        <f>IF(E124="","",IFERROR(INDEX('Projects Master'!$A:$A,MATCH(E124,'Projects Master'!$B:$B,0)),"OrgRisk"))</f>
        <v/>
      </c>
      <c r="D124">
        <f t="array" ref="D124">IFERROR(INDEX('Work Items'!$C$6:$C$5000,SMALL(IF('Work Items'!$A$6:$A$5000="Risk",ROW('Work Items'!$A$6:$A$5000)-ROW('Work Items'!$A$6)+1),120)),"")</f>
        <v/>
      </c>
      <c r="E124">
        <f t="array" ref="E124">IFERROR(INDEX('Work Items'!$D$6:$D$5000,SMALL(IF('Work Items'!$A$6:$A$5000="Risk",ROW('Work Items'!$A$6:$A$5000)-ROW('Work Items'!$A$6)+1),120)),"")</f>
        <v/>
      </c>
      <c r="F124">
        <f t="array" ref="F124">IFERROR(INDEX('Work Items'!$E$6:$E$5000,SMALL(IF('Work Items'!$A$6:$A$5000="Risk",ROW('Work Items'!$A$6:$A$5000)-ROW('Work Items'!$A$6)+1),120)),"")</f>
        <v/>
      </c>
      <c r="G124">
        <f t="array" ref="G124">IFERROR(INDEX('Work Items'!$F$6:$F$5000,SMALL(IF('Work Items'!$A$6:$A$5000="Risk",ROW('Work Items'!$A$6:$A$5000)-ROW('Work Items'!$A$6)+1),120)),"")</f>
        <v/>
      </c>
      <c r="H124">
        <f t="array" ref="H124">IFERROR(INDEX('Work Items'!$J$6:$J$5000,SMALL(IF('Work Items'!$A$6:$A$5000="Risk",ROW('Work Items'!$A$6:$A$5000)-ROW('Work Items'!$A$6)+1),120)),"")</f>
        <v/>
      </c>
      <c r="I124">
        <f t="array" ref="I124">IFERROR(INDEX('Work Items'!$K$6:$K$5000,SMALL(IF('Work Items'!$A$6:$A$5000="Risk",ROW('Work Items'!$A$6:$A$5000)-ROW('Work Items'!$A$6)+1),120)),"")</f>
        <v/>
      </c>
      <c r="J124">
        <f t="array" ref="J124">IFERROR(INDEX('Work Items'!$L$6:$L$5000,SMALL(IF('Work Items'!$A$6:$A$5000="Risk",ROW('Work Items'!$A$6:$A$5000)-ROW('Work Items'!$A$6)+1),120)),"")</f>
        <v/>
      </c>
      <c r="K124">
        <f t="array" ref="K124">IFERROR(IF(AND(INDEX('Work Items'!$R$6:$R$5000,SMALL(IF('Work Items'!$A$6:$A$5000="Risk",ROW('Work Items'!$A$6:$A$5000)-ROW('Work Items'!$A$6)+1),120))&lt;&gt;"",INDEX('Work Items'!$S$6:$S$5000,SMALL(IF('Work Items'!$A$6:$A$5000="Risk",ROW('Work Items'!$A$6:$A$5000)-ROW('Work Items'!$A$6)+1),120))&lt;&gt;""),INDEX('Work Items'!$R$6:$R$5000,SMALL(IF('Work Items'!$A$6:$A$5000="Risk",ROW('Work Items'!$A$6:$A$5000)-ROW('Work Items'!$A$6)+1),120))*INDEX('Work Items'!$S$6:$S$5000,SMALL(IF('Work Items'!$A$6:$A$5000="Risk",ROW('Work Items'!$A$6:$A$5000)-ROW('Work Items'!$A$6)+1),120)),INDEX('Work Items'!$U$6:$U$5000,SMALL(IF('Work Items'!$A$6:$A$5000="Risk",ROW('Work Items'!$A$6:$A$5000)-ROW('Work Items'!$A$6)+1),120))),"")</f>
        <v/>
      </c>
      <c r="L124" s="217">
        <f t="array" ref="L124">IFERROR(INDEX('Work Items'!$Q$6:$Q$5000,SMALL(IF('Work Items'!$A$6:$A$5000="Risk",ROW('Work Items'!$A$6:$A$5000)-ROW('Work Items'!$A$6)+1),120)),"")</f>
        <v/>
      </c>
      <c r="M124">
        <f t="array" ref="M124">IFERROR(INDEX('Work Items'!$T$6:$T$5000,SMALL(IF('Work Items'!$A$6:$A$5000="Risk",ROW('Work Items'!$A$6:$A$5000)-ROW('Work Items'!$A$6)+1),120)),"")</f>
        <v/>
      </c>
    </row>
    <row r="125">
      <c r="A125">
        <f t="array" ref="A125">IFERROR(INDEX('Work Items'!$A$6:$A$5000,SMALL(IF('Work Items'!$A$6:$A$5000="Risk",ROW('Work Items'!$A$6:$A$5000)-ROW('Work Items'!$A$6)+1),121)),"")</f>
        <v/>
      </c>
      <c r="B125">
        <f t="array" ref="B125">IFERROR(INDEX('Work Items'!$B$6:$B$5000,SMALL(IF('Work Items'!$A$6:$A$5000="Risk",ROW('Work Items'!$A$6:$A$5000)-ROW('Work Items'!$A$6)+1),121)),"")</f>
        <v/>
      </c>
      <c r="C125">
        <f>IF(E125="","",IFERROR(INDEX('Projects Master'!$A:$A,MATCH(E125,'Projects Master'!$B:$B,0)),"OrgRisk"))</f>
        <v/>
      </c>
      <c r="D125">
        <f t="array" ref="D125">IFERROR(INDEX('Work Items'!$C$6:$C$5000,SMALL(IF('Work Items'!$A$6:$A$5000="Risk",ROW('Work Items'!$A$6:$A$5000)-ROW('Work Items'!$A$6)+1),121)),"")</f>
        <v/>
      </c>
      <c r="E125">
        <f t="array" ref="E125">IFERROR(INDEX('Work Items'!$D$6:$D$5000,SMALL(IF('Work Items'!$A$6:$A$5000="Risk",ROW('Work Items'!$A$6:$A$5000)-ROW('Work Items'!$A$6)+1),121)),"")</f>
        <v/>
      </c>
      <c r="F125">
        <f t="array" ref="F125">IFERROR(INDEX('Work Items'!$E$6:$E$5000,SMALL(IF('Work Items'!$A$6:$A$5000="Risk",ROW('Work Items'!$A$6:$A$5000)-ROW('Work Items'!$A$6)+1),121)),"")</f>
        <v/>
      </c>
      <c r="G125">
        <f t="array" ref="G125">IFERROR(INDEX('Work Items'!$F$6:$F$5000,SMALL(IF('Work Items'!$A$6:$A$5000="Risk",ROW('Work Items'!$A$6:$A$5000)-ROW('Work Items'!$A$6)+1),121)),"")</f>
        <v/>
      </c>
      <c r="H125">
        <f t="array" ref="H125">IFERROR(INDEX('Work Items'!$J$6:$J$5000,SMALL(IF('Work Items'!$A$6:$A$5000="Risk",ROW('Work Items'!$A$6:$A$5000)-ROW('Work Items'!$A$6)+1),121)),"")</f>
        <v/>
      </c>
      <c r="I125">
        <f t="array" ref="I125">IFERROR(INDEX('Work Items'!$K$6:$K$5000,SMALL(IF('Work Items'!$A$6:$A$5000="Risk",ROW('Work Items'!$A$6:$A$5000)-ROW('Work Items'!$A$6)+1),121)),"")</f>
        <v/>
      </c>
      <c r="J125">
        <f t="array" ref="J125">IFERROR(INDEX('Work Items'!$L$6:$L$5000,SMALL(IF('Work Items'!$A$6:$A$5000="Risk",ROW('Work Items'!$A$6:$A$5000)-ROW('Work Items'!$A$6)+1),121)),"")</f>
        <v/>
      </c>
      <c r="K125">
        <f t="array" ref="K125">IFERROR(IF(AND(INDEX('Work Items'!$R$6:$R$5000,SMALL(IF('Work Items'!$A$6:$A$5000="Risk",ROW('Work Items'!$A$6:$A$5000)-ROW('Work Items'!$A$6)+1),121))&lt;&gt;"",INDEX('Work Items'!$S$6:$S$5000,SMALL(IF('Work Items'!$A$6:$A$5000="Risk",ROW('Work Items'!$A$6:$A$5000)-ROW('Work Items'!$A$6)+1),121))&lt;&gt;""),INDEX('Work Items'!$R$6:$R$5000,SMALL(IF('Work Items'!$A$6:$A$5000="Risk",ROW('Work Items'!$A$6:$A$5000)-ROW('Work Items'!$A$6)+1),121))*INDEX('Work Items'!$S$6:$S$5000,SMALL(IF('Work Items'!$A$6:$A$5000="Risk",ROW('Work Items'!$A$6:$A$5000)-ROW('Work Items'!$A$6)+1),121)),INDEX('Work Items'!$U$6:$U$5000,SMALL(IF('Work Items'!$A$6:$A$5000="Risk",ROW('Work Items'!$A$6:$A$5000)-ROW('Work Items'!$A$6)+1),121))),"")</f>
        <v/>
      </c>
      <c r="L125" s="217">
        <f t="array" ref="L125">IFERROR(INDEX('Work Items'!$Q$6:$Q$5000,SMALL(IF('Work Items'!$A$6:$A$5000="Risk",ROW('Work Items'!$A$6:$A$5000)-ROW('Work Items'!$A$6)+1),121)),"")</f>
        <v/>
      </c>
      <c r="M125">
        <f t="array" ref="M125">IFERROR(INDEX('Work Items'!$T$6:$T$5000,SMALL(IF('Work Items'!$A$6:$A$5000="Risk",ROW('Work Items'!$A$6:$A$5000)-ROW('Work Items'!$A$6)+1),121)),"")</f>
        <v/>
      </c>
    </row>
    <row r="126">
      <c r="A126">
        <f t="array" ref="A126">IFERROR(INDEX('Work Items'!$A$6:$A$5000,SMALL(IF('Work Items'!$A$6:$A$5000="Risk",ROW('Work Items'!$A$6:$A$5000)-ROW('Work Items'!$A$6)+1),122)),"")</f>
        <v/>
      </c>
      <c r="B126">
        <f t="array" ref="B126">IFERROR(INDEX('Work Items'!$B$6:$B$5000,SMALL(IF('Work Items'!$A$6:$A$5000="Risk",ROW('Work Items'!$A$6:$A$5000)-ROW('Work Items'!$A$6)+1),122)),"")</f>
        <v/>
      </c>
      <c r="C126">
        <f>IF(E126="","",IFERROR(INDEX('Projects Master'!$A:$A,MATCH(E126,'Projects Master'!$B:$B,0)),"OrgRisk"))</f>
        <v/>
      </c>
      <c r="D126">
        <f t="array" ref="D126">IFERROR(INDEX('Work Items'!$C$6:$C$5000,SMALL(IF('Work Items'!$A$6:$A$5000="Risk",ROW('Work Items'!$A$6:$A$5000)-ROW('Work Items'!$A$6)+1),122)),"")</f>
        <v/>
      </c>
      <c r="E126">
        <f t="array" ref="E126">IFERROR(INDEX('Work Items'!$D$6:$D$5000,SMALL(IF('Work Items'!$A$6:$A$5000="Risk",ROW('Work Items'!$A$6:$A$5000)-ROW('Work Items'!$A$6)+1),122)),"")</f>
        <v/>
      </c>
      <c r="F126">
        <f t="array" ref="F126">IFERROR(INDEX('Work Items'!$E$6:$E$5000,SMALL(IF('Work Items'!$A$6:$A$5000="Risk",ROW('Work Items'!$A$6:$A$5000)-ROW('Work Items'!$A$6)+1),122)),"")</f>
        <v/>
      </c>
      <c r="G126">
        <f t="array" ref="G126">IFERROR(INDEX('Work Items'!$F$6:$F$5000,SMALL(IF('Work Items'!$A$6:$A$5000="Risk",ROW('Work Items'!$A$6:$A$5000)-ROW('Work Items'!$A$6)+1),122)),"")</f>
        <v/>
      </c>
      <c r="H126">
        <f t="array" ref="H126">IFERROR(INDEX('Work Items'!$J$6:$J$5000,SMALL(IF('Work Items'!$A$6:$A$5000="Risk",ROW('Work Items'!$A$6:$A$5000)-ROW('Work Items'!$A$6)+1),122)),"")</f>
        <v/>
      </c>
      <c r="I126">
        <f t="array" ref="I126">IFERROR(INDEX('Work Items'!$K$6:$K$5000,SMALL(IF('Work Items'!$A$6:$A$5000="Risk",ROW('Work Items'!$A$6:$A$5000)-ROW('Work Items'!$A$6)+1),122)),"")</f>
        <v/>
      </c>
      <c r="J126">
        <f t="array" ref="J126">IFERROR(INDEX('Work Items'!$L$6:$L$5000,SMALL(IF('Work Items'!$A$6:$A$5000="Risk",ROW('Work Items'!$A$6:$A$5000)-ROW('Work Items'!$A$6)+1),122)),"")</f>
        <v/>
      </c>
      <c r="K126">
        <f t="array" ref="K126">IFERROR(IF(AND(INDEX('Work Items'!$R$6:$R$5000,SMALL(IF('Work Items'!$A$6:$A$5000="Risk",ROW('Work Items'!$A$6:$A$5000)-ROW('Work Items'!$A$6)+1),122))&lt;&gt;"",INDEX('Work Items'!$S$6:$S$5000,SMALL(IF('Work Items'!$A$6:$A$5000="Risk",ROW('Work Items'!$A$6:$A$5000)-ROW('Work Items'!$A$6)+1),122))&lt;&gt;""),INDEX('Work Items'!$R$6:$R$5000,SMALL(IF('Work Items'!$A$6:$A$5000="Risk",ROW('Work Items'!$A$6:$A$5000)-ROW('Work Items'!$A$6)+1),122))*INDEX('Work Items'!$S$6:$S$5000,SMALL(IF('Work Items'!$A$6:$A$5000="Risk",ROW('Work Items'!$A$6:$A$5000)-ROW('Work Items'!$A$6)+1),122)),INDEX('Work Items'!$U$6:$U$5000,SMALL(IF('Work Items'!$A$6:$A$5000="Risk",ROW('Work Items'!$A$6:$A$5000)-ROW('Work Items'!$A$6)+1),122))),"")</f>
        <v/>
      </c>
      <c r="L126" s="217">
        <f t="array" ref="L126">IFERROR(INDEX('Work Items'!$Q$6:$Q$5000,SMALL(IF('Work Items'!$A$6:$A$5000="Risk",ROW('Work Items'!$A$6:$A$5000)-ROW('Work Items'!$A$6)+1),122)),"")</f>
        <v/>
      </c>
      <c r="M126">
        <f t="array" ref="M126">IFERROR(INDEX('Work Items'!$T$6:$T$5000,SMALL(IF('Work Items'!$A$6:$A$5000="Risk",ROW('Work Items'!$A$6:$A$5000)-ROW('Work Items'!$A$6)+1),122)),"")</f>
        <v/>
      </c>
    </row>
    <row r="127">
      <c r="A127">
        <f t="array" ref="A127">IFERROR(INDEX('Work Items'!$A$6:$A$5000,SMALL(IF('Work Items'!$A$6:$A$5000="Risk",ROW('Work Items'!$A$6:$A$5000)-ROW('Work Items'!$A$6)+1),123)),"")</f>
        <v/>
      </c>
      <c r="B127">
        <f t="array" ref="B127">IFERROR(INDEX('Work Items'!$B$6:$B$5000,SMALL(IF('Work Items'!$A$6:$A$5000="Risk",ROW('Work Items'!$A$6:$A$5000)-ROW('Work Items'!$A$6)+1),123)),"")</f>
        <v/>
      </c>
      <c r="C127">
        <f>IF(E127="","",IFERROR(INDEX('Projects Master'!$A:$A,MATCH(E127,'Projects Master'!$B:$B,0)),"OrgRisk"))</f>
        <v/>
      </c>
      <c r="D127">
        <f t="array" ref="D127">IFERROR(INDEX('Work Items'!$C$6:$C$5000,SMALL(IF('Work Items'!$A$6:$A$5000="Risk",ROW('Work Items'!$A$6:$A$5000)-ROW('Work Items'!$A$6)+1),123)),"")</f>
        <v/>
      </c>
      <c r="E127">
        <f t="array" ref="E127">IFERROR(INDEX('Work Items'!$D$6:$D$5000,SMALL(IF('Work Items'!$A$6:$A$5000="Risk",ROW('Work Items'!$A$6:$A$5000)-ROW('Work Items'!$A$6)+1),123)),"")</f>
        <v/>
      </c>
      <c r="F127">
        <f t="array" ref="F127">IFERROR(INDEX('Work Items'!$E$6:$E$5000,SMALL(IF('Work Items'!$A$6:$A$5000="Risk",ROW('Work Items'!$A$6:$A$5000)-ROW('Work Items'!$A$6)+1),123)),"")</f>
        <v/>
      </c>
      <c r="G127">
        <f t="array" ref="G127">IFERROR(INDEX('Work Items'!$F$6:$F$5000,SMALL(IF('Work Items'!$A$6:$A$5000="Risk",ROW('Work Items'!$A$6:$A$5000)-ROW('Work Items'!$A$6)+1),123)),"")</f>
        <v/>
      </c>
      <c r="H127">
        <f t="array" ref="H127">IFERROR(INDEX('Work Items'!$J$6:$J$5000,SMALL(IF('Work Items'!$A$6:$A$5000="Risk",ROW('Work Items'!$A$6:$A$5000)-ROW('Work Items'!$A$6)+1),123)),"")</f>
        <v/>
      </c>
      <c r="I127">
        <f t="array" ref="I127">IFERROR(INDEX('Work Items'!$K$6:$K$5000,SMALL(IF('Work Items'!$A$6:$A$5000="Risk",ROW('Work Items'!$A$6:$A$5000)-ROW('Work Items'!$A$6)+1),123)),"")</f>
        <v/>
      </c>
      <c r="J127">
        <f t="array" ref="J127">IFERROR(INDEX('Work Items'!$L$6:$L$5000,SMALL(IF('Work Items'!$A$6:$A$5000="Risk",ROW('Work Items'!$A$6:$A$5000)-ROW('Work Items'!$A$6)+1),123)),"")</f>
        <v/>
      </c>
      <c r="K127">
        <f t="array" ref="K127">IFERROR(IF(AND(INDEX('Work Items'!$R$6:$R$5000,SMALL(IF('Work Items'!$A$6:$A$5000="Risk",ROW('Work Items'!$A$6:$A$5000)-ROW('Work Items'!$A$6)+1),123))&lt;&gt;"",INDEX('Work Items'!$S$6:$S$5000,SMALL(IF('Work Items'!$A$6:$A$5000="Risk",ROW('Work Items'!$A$6:$A$5000)-ROW('Work Items'!$A$6)+1),123))&lt;&gt;""),INDEX('Work Items'!$R$6:$R$5000,SMALL(IF('Work Items'!$A$6:$A$5000="Risk",ROW('Work Items'!$A$6:$A$5000)-ROW('Work Items'!$A$6)+1),123))*INDEX('Work Items'!$S$6:$S$5000,SMALL(IF('Work Items'!$A$6:$A$5000="Risk",ROW('Work Items'!$A$6:$A$5000)-ROW('Work Items'!$A$6)+1),123)),INDEX('Work Items'!$U$6:$U$5000,SMALL(IF('Work Items'!$A$6:$A$5000="Risk",ROW('Work Items'!$A$6:$A$5000)-ROW('Work Items'!$A$6)+1),123))),"")</f>
        <v/>
      </c>
      <c r="L127" s="217">
        <f t="array" ref="L127">IFERROR(INDEX('Work Items'!$Q$6:$Q$5000,SMALL(IF('Work Items'!$A$6:$A$5000="Risk",ROW('Work Items'!$A$6:$A$5000)-ROW('Work Items'!$A$6)+1),123)),"")</f>
        <v/>
      </c>
      <c r="M127">
        <f t="array" ref="M127">IFERROR(INDEX('Work Items'!$T$6:$T$5000,SMALL(IF('Work Items'!$A$6:$A$5000="Risk",ROW('Work Items'!$A$6:$A$5000)-ROW('Work Items'!$A$6)+1),123)),"")</f>
        <v/>
      </c>
    </row>
    <row r="128">
      <c r="A128">
        <f t="array" ref="A128">IFERROR(INDEX('Work Items'!$A$6:$A$5000,SMALL(IF('Work Items'!$A$6:$A$5000="Risk",ROW('Work Items'!$A$6:$A$5000)-ROW('Work Items'!$A$6)+1),124)),"")</f>
        <v/>
      </c>
      <c r="B128">
        <f t="array" ref="B128">IFERROR(INDEX('Work Items'!$B$6:$B$5000,SMALL(IF('Work Items'!$A$6:$A$5000="Risk",ROW('Work Items'!$A$6:$A$5000)-ROW('Work Items'!$A$6)+1),124)),"")</f>
        <v/>
      </c>
      <c r="C128">
        <f>IF(E128="","",IFERROR(INDEX('Projects Master'!$A:$A,MATCH(E128,'Projects Master'!$B:$B,0)),"OrgRisk"))</f>
        <v/>
      </c>
      <c r="D128">
        <f t="array" ref="D128">IFERROR(INDEX('Work Items'!$C$6:$C$5000,SMALL(IF('Work Items'!$A$6:$A$5000="Risk",ROW('Work Items'!$A$6:$A$5000)-ROW('Work Items'!$A$6)+1),124)),"")</f>
        <v/>
      </c>
      <c r="E128">
        <f t="array" ref="E128">IFERROR(INDEX('Work Items'!$D$6:$D$5000,SMALL(IF('Work Items'!$A$6:$A$5000="Risk",ROW('Work Items'!$A$6:$A$5000)-ROW('Work Items'!$A$6)+1),124)),"")</f>
        <v/>
      </c>
      <c r="F128">
        <f t="array" ref="F128">IFERROR(INDEX('Work Items'!$E$6:$E$5000,SMALL(IF('Work Items'!$A$6:$A$5000="Risk",ROW('Work Items'!$A$6:$A$5000)-ROW('Work Items'!$A$6)+1),124)),"")</f>
        <v/>
      </c>
      <c r="G128">
        <f t="array" ref="G128">IFERROR(INDEX('Work Items'!$F$6:$F$5000,SMALL(IF('Work Items'!$A$6:$A$5000="Risk",ROW('Work Items'!$A$6:$A$5000)-ROW('Work Items'!$A$6)+1),124)),"")</f>
        <v/>
      </c>
      <c r="H128">
        <f t="array" ref="H128">IFERROR(INDEX('Work Items'!$J$6:$J$5000,SMALL(IF('Work Items'!$A$6:$A$5000="Risk",ROW('Work Items'!$A$6:$A$5000)-ROW('Work Items'!$A$6)+1),124)),"")</f>
        <v/>
      </c>
      <c r="I128">
        <f t="array" ref="I128">IFERROR(INDEX('Work Items'!$K$6:$K$5000,SMALL(IF('Work Items'!$A$6:$A$5000="Risk",ROW('Work Items'!$A$6:$A$5000)-ROW('Work Items'!$A$6)+1),124)),"")</f>
        <v/>
      </c>
      <c r="J128">
        <f t="array" ref="J128">IFERROR(INDEX('Work Items'!$L$6:$L$5000,SMALL(IF('Work Items'!$A$6:$A$5000="Risk",ROW('Work Items'!$A$6:$A$5000)-ROW('Work Items'!$A$6)+1),124)),"")</f>
        <v/>
      </c>
      <c r="K128">
        <f t="array" ref="K128">IFERROR(IF(AND(INDEX('Work Items'!$R$6:$R$5000,SMALL(IF('Work Items'!$A$6:$A$5000="Risk",ROW('Work Items'!$A$6:$A$5000)-ROW('Work Items'!$A$6)+1),124))&lt;&gt;"",INDEX('Work Items'!$S$6:$S$5000,SMALL(IF('Work Items'!$A$6:$A$5000="Risk",ROW('Work Items'!$A$6:$A$5000)-ROW('Work Items'!$A$6)+1),124))&lt;&gt;""),INDEX('Work Items'!$R$6:$R$5000,SMALL(IF('Work Items'!$A$6:$A$5000="Risk",ROW('Work Items'!$A$6:$A$5000)-ROW('Work Items'!$A$6)+1),124))*INDEX('Work Items'!$S$6:$S$5000,SMALL(IF('Work Items'!$A$6:$A$5000="Risk",ROW('Work Items'!$A$6:$A$5000)-ROW('Work Items'!$A$6)+1),124)),INDEX('Work Items'!$U$6:$U$5000,SMALL(IF('Work Items'!$A$6:$A$5000="Risk",ROW('Work Items'!$A$6:$A$5000)-ROW('Work Items'!$A$6)+1),124))),"")</f>
        <v/>
      </c>
      <c r="L128" s="217">
        <f t="array" ref="L128">IFERROR(INDEX('Work Items'!$Q$6:$Q$5000,SMALL(IF('Work Items'!$A$6:$A$5000="Risk",ROW('Work Items'!$A$6:$A$5000)-ROW('Work Items'!$A$6)+1),124)),"")</f>
        <v/>
      </c>
      <c r="M128">
        <f t="array" ref="M128">IFERROR(INDEX('Work Items'!$T$6:$T$5000,SMALL(IF('Work Items'!$A$6:$A$5000="Risk",ROW('Work Items'!$A$6:$A$5000)-ROW('Work Items'!$A$6)+1),124)),"")</f>
        <v/>
      </c>
    </row>
    <row r="129">
      <c r="A129">
        <f t="array" ref="A129">IFERROR(INDEX('Work Items'!$A$6:$A$5000,SMALL(IF('Work Items'!$A$6:$A$5000="Risk",ROW('Work Items'!$A$6:$A$5000)-ROW('Work Items'!$A$6)+1),125)),"")</f>
        <v/>
      </c>
      <c r="B129">
        <f t="array" ref="B129">IFERROR(INDEX('Work Items'!$B$6:$B$5000,SMALL(IF('Work Items'!$A$6:$A$5000="Risk",ROW('Work Items'!$A$6:$A$5000)-ROW('Work Items'!$A$6)+1),125)),"")</f>
        <v/>
      </c>
      <c r="C129">
        <f>IF(E129="","",IFERROR(INDEX('Projects Master'!$A:$A,MATCH(E129,'Projects Master'!$B:$B,0)),"OrgRisk"))</f>
        <v/>
      </c>
      <c r="D129">
        <f t="array" ref="D129">IFERROR(INDEX('Work Items'!$C$6:$C$5000,SMALL(IF('Work Items'!$A$6:$A$5000="Risk",ROW('Work Items'!$A$6:$A$5000)-ROW('Work Items'!$A$6)+1),125)),"")</f>
        <v/>
      </c>
      <c r="E129">
        <f t="array" ref="E129">IFERROR(INDEX('Work Items'!$D$6:$D$5000,SMALL(IF('Work Items'!$A$6:$A$5000="Risk",ROW('Work Items'!$A$6:$A$5000)-ROW('Work Items'!$A$6)+1),125)),"")</f>
        <v/>
      </c>
      <c r="F129">
        <f t="array" ref="F129">IFERROR(INDEX('Work Items'!$E$6:$E$5000,SMALL(IF('Work Items'!$A$6:$A$5000="Risk",ROW('Work Items'!$A$6:$A$5000)-ROW('Work Items'!$A$6)+1),125)),"")</f>
        <v/>
      </c>
      <c r="G129">
        <f t="array" ref="G129">IFERROR(INDEX('Work Items'!$F$6:$F$5000,SMALL(IF('Work Items'!$A$6:$A$5000="Risk",ROW('Work Items'!$A$6:$A$5000)-ROW('Work Items'!$A$6)+1),125)),"")</f>
        <v/>
      </c>
      <c r="H129">
        <f t="array" ref="H129">IFERROR(INDEX('Work Items'!$J$6:$J$5000,SMALL(IF('Work Items'!$A$6:$A$5000="Risk",ROW('Work Items'!$A$6:$A$5000)-ROW('Work Items'!$A$6)+1),125)),"")</f>
        <v/>
      </c>
      <c r="I129">
        <f t="array" ref="I129">IFERROR(INDEX('Work Items'!$K$6:$K$5000,SMALL(IF('Work Items'!$A$6:$A$5000="Risk",ROW('Work Items'!$A$6:$A$5000)-ROW('Work Items'!$A$6)+1),125)),"")</f>
        <v/>
      </c>
      <c r="J129">
        <f t="array" ref="J129">IFERROR(INDEX('Work Items'!$L$6:$L$5000,SMALL(IF('Work Items'!$A$6:$A$5000="Risk",ROW('Work Items'!$A$6:$A$5000)-ROW('Work Items'!$A$6)+1),125)),"")</f>
        <v/>
      </c>
      <c r="K129">
        <f t="array" ref="K129">IFERROR(IF(AND(INDEX('Work Items'!$R$6:$R$5000,SMALL(IF('Work Items'!$A$6:$A$5000="Risk",ROW('Work Items'!$A$6:$A$5000)-ROW('Work Items'!$A$6)+1),125))&lt;&gt;"",INDEX('Work Items'!$S$6:$S$5000,SMALL(IF('Work Items'!$A$6:$A$5000="Risk",ROW('Work Items'!$A$6:$A$5000)-ROW('Work Items'!$A$6)+1),125))&lt;&gt;""),INDEX('Work Items'!$R$6:$R$5000,SMALL(IF('Work Items'!$A$6:$A$5000="Risk",ROW('Work Items'!$A$6:$A$5000)-ROW('Work Items'!$A$6)+1),125))*INDEX('Work Items'!$S$6:$S$5000,SMALL(IF('Work Items'!$A$6:$A$5000="Risk",ROW('Work Items'!$A$6:$A$5000)-ROW('Work Items'!$A$6)+1),125)),INDEX('Work Items'!$U$6:$U$5000,SMALL(IF('Work Items'!$A$6:$A$5000="Risk",ROW('Work Items'!$A$6:$A$5000)-ROW('Work Items'!$A$6)+1),125))),"")</f>
        <v/>
      </c>
      <c r="L129" s="217">
        <f t="array" ref="L129">IFERROR(INDEX('Work Items'!$Q$6:$Q$5000,SMALL(IF('Work Items'!$A$6:$A$5000="Risk",ROW('Work Items'!$A$6:$A$5000)-ROW('Work Items'!$A$6)+1),125)),"")</f>
        <v/>
      </c>
      <c r="M129">
        <f t="array" ref="M129">IFERROR(INDEX('Work Items'!$T$6:$T$5000,SMALL(IF('Work Items'!$A$6:$A$5000="Risk",ROW('Work Items'!$A$6:$A$5000)-ROW('Work Items'!$A$6)+1),125)),"")</f>
        <v/>
      </c>
    </row>
    <row r="130">
      <c r="A130">
        <f t="array" ref="A130">IFERROR(INDEX('Work Items'!$A$6:$A$5000,SMALL(IF('Work Items'!$A$6:$A$5000="Risk",ROW('Work Items'!$A$6:$A$5000)-ROW('Work Items'!$A$6)+1),126)),"")</f>
        <v/>
      </c>
      <c r="B130">
        <f t="array" ref="B130">IFERROR(INDEX('Work Items'!$B$6:$B$5000,SMALL(IF('Work Items'!$A$6:$A$5000="Risk",ROW('Work Items'!$A$6:$A$5000)-ROW('Work Items'!$A$6)+1),126)),"")</f>
        <v/>
      </c>
      <c r="C130">
        <f>IF(E130="","",IFERROR(INDEX('Projects Master'!$A:$A,MATCH(E130,'Projects Master'!$B:$B,0)),"OrgRisk"))</f>
        <v/>
      </c>
      <c r="D130">
        <f t="array" ref="D130">IFERROR(INDEX('Work Items'!$C$6:$C$5000,SMALL(IF('Work Items'!$A$6:$A$5000="Risk",ROW('Work Items'!$A$6:$A$5000)-ROW('Work Items'!$A$6)+1),126)),"")</f>
        <v/>
      </c>
      <c r="E130">
        <f t="array" ref="E130">IFERROR(INDEX('Work Items'!$D$6:$D$5000,SMALL(IF('Work Items'!$A$6:$A$5000="Risk",ROW('Work Items'!$A$6:$A$5000)-ROW('Work Items'!$A$6)+1),126)),"")</f>
        <v/>
      </c>
      <c r="F130">
        <f t="array" ref="F130">IFERROR(INDEX('Work Items'!$E$6:$E$5000,SMALL(IF('Work Items'!$A$6:$A$5000="Risk",ROW('Work Items'!$A$6:$A$5000)-ROW('Work Items'!$A$6)+1),126)),"")</f>
        <v/>
      </c>
      <c r="G130">
        <f t="array" ref="G130">IFERROR(INDEX('Work Items'!$F$6:$F$5000,SMALL(IF('Work Items'!$A$6:$A$5000="Risk",ROW('Work Items'!$A$6:$A$5000)-ROW('Work Items'!$A$6)+1),126)),"")</f>
        <v/>
      </c>
      <c r="H130">
        <f t="array" ref="H130">IFERROR(INDEX('Work Items'!$J$6:$J$5000,SMALL(IF('Work Items'!$A$6:$A$5000="Risk",ROW('Work Items'!$A$6:$A$5000)-ROW('Work Items'!$A$6)+1),126)),"")</f>
        <v/>
      </c>
      <c r="I130">
        <f t="array" ref="I130">IFERROR(INDEX('Work Items'!$K$6:$K$5000,SMALL(IF('Work Items'!$A$6:$A$5000="Risk",ROW('Work Items'!$A$6:$A$5000)-ROW('Work Items'!$A$6)+1),126)),"")</f>
        <v/>
      </c>
      <c r="J130">
        <f t="array" ref="J130">IFERROR(INDEX('Work Items'!$L$6:$L$5000,SMALL(IF('Work Items'!$A$6:$A$5000="Risk",ROW('Work Items'!$A$6:$A$5000)-ROW('Work Items'!$A$6)+1),126)),"")</f>
        <v/>
      </c>
      <c r="K130">
        <f t="array" ref="K130">IFERROR(IF(AND(INDEX('Work Items'!$R$6:$R$5000,SMALL(IF('Work Items'!$A$6:$A$5000="Risk",ROW('Work Items'!$A$6:$A$5000)-ROW('Work Items'!$A$6)+1),126))&lt;&gt;"",INDEX('Work Items'!$S$6:$S$5000,SMALL(IF('Work Items'!$A$6:$A$5000="Risk",ROW('Work Items'!$A$6:$A$5000)-ROW('Work Items'!$A$6)+1),126))&lt;&gt;""),INDEX('Work Items'!$R$6:$R$5000,SMALL(IF('Work Items'!$A$6:$A$5000="Risk",ROW('Work Items'!$A$6:$A$5000)-ROW('Work Items'!$A$6)+1),126))*INDEX('Work Items'!$S$6:$S$5000,SMALL(IF('Work Items'!$A$6:$A$5000="Risk",ROW('Work Items'!$A$6:$A$5000)-ROW('Work Items'!$A$6)+1),126)),INDEX('Work Items'!$U$6:$U$5000,SMALL(IF('Work Items'!$A$6:$A$5000="Risk",ROW('Work Items'!$A$6:$A$5000)-ROW('Work Items'!$A$6)+1),126))),"")</f>
        <v/>
      </c>
      <c r="L130" s="217">
        <f t="array" ref="L130">IFERROR(INDEX('Work Items'!$Q$6:$Q$5000,SMALL(IF('Work Items'!$A$6:$A$5000="Risk",ROW('Work Items'!$A$6:$A$5000)-ROW('Work Items'!$A$6)+1),126)),"")</f>
        <v/>
      </c>
      <c r="M130">
        <f t="array" ref="M130">IFERROR(INDEX('Work Items'!$T$6:$T$5000,SMALL(IF('Work Items'!$A$6:$A$5000="Risk",ROW('Work Items'!$A$6:$A$5000)-ROW('Work Items'!$A$6)+1),126)),"")</f>
        <v/>
      </c>
    </row>
    <row r="131">
      <c r="A131">
        <f t="array" ref="A131">IFERROR(INDEX('Work Items'!$A$6:$A$5000,SMALL(IF('Work Items'!$A$6:$A$5000="Risk",ROW('Work Items'!$A$6:$A$5000)-ROW('Work Items'!$A$6)+1),127)),"")</f>
        <v/>
      </c>
      <c r="B131">
        <f t="array" ref="B131">IFERROR(INDEX('Work Items'!$B$6:$B$5000,SMALL(IF('Work Items'!$A$6:$A$5000="Risk",ROW('Work Items'!$A$6:$A$5000)-ROW('Work Items'!$A$6)+1),127)),"")</f>
        <v/>
      </c>
      <c r="C131">
        <f>IF(E131="","",IFERROR(INDEX('Projects Master'!$A:$A,MATCH(E131,'Projects Master'!$B:$B,0)),"OrgRisk"))</f>
        <v/>
      </c>
      <c r="D131">
        <f t="array" ref="D131">IFERROR(INDEX('Work Items'!$C$6:$C$5000,SMALL(IF('Work Items'!$A$6:$A$5000="Risk",ROW('Work Items'!$A$6:$A$5000)-ROW('Work Items'!$A$6)+1),127)),"")</f>
        <v/>
      </c>
      <c r="E131">
        <f t="array" ref="E131">IFERROR(INDEX('Work Items'!$D$6:$D$5000,SMALL(IF('Work Items'!$A$6:$A$5000="Risk",ROW('Work Items'!$A$6:$A$5000)-ROW('Work Items'!$A$6)+1),127)),"")</f>
        <v/>
      </c>
      <c r="F131">
        <f t="array" ref="F131">IFERROR(INDEX('Work Items'!$E$6:$E$5000,SMALL(IF('Work Items'!$A$6:$A$5000="Risk",ROW('Work Items'!$A$6:$A$5000)-ROW('Work Items'!$A$6)+1),127)),"")</f>
        <v/>
      </c>
      <c r="G131">
        <f t="array" ref="G131">IFERROR(INDEX('Work Items'!$F$6:$F$5000,SMALL(IF('Work Items'!$A$6:$A$5000="Risk",ROW('Work Items'!$A$6:$A$5000)-ROW('Work Items'!$A$6)+1),127)),"")</f>
        <v/>
      </c>
      <c r="H131">
        <f t="array" ref="H131">IFERROR(INDEX('Work Items'!$J$6:$J$5000,SMALL(IF('Work Items'!$A$6:$A$5000="Risk",ROW('Work Items'!$A$6:$A$5000)-ROW('Work Items'!$A$6)+1),127)),"")</f>
        <v/>
      </c>
      <c r="I131">
        <f t="array" ref="I131">IFERROR(INDEX('Work Items'!$K$6:$K$5000,SMALL(IF('Work Items'!$A$6:$A$5000="Risk",ROW('Work Items'!$A$6:$A$5000)-ROW('Work Items'!$A$6)+1),127)),"")</f>
        <v/>
      </c>
      <c r="J131">
        <f t="array" ref="J131">IFERROR(INDEX('Work Items'!$L$6:$L$5000,SMALL(IF('Work Items'!$A$6:$A$5000="Risk",ROW('Work Items'!$A$6:$A$5000)-ROW('Work Items'!$A$6)+1),127)),"")</f>
        <v/>
      </c>
      <c r="K131">
        <f t="array" ref="K131">IFERROR(IF(AND(INDEX('Work Items'!$R$6:$R$5000,SMALL(IF('Work Items'!$A$6:$A$5000="Risk",ROW('Work Items'!$A$6:$A$5000)-ROW('Work Items'!$A$6)+1),127))&lt;&gt;"",INDEX('Work Items'!$S$6:$S$5000,SMALL(IF('Work Items'!$A$6:$A$5000="Risk",ROW('Work Items'!$A$6:$A$5000)-ROW('Work Items'!$A$6)+1),127))&lt;&gt;""),INDEX('Work Items'!$R$6:$R$5000,SMALL(IF('Work Items'!$A$6:$A$5000="Risk",ROW('Work Items'!$A$6:$A$5000)-ROW('Work Items'!$A$6)+1),127))*INDEX('Work Items'!$S$6:$S$5000,SMALL(IF('Work Items'!$A$6:$A$5000="Risk",ROW('Work Items'!$A$6:$A$5000)-ROW('Work Items'!$A$6)+1),127)),INDEX('Work Items'!$U$6:$U$5000,SMALL(IF('Work Items'!$A$6:$A$5000="Risk",ROW('Work Items'!$A$6:$A$5000)-ROW('Work Items'!$A$6)+1),127))),"")</f>
        <v/>
      </c>
      <c r="L131" s="217">
        <f t="array" ref="L131">IFERROR(INDEX('Work Items'!$Q$6:$Q$5000,SMALL(IF('Work Items'!$A$6:$A$5000="Risk",ROW('Work Items'!$A$6:$A$5000)-ROW('Work Items'!$A$6)+1),127)),"")</f>
        <v/>
      </c>
      <c r="M131">
        <f t="array" ref="M131">IFERROR(INDEX('Work Items'!$T$6:$T$5000,SMALL(IF('Work Items'!$A$6:$A$5000="Risk",ROW('Work Items'!$A$6:$A$5000)-ROW('Work Items'!$A$6)+1),127)),"")</f>
        <v/>
      </c>
    </row>
    <row r="132">
      <c r="A132">
        <f t="array" ref="A132">IFERROR(INDEX('Work Items'!$A$6:$A$5000,SMALL(IF('Work Items'!$A$6:$A$5000="Risk",ROW('Work Items'!$A$6:$A$5000)-ROW('Work Items'!$A$6)+1),128)),"")</f>
        <v/>
      </c>
      <c r="B132">
        <f t="array" ref="B132">IFERROR(INDEX('Work Items'!$B$6:$B$5000,SMALL(IF('Work Items'!$A$6:$A$5000="Risk",ROW('Work Items'!$A$6:$A$5000)-ROW('Work Items'!$A$6)+1),128)),"")</f>
        <v/>
      </c>
      <c r="C132">
        <f>IF(E132="","",IFERROR(INDEX('Projects Master'!$A:$A,MATCH(E132,'Projects Master'!$B:$B,0)),"OrgRisk"))</f>
        <v/>
      </c>
      <c r="D132">
        <f t="array" ref="D132">IFERROR(INDEX('Work Items'!$C$6:$C$5000,SMALL(IF('Work Items'!$A$6:$A$5000="Risk",ROW('Work Items'!$A$6:$A$5000)-ROW('Work Items'!$A$6)+1),128)),"")</f>
        <v/>
      </c>
      <c r="E132">
        <f t="array" ref="E132">IFERROR(INDEX('Work Items'!$D$6:$D$5000,SMALL(IF('Work Items'!$A$6:$A$5000="Risk",ROW('Work Items'!$A$6:$A$5000)-ROW('Work Items'!$A$6)+1),128)),"")</f>
        <v/>
      </c>
      <c r="F132">
        <f t="array" ref="F132">IFERROR(INDEX('Work Items'!$E$6:$E$5000,SMALL(IF('Work Items'!$A$6:$A$5000="Risk",ROW('Work Items'!$A$6:$A$5000)-ROW('Work Items'!$A$6)+1),128)),"")</f>
        <v/>
      </c>
      <c r="G132">
        <f t="array" ref="G132">IFERROR(INDEX('Work Items'!$F$6:$F$5000,SMALL(IF('Work Items'!$A$6:$A$5000="Risk",ROW('Work Items'!$A$6:$A$5000)-ROW('Work Items'!$A$6)+1),128)),"")</f>
        <v/>
      </c>
      <c r="H132">
        <f t="array" ref="H132">IFERROR(INDEX('Work Items'!$J$6:$J$5000,SMALL(IF('Work Items'!$A$6:$A$5000="Risk",ROW('Work Items'!$A$6:$A$5000)-ROW('Work Items'!$A$6)+1),128)),"")</f>
        <v/>
      </c>
      <c r="I132">
        <f t="array" ref="I132">IFERROR(INDEX('Work Items'!$K$6:$K$5000,SMALL(IF('Work Items'!$A$6:$A$5000="Risk",ROW('Work Items'!$A$6:$A$5000)-ROW('Work Items'!$A$6)+1),128)),"")</f>
        <v/>
      </c>
      <c r="J132">
        <f t="array" ref="J132">IFERROR(INDEX('Work Items'!$L$6:$L$5000,SMALL(IF('Work Items'!$A$6:$A$5000="Risk",ROW('Work Items'!$A$6:$A$5000)-ROW('Work Items'!$A$6)+1),128)),"")</f>
        <v/>
      </c>
      <c r="K132">
        <f t="array" ref="K132">IFERROR(IF(AND(INDEX('Work Items'!$R$6:$R$5000,SMALL(IF('Work Items'!$A$6:$A$5000="Risk",ROW('Work Items'!$A$6:$A$5000)-ROW('Work Items'!$A$6)+1),128))&lt;&gt;"",INDEX('Work Items'!$S$6:$S$5000,SMALL(IF('Work Items'!$A$6:$A$5000="Risk",ROW('Work Items'!$A$6:$A$5000)-ROW('Work Items'!$A$6)+1),128))&lt;&gt;""),INDEX('Work Items'!$R$6:$R$5000,SMALL(IF('Work Items'!$A$6:$A$5000="Risk",ROW('Work Items'!$A$6:$A$5000)-ROW('Work Items'!$A$6)+1),128))*INDEX('Work Items'!$S$6:$S$5000,SMALL(IF('Work Items'!$A$6:$A$5000="Risk",ROW('Work Items'!$A$6:$A$5000)-ROW('Work Items'!$A$6)+1),128)),INDEX('Work Items'!$U$6:$U$5000,SMALL(IF('Work Items'!$A$6:$A$5000="Risk",ROW('Work Items'!$A$6:$A$5000)-ROW('Work Items'!$A$6)+1),128))),"")</f>
        <v/>
      </c>
      <c r="L132" s="217">
        <f t="array" ref="L132">IFERROR(INDEX('Work Items'!$Q$6:$Q$5000,SMALL(IF('Work Items'!$A$6:$A$5000="Risk",ROW('Work Items'!$A$6:$A$5000)-ROW('Work Items'!$A$6)+1),128)),"")</f>
        <v/>
      </c>
      <c r="M132">
        <f t="array" ref="M132">IFERROR(INDEX('Work Items'!$T$6:$T$5000,SMALL(IF('Work Items'!$A$6:$A$5000="Risk",ROW('Work Items'!$A$6:$A$5000)-ROW('Work Items'!$A$6)+1),128)),"")</f>
        <v/>
      </c>
    </row>
    <row r="133">
      <c r="A133">
        <f t="array" ref="A133">IFERROR(INDEX('Work Items'!$A$6:$A$5000,SMALL(IF('Work Items'!$A$6:$A$5000="Risk",ROW('Work Items'!$A$6:$A$5000)-ROW('Work Items'!$A$6)+1),129)),"")</f>
        <v/>
      </c>
      <c r="B133">
        <f t="array" ref="B133">IFERROR(INDEX('Work Items'!$B$6:$B$5000,SMALL(IF('Work Items'!$A$6:$A$5000="Risk",ROW('Work Items'!$A$6:$A$5000)-ROW('Work Items'!$A$6)+1),129)),"")</f>
        <v/>
      </c>
      <c r="C133">
        <f>IF(E133="","",IFERROR(INDEX('Projects Master'!$A:$A,MATCH(E133,'Projects Master'!$B:$B,0)),"OrgRisk"))</f>
        <v/>
      </c>
      <c r="D133">
        <f t="array" ref="D133">IFERROR(INDEX('Work Items'!$C$6:$C$5000,SMALL(IF('Work Items'!$A$6:$A$5000="Risk",ROW('Work Items'!$A$6:$A$5000)-ROW('Work Items'!$A$6)+1),129)),"")</f>
        <v/>
      </c>
      <c r="E133">
        <f t="array" ref="E133">IFERROR(INDEX('Work Items'!$D$6:$D$5000,SMALL(IF('Work Items'!$A$6:$A$5000="Risk",ROW('Work Items'!$A$6:$A$5000)-ROW('Work Items'!$A$6)+1),129)),"")</f>
        <v/>
      </c>
      <c r="F133">
        <f t="array" ref="F133">IFERROR(INDEX('Work Items'!$E$6:$E$5000,SMALL(IF('Work Items'!$A$6:$A$5000="Risk",ROW('Work Items'!$A$6:$A$5000)-ROW('Work Items'!$A$6)+1),129)),"")</f>
        <v/>
      </c>
      <c r="G133">
        <f t="array" ref="G133">IFERROR(INDEX('Work Items'!$F$6:$F$5000,SMALL(IF('Work Items'!$A$6:$A$5000="Risk",ROW('Work Items'!$A$6:$A$5000)-ROW('Work Items'!$A$6)+1),129)),"")</f>
        <v/>
      </c>
      <c r="H133">
        <f t="array" ref="H133">IFERROR(INDEX('Work Items'!$J$6:$J$5000,SMALL(IF('Work Items'!$A$6:$A$5000="Risk",ROW('Work Items'!$A$6:$A$5000)-ROW('Work Items'!$A$6)+1),129)),"")</f>
        <v/>
      </c>
      <c r="I133">
        <f t="array" ref="I133">IFERROR(INDEX('Work Items'!$K$6:$K$5000,SMALL(IF('Work Items'!$A$6:$A$5000="Risk",ROW('Work Items'!$A$6:$A$5000)-ROW('Work Items'!$A$6)+1),129)),"")</f>
        <v/>
      </c>
      <c r="J133">
        <f t="array" ref="J133">IFERROR(INDEX('Work Items'!$L$6:$L$5000,SMALL(IF('Work Items'!$A$6:$A$5000="Risk",ROW('Work Items'!$A$6:$A$5000)-ROW('Work Items'!$A$6)+1),129)),"")</f>
        <v/>
      </c>
      <c r="K133">
        <f t="array" ref="K133">IFERROR(IF(AND(INDEX('Work Items'!$R$6:$R$5000,SMALL(IF('Work Items'!$A$6:$A$5000="Risk",ROW('Work Items'!$A$6:$A$5000)-ROW('Work Items'!$A$6)+1),129))&lt;&gt;"",INDEX('Work Items'!$S$6:$S$5000,SMALL(IF('Work Items'!$A$6:$A$5000="Risk",ROW('Work Items'!$A$6:$A$5000)-ROW('Work Items'!$A$6)+1),129))&lt;&gt;""),INDEX('Work Items'!$R$6:$R$5000,SMALL(IF('Work Items'!$A$6:$A$5000="Risk",ROW('Work Items'!$A$6:$A$5000)-ROW('Work Items'!$A$6)+1),129))*INDEX('Work Items'!$S$6:$S$5000,SMALL(IF('Work Items'!$A$6:$A$5000="Risk",ROW('Work Items'!$A$6:$A$5000)-ROW('Work Items'!$A$6)+1),129)),INDEX('Work Items'!$U$6:$U$5000,SMALL(IF('Work Items'!$A$6:$A$5000="Risk",ROW('Work Items'!$A$6:$A$5000)-ROW('Work Items'!$A$6)+1),129))),"")</f>
        <v/>
      </c>
      <c r="L133" s="217">
        <f t="array" ref="L133">IFERROR(INDEX('Work Items'!$Q$6:$Q$5000,SMALL(IF('Work Items'!$A$6:$A$5000="Risk",ROW('Work Items'!$A$6:$A$5000)-ROW('Work Items'!$A$6)+1),129)),"")</f>
        <v/>
      </c>
      <c r="M133">
        <f t="array" ref="M133">IFERROR(INDEX('Work Items'!$T$6:$T$5000,SMALL(IF('Work Items'!$A$6:$A$5000="Risk",ROW('Work Items'!$A$6:$A$5000)-ROW('Work Items'!$A$6)+1),129)),"")</f>
        <v/>
      </c>
    </row>
    <row r="134">
      <c r="A134">
        <f t="array" ref="A134">IFERROR(INDEX('Work Items'!$A$6:$A$5000,SMALL(IF('Work Items'!$A$6:$A$5000="Risk",ROW('Work Items'!$A$6:$A$5000)-ROW('Work Items'!$A$6)+1),130)),"")</f>
        <v/>
      </c>
      <c r="B134">
        <f t="array" ref="B134">IFERROR(INDEX('Work Items'!$B$6:$B$5000,SMALL(IF('Work Items'!$A$6:$A$5000="Risk",ROW('Work Items'!$A$6:$A$5000)-ROW('Work Items'!$A$6)+1),130)),"")</f>
        <v/>
      </c>
      <c r="C134">
        <f>IF(E134="","",IFERROR(INDEX('Projects Master'!$A:$A,MATCH(E134,'Projects Master'!$B:$B,0)),"OrgRisk"))</f>
        <v/>
      </c>
      <c r="D134">
        <f t="array" ref="D134">IFERROR(INDEX('Work Items'!$C$6:$C$5000,SMALL(IF('Work Items'!$A$6:$A$5000="Risk",ROW('Work Items'!$A$6:$A$5000)-ROW('Work Items'!$A$6)+1),130)),"")</f>
        <v/>
      </c>
      <c r="E134">
        <f t="array" ref="E134">IFERROR(INDEX('Work Items'!$D$6:$D$5000,SMALL(IF('Work Items'!$A$6:$A$5000="Risk",ROW('Work Items'!$A$6:$A$5000)-ROW('Work Items'!$A$6)+1),130)),"")</f>
        <v/>
      </c>
      <c r="F134">
        <f t="array" ref="F134">IFERROR(INDEX('Work Items'!$E$6:$E$5000,SMALL(IF('Work Items'!$A$6:$A$5000="Risk",ROW('Work Items'!$A$6:$A$5000)-ROW('Work Items'!$A$6)+1),130)),"")</f>
        <v/>
      </c>
      <c r="G134">
        <f t="array" ref="G134">IFERROR(INDEX('Work Items'!$F$6:$F$5000,SMALL(IF('Work Items'!$A$6:$A$5000="Risk",ROW('Work Items'!$A$6:$A$5000)-ROW('Work Items'!$A$6)+1),130)),"")</f>
        <v/>
      </c>
      <c r="H134">
        <f t="array" ref="H134">IFERROR(INDEX('Work Items'!$J$6:$J$5000,SMALL(IF('Work Items'!$A$6:$A$5000="Risk",ROW('Work Items'!$A$6:$A$5000)-ROW('Work Items'!$A$6)+1),130)),"")</f>
        <v/>
      </c>
      <c r="I134">
        <f t="array" ref="I134">IFERROR(INDEX('Work Items'!$K$6:$K$5000,SMALL(IF('Work Items'!$A$6:$A$5000="Risk",ROW('Work Items'!$A$6:$A$5000)-ROW('Work Items'!$A$6)+1),130)),"")</f>
        <v/>
      </c>
      <c r="J134">
        <f t="array" ref="J134">IFERROR(INDEX('Work Items'!$L$6:$L$5000,SMALL(IF('Work Items'!$A$6:$A$5000="Risk",ROW('Work Items'!$A$6:$A$5000)-ROW('Work Items'!$A$6)+1),130)),"")</f>
        <v/>
      </c>
      <c r="K134">
        <f t="array" ref="K134">IFERROR(IF(AND(INDEX('Work Items'!$R$6:$R$5000,SMALL(IF('Work Items'!$A$6:$A$5000="Risk",ROW('Work Items'!$A$6:$A$5000)-ROW('Work Items'!$A$6)+1),130))&lt;&gt;"",INDEX('Work Items'!$S$6:$S$5000,SMALL(IF('Work Items'!$A$6:$A$5000="Risk",ROW('Work Items'!$A$6:$A$5000)-ROW('Work Items'!$A$6)+1),130))&lt;&gt;""),INDEX('Work Items'!$R$6:$R$5000,SMALL(IF('Work Items'!$A$6:$A$5000="Risk",ROW('Work Items'!$A$6:$A$5000)-ROW('Work Items'!$A$6)+1),130))*INDEX('Work Items'!$S$6:$S$5000,SMALL(IF('Work Items'!$A$6:$A$5000="Risk",ROW('Work Items'!$A$6:$A$5000)-ROW('Work Items'!$A$6)+1),130)),INDEX('Work Items'!$U$6:$U$5000,SMALL(IF('Work Items'!$A$6:$A$5000="Risk",ROW('Work Items'!$A$6:$A$5000)-ROW('Work Items'!$A$6)+1),130))),"")</f>
        <v/>
      </c>
      <c r="L134" s="217">
        <f t="array" ref="L134">IFERROR(INDEX('Work Items'!$Q$6:$Q$5000,SMALL(IF('Work Items'!$A$6:$A$5000="Risk",ROW('Work Items'!$A$6:$A$5000)-ROW('Work Items'!$A$6)+1),130)),"")</f>
        <v/>
      </c>
      <c r="M134">
        <f t="array" ref="M134">IFERROR(INDEX('Work Items'!$T$6:$T$5000,SMALL(IF('Work Items'!$A$6:$A$5000="Risk",ROW('Work Items'!$A$6:$A$5000)-ROW('Work Items'!$A$6)+1),130)),"")</f>
        <v/>
      </c>
    </row>
    <row r="135">
      <c r="A135">
        <f t="array" ref="A135">IFERROR(INDEX('Work Items'!$A$6:$A$5000,SMALL(IF('Work Items'!$A$6:$A$5000="Risk",ROW('Work Items'!$A$6:$A$5000)-ROW('Work Items'!$A$6)+1),131)),"")</f>
        <v/>
      </c>
      <c r="B135">
        <f t="array" ref="B135">IFERROR(INDEX('Work Items'!$B$6:$B$5000,SMALL(IF('Work Items'!$A$6:$A$5000="Risk",ROW('Work Items'!$A$6:$A$5000)-ROW('Work Items'!$A$6)+1),131)),"")</f>
        <v/>
      </c>
      <c r="C135">
        <f>IF(E135="","",IFERROR(INDEX('Projects Master'!$A:$A,MATCH(E135,'Projects Master'!$B:$B,0)),"OrgRisk"))</f>
        <v/>
      </c>
      <c r="D135">
        <f t="array" ref="D135">IFERROR(INDEX('Work Items'!$C$6:$C$5000,SMALL(IF('Work Items'!$A$6:$A$5000="Risk",ROW('Work Items'!$A$6:$A$5000)-ROW('Work Items'!$A$6)+1),131)),"")</f>
        <v/>
      </c>
      <c r="E135">
        <f t="array" ref="E135">IFERROR(INDEX('Work Items'!$D$6:$D$5000,SMALL(IF('Work Items'!$A$6:$A$5000="Risk",ROW('Work Items'!$A$6:$A$5000)-ROW('Work Items'!$A$6)+1),131)),"")</f>
        <v/>
      </c>
      <c r="F135">
        <f t="array" ref="F135">IFERROR(INDEX('Work Items'!$E$6:$E$5000,SMALL(IF('Work Items'!$A$6:$A$5000="Risk",ROW('Work Items'!$A$6:$A$5000)-ROW('Work Items'!$A$6)+1),131)),"")</f>
        <v/>
      </c>
      <c r="G135">
        <f t="array" ref="G135">IFERROR(INDEX('Work Items'!$F$6:$F$5000,SMALL(IF('Work Items'!$A$6:$A$5000="Risk",ROW('Work Items'!$A$6:$A$5000)-ROW('Work Items'!$A$6)+1),131)),"")</f>
        <v/>
      </c>
      <c r="H135">
        <f t="array" ref="H135">IFERROR(INDEX('Work Items'!$J$6:$J$5000,SMALL(IF('Work Items'!$A$6:$A$5000="Risk",ROW('Work Items'!$A$6:$A$5000)-ROW('Work Items'!$A$6)+1),131)),"")</f>
        <v/>
      </c>
      <c r="I135">
        <f t="array" ref="I135">IFERROR(INDEX('Work Items'!$K$6:$K$5000,SMALL(IF('Work Items'!$A$6:$A$5000="Risk",ROW('Work Items'!$A$6:$A$5000)-ROW('Work Items'!$A$6)+1),131)),"")</f>
        <v/>
      </c>
      <c r="J135">
        <f t="array" ref="J135">IFERROR(INDEX('Work Items'!$L$6:$L$5000,SMALL(IF('Work Items'!$A$6:$A$5000="Risk",ROW('Work Items'!$A$6:$A$5000)-ROW('Work Items'!$A$6)+1),131)),"")</f>
        <v/>
      </c>
      <c r="K135">
        <f t="array" ref="K135">IFERROR(IF(AND(INDEX('Work Items'!$R$6:$R$5000,SMALL(IF('Work Items'!$A$6:$A$5000="Risk",ROW('Work Items'!$A$6:$A$5000)-ROW('Work Items'!$A$6)+1),131))&lt;&gt;"",INDEX('Work Items'!$S$6:$S$5000,SMALL(IF('Work Items'!$A$6:$A$5000="Risk",ROW('Work Items'!$A$6:$A$5000)-ROW('Work Items'!$A$6)+1),131))&lt;&gt;""),INDEX('Work Items'!$R$6:$R$5000,SMALL(IF('Work Items'!$A$6:$A$5000="Risk",ROW('Work Items'!$A$6:$A$5000)-ROW('Work Items'!$A$6)+1),131))*INDEX('Work Items'!$S$6:$S$5000,SMALL(IF('Work Items'!$A$6:$A$5000="Risk",ROW('Work Items'!$A$6:$A$5000)-ROW('Work Items'!$A$6)+1),131)),INDEX('Work Items'!$U$6:$U$5000,SMALL(IF('Work Items'!$A$6:$A$5000="Risk",ROW('Work Items'!$A$6:$A$5000)-ROW('Work Items'!$A$6)+1),131))),"")</f>
        <v/>
      </c>
      <c r="L135" s="217">
        <f t="array" ref="L135">IFERROR(INDEX('Work Items'!$Q$6:$Q$5000,SMALL(IF('Work Items'!$A$6:$A$5000="Risk",ROW('Work Items'!$A$6:$A$5000)-ROW('Work Items'!$A$6)+1),131)),"")</f>
        <v/>
      </c>
      <c r="M135">
        <f t="array" ref="M135">IFERROR(INDEX('Work Items'!$T$6:$T$5000,SMALL(IF('Work Items'!$A$6:$A$5000="Risk",ROW('Work Items'!$A$6:$A$5000)-ROW('Work Items'!$A$6)+1),131)),"")</f>
        <v/>
      </c>
    </row>
    <row r="136">
      <c r="A136">
        <f t="array" ref="A136">IFERROR(INDEX('Work Items'!$A$6:$A$5000,SMALL(IF('Work Items'!$A$6:$A$5000="Risk",ROW('Work Items'!$A$6:$A$5000)-ROW('Work Items'!$A$6)+1),132)),"")</f>
        <v/>
      </c>
      <c r="B136">
        <f t="array" ref="B136">IFERROR(INDEX('Work Items'!$B$6:$B$5000,SMALL(IF('Work Items'!$A$6:$A$5000="Risk",ROW('Work Items'!$A$6:$A$5000)-ROW('Work Items'!$A$6)+1),132)),"")</f>
        <v/>
      </c>
      <c r="C136">
        <f>IF(E136="","",IFERROR(INDEX('Projects Master'!$A:$A,MATCH(E136,'Projects Master'!$B:$B,0)),"OrgRisk"))</f>
        <v/>
      </c>
      <c r="D136">
        <f t="array" ref="D136">IFERROR(INDEX('Work Items'!$C$6:$C$5000,SMALL(IF('Work Items'!$A$6:$A$5000="Risk",ROW('Work Items'!$A$6:$A$5000)-ROW('Work Items'!$A$6)+1),132)),"")</f>
        <v/>
      </c>
      <c r="E136">
        <f t="array" ref="E136">IFERROR(INDEX('Work Items'!$D$6:$D$5000,SMALL(IF('Work Items'!$A$6:$A$5000="Risk",ROW('Work Items'!$A$6:$A$5000)-ROW('Work Items'!$A$6)+1),132)),"")</f>
        <v/>
      </c>
      <c r="F136">
        <f t="array" ref="F136">IFERROR(INDEX('Work Items'!$E$6:$E$5000,SMALL(IF('Work Items'!$A$6:$A$5000="Risk",ROW('Work Items'!$A$6:$A$5000)-ROW('Work Items'!$A$6)+1),132)),"")</f>
        <v/>
      </c>
      <c r="G136">
        <f t="array" ref="G136">IFERROR(INDEX('Work Items'!$F$6:$F$5000,SMALL(IF('Work Items'!$A$6:$A$5000="Risk",ROW('Work Items'!$A$6:$A$5000)-ROW('Work Items'!$A$6)+1),132)),"")</f>
        <v/>
      </c>
      <c r="H136">
        <f t="array" ref="H136">IFERROR(INDEX('Work Items'!$J$6:$J$5000,SMALL(IF('Work Items'!$A$6:$A$5000="Risk",ROW('Work Items'!$A$6:$A$5000)-ROW('Work Items'!$A$6)+1),132)),"")</f>
        <v/>
      </c>
      <c r="I136">
        <f t="array" ref="I136">IFERROR(INDEX('Work Items'!$K$6:$K$5000,SMALL(IF('Work Items'!$A$6:$A$5000="Risk",ROW('Work Items'!$A$6:$A$5000)-ROW('Work Items'!$A$6)+1),132)),"")</f>
        <v/>
      </c>
      <c r="J136">
        <f t="array" ref="J136">IFERROR(INDEX('Work Items'!$L$6:$L$5000,SMALL(IF('Work Items'!$A$6:$A$5000="Risk",ROW('Work Items'!$A$6:$A$5000)-ROW('Work Items'!$A$6)+1),132)),"")</f>
        <v/>
      </c>
      <c r="K136">
        <f t="array" ref="K136">IFERROR(IF(AND(INDEX('Work Items'!$R$6:$R$5000,SMALL(IF('Work Items'!$A$6:$A$5000="Risk",ROW('Work Items'!$A$6:$A$5000)-ROW('Work Items'!$A$6)+1),132))&lt;&gt;"",INDEX('Work Items'!$S$6:$S$5000,SMALL(IF('Work Items'!$A$6:$A$5000="Risk",ROW('Work Items'!$A$6:$A$5000)-ROW('Work Items'!$A$6)+1),132))&lt;&gt;""),INDEX('Work Items'!$R$6:$R$5000,SMALL(IF('Work Items'!$A$6:$A$5000="Risk",ROW('Work Items'!$A$6:$A$5000)-ROW('Work Items'!$A$6)+1),132))*INDEX('Work Items'!$S$6:$S$5000,SMALL(IF('Work Items'!$A$6:$A$5000="Risk",ROW('Work Items'!$A$6:$A$5000)-ROW('Work Items'!$A$6)+1),132)),INDEX('Work Items'!$U$6:$U$5000,SMALL(IF('Work Items'!$A$6:$A$5000="Risk",ROW('Work Items'!$A$6:$A$5000)-ROW('Work Items'!$A$6)+1),132))),"")</f>
        <v/>
      </c>
      <c r="L136" s="217">
        <f t="array" ref="L136">IFERROR(INDEX('Work Items'!$Q$6:$Q$5000,SMALL(IF('Work Items'!$A$6:$A$5000="Risk",ROW('Work Items'!$A$6:$A$5000)-ROW('Work Items'!$A$6)+1),132)),"")</f>
        <v/>
      </c>
      <c r="M136">
        <f t="array" ref="M136">IFERROR(INDEX('Work Items'!$T$6:$T$5000,SMALL(IF('Work Items'!$A$6:$A$5000="Risk",ROW('Work Items'!$A$6:$A$5000)-ROW('Work Items'!$A$6)+1),132)),"")</f>
        <v/>
      </c>
    </row>
    <row r="137">
      <c r="A137">
        <f t="array" ref="A137">IFERROR(INDEX('Work Items'!$A$6:$A$5000,SMALL(IF('Work Items'!$A$6:$A$5000="Risk",ROW('Work Items'!$A$6:$A$5000)-ROW('Work Items'!$A$6)+1),133)),"")</f>
        <v/>
      </c>
      <c r="B137">
        <f t="array" ref="B137">IFERROR(INDEX('Work Items'!$B$6:$B$5000,SMALL(IF('Work Items'!$A$6:$A$5000="Risk",ROW('Work Items'!$A$6:$A$5000)-ROW('Work Items'!$A$6)+1),133)),"")</f>
        <v/>
      </c>
      <c r="C137">
        <f>IF(E137="","",IFERROR(INDEX('Projects Master'!$A:$A,MATCH(E137,'Projects Master'!$B:$B,0)),"OrgRisk"))</f>
        <v/>
      </c>
      <c r="D137">
        <f t="array" ref="D137">IFERROR(INDEX('Work Items'!$C$6:$C$5000,SMALL(IF('Work Items'!$A$6:$A$5000="Risk",ROW('Work Items'!$A$6:$A$5000)-ROW('Work Items'!$A$6)+1),133)),"")</f>
        <v/>
      </c>
      <c r="E137">
        <f t="array" ref="E137">IFERROR(INDEX('Work Items'!$D$6:$D$5000,SMALL(IF('Work Items'!$A$6:$A$5000="Risk",ROW('Work Items'!$A$6:$A$5000)-ROW('Work Items'!$A$6)+1),133)),"")</f>
        <v/>
      </c>
      <c r="F137">
        <f t="array" ref="F137">IFERROR(INDEX('Work Items'!$E$6:$E$5000,SMALL(IF('Work Items'!$A$6:$A$5000="Risk",ROW('Work Items'!$A$6:$A$5000)-ROW('Work Items'!$A$6)+1),133)),"")</f>
        <v/>
      </c>
      <c r="G137">
        <f t="array" ref="G137">IFERROR(INDEX('Work Items'!$F$6:$F$5000,SMALL(IF('Work Items'!$A$6:$A$5000="Risk",ROW('Work Items'!$A$6:$A$5000)-ROW('Work Items'!$A$6)+1),133)),"")</f>
        <v/>
      </c>
      <c r="H137">
        <f t="array" ref="H137">IFERROR(INDEX('Work Items'!$J$6:$J$5000,SMALL(IF('Work Items'!$A$6:$A$5000="Risk",ROW('Work Items'!$A$6:$A$5000)-ROW('Work Items'!$A$6)+1),133)),"")</f>
        <v/>
      </c>
      <c r="I137">
        <f t="array" ref="I137">IFERROR(INDEX('Work Items'!$K$6:$K$5000,SMALL(IF('Work Items'!$A$6:$A$5000="Risk",ROW('Work Items'!$A$6:$A$5000)-ROW('Work Items'!$A$6)+1),133)),"")</f>
        <v/>
      </c>
      <c r="J137">
        <f t="array" ref="J137">IFERROR(INDEX('Work Items'!$L$6:$L$5000,SMALL(IF('Work Items'!$A$6:$A$5000="Risk",ROW('Work Items'!$A$6:$A$5000)-ROW('Work Items'!$A$6)+1),133)),"")</f>
        <v/>
      </c>
      <c r="K137">
        <f t="array" ref="K137">IFERROR(IF(AND(INDEX('Work Items'!$R$6:$R$5000,SMALL(IF('Work Items'!$A$6:$A$5000="Risk",ROW('Work Items'!$A$6:$A$5000)-ROW('Work Items'!$A$6)+1),133))&lt;&gt;"",INDEX('Work Items'!$S$6:$S$5000,SMALL(IF('Work Items'!$A$6:$A$5000="Risk",ROW('Work Items'!$A$6:$A$5000)-ROW('Work Items'!$A$6)+1),133))&lt;&gt;""),INDEX('Work Items'!$R$6:$R$5000,SMALL(IF('Work Items'!$A$6:$A$5000="Risk",ROW('Work Items'!$A$6:$A$5000)-ROW('Work Items'!$A$6)+1),133))*INDEX('Work Items'!$S$6:$S$5000,SMALL(IF('Work Items'!$A$6:$A$5000="Risk",ROW('Work Items'!$A$6:$A$5000)-ROW('Work Items'!$A$6)+1),133)),INDEX('Work Items'!$U$6:$U$5000,SMALL(IF('Work Items'!$A$6:$A$5000="Risk",ROW('Work Items'!$A$6:$A$5000)-ROW('Work Items'!$A$6)+1),133))),"")</f>
        <v/>
      </c>
      <c r="L137" s="217">
        <f t="array" ref="L137">IFERROR(INDEX('Work Items'!$Q$6:$Q$5000,SMALL(IF('Work Items'!$A$6:$A$5000="Risk",ROW('Work Items'!$A$6:$A$5000)-ROW('Work Items'!$A$6)+1),133)),"")</f>
        <v/>
      </c>
      <c r="M137">
        <f t="array" ref="M137">IFERROR(INDEX('Work Items'!$T$6:$T$5000,SMALL(IF('Work Items'!$A$6:$A$5000="Risk",ROW('Work Items'!$A$6:$A$5000)-ROW('Work Items'!$A$6)+1),133)),"")</f>
        <v/>
      </c>
    </row>
    <row r="138">
      <c r="A138">
        <f t="array" ref="A138">IFERROR(INDEX('Work Items'!$A$6:$A$5000,SMALL(IF('Work Items'!$A$6:$A$5000="Risk",ROW('Work Items'!$A$6:$A$5000)-ROW('Work Items'!$A$6)+1),134)),"")</f>
        <v/>
      </c>
      <c r="B138">
        <f t="array" ref="B138">IFERROR(INDEX('Work Items'!$B$6:$B$5000,SMALL(IF('Work Items'!$A$6:$A$5000="Risk",ROW('Work Items'!$A$6:$A$5000)-ROW('Work Items'!$A$6)+1),134)),"")</f>
        <v/>
      </c>
      <c r="C138">
        <f>IF(E138="","",IFERROR(INDEX('Projects Master'!$A:$A,MATCH(E138,'Projects Master'!$B:$B,0)),"OrgRisk"))</f>
        <v/>
      </c>
      <c r="D138">
        <f t="array" ref="D138">IFERROR(INDEX('Work Items'!$C$6:$C$5000,SMALL(IF('Work Items'!$A$6:$A$5000="Risk",ROW('Work Items'!$A$6:$A$5000)-ROW('Work Items'!$A$6)+1),134)),"")</f>
        <v/>
      </c>
      <c r="E138">
        <f t="array" ref="E138">IFERROR(INDEX('Work Items'!$D$6:$D$5000,SMALL(IF('Work Items'!$A$6:$A$5000="Risk",ROW('Work Items'!$A$6:$A$5000)-ROW('Work Items'!$A$6)+1),134)),"")</f>
        <v/>
      </c>
      <c r="F138">
        <f t="array" ref="F138">IFERROR(INDEX('Work Items'!$E$6:$E$5000,SMALL(IF('Work Items'!$A$6:$A$5000="Risk",ROW('Work Items'!$A$6:$A$5000)-ROW('Work Items'!$A$6)+1),134)),"")</f>
        <v/>
      </c>
      <c r="G138">
        <f t="array" ref="G138">IFERROR(INDEX('Work Items'!$F$6:$F$5000,SMALL(IF('Work Items'!$A$6:$A$5000="Risk",ROW('Work Items'!$A$6:$A$5000)-ROW('Work Items'!$A$6)+1),134)),"")</f>
        <v/>
      </c>
      <c r="H138">
        <f t="array" ref="H138">IFERROR(INDEX('Work Items'!$J$6:$J$5000,SMALL(IF('Work Items'!$A$6:$A$5000="Risk",ROW('Work Items'!$A$6:$A$5000)-ROW('Work Items'!$A$6)+1),134)),"")</f>
        <v/>
      </c>
      <c r="I138">
        <f t="array" ref="I138">IFERROR(INDEX('Work Items'!$K$6:$K$5000,SMALL(IF('Work Items'!$A$6:$A$5000="Risk",ROW('Work Items'!$A$6:$A$5000)-ROW('Work Items'!$A$6)+1),134)),"")</f>
        <v/>
      </c>
      <c r="J138">
        <f t="array" ref="J138">IFERROR(INDEX('Work Items'!$L$6:$L$5000,SMALL(IF('Work Items'!$A$6:$A$5000="Risk",ROW('Work Items'!$A$6:$A$5000)-ROW('Work Items'!$A$6)+1),134)),"")</f>
        <v/>
      </c>
      <c r="K138">
        <f t="array" ref="K138">IFERROR(IF(AND(INDEX('Work Items'!$R$6:$R$5000,SMALL(IF('Work Items'!$A$6:$A$5000="Risk",ROW('Work Items'!$A$6:$A$5000)-ROW('Work Items'!$A$6)+1),134))&lt;&gt;"",INDEX('Work Items'!$S$6:$S$5000,SMALL(IF('Work Items'!$A$6:$A$5000="Risk",ROW('Work Items'!$A$6:$A$5000)-ROW('Work Items'!$A$6)+1),134))&lt;&gt;""),INDEX('Work Items'!$R$6:$R$5000,SMALL(IF('Work Items'!$A$6:$A$5000="Risk",ROW('Work Items'!$A$6:$A$5000)-ROW('Work Items'!$A$6)+1),134))*INDEX('Work Items'!$S$6:$S$5000,SMALL(IF('Work Items'!$A$6:$A$5000="Risk",ROW('Work Items'!$A$6:$A$5000)-ROW('Work Items'!$A$6)+1),134)),INDEX('Work Items'!$U$6:$U$5000,SMALL(IF('Work Items'!$A$6:$A$5000="Risk",ROW('Work Items'!$A$6:$A$5000)-ROW('Work Items'!$A$6)+1),134))),"")</f>
        <v/>
      </c>
      <c r="L138" s="217">
        <f t="array" ref="L138">IFERROR(INDEX('Work Items'!$Q$6:$Q$5000,SMALL(IF('Work Items'!$A$6:$A$5000="Risk",ROW('Work Items'!$A$6:$A$5000)-ROW('Work Items'!$A$6)+1),134)),"")</f>
        <v/>
      </c>
      <c r="M138">
        <f t="array" ref="M138">IFERROR(INDEX('Work Items'!$T$6:$T$5000,SMALL(IF('Work Items'!$A$6:$A$5000="Risk",ROW('Work Items'!$A$6:$A$5000)-ROW('Work Items'!$A$6)+1),134)),"")</f>
        <v/>
      </c>
    </row>
    <row r="139">
      <c r="A139">
        <f t="array" ref="A139">IFERROR(INDEX('Work Items'!$A$6:$A$5000,SMALL(IF('Work Items'!$A$6:$A$5000="Risk",ROW('Work Items'!$A$6:$A$5000)-ROW('Work Items'!$A$6)+1),135)),"")</f>
        <v/>
      </c>
      <c r="B139">
        <f t="array" ref="B139">IFERROR(INDEX('Work Items'!$B$6:$B$5000,SMALL(IF('Work Items'!$A$6:$A$5000="Risk",ROW('Work Items'!$A$6:$A$5000)-ROW('Work Items'!$A$6)+1),135)),"")</f>
        <v/>
      </c>
      <c r="C139">
        <f>IF(E139="","",IFERROR(INDEX('Projects Master'!$A:$A,MATCH(E139,'Projects Master'!$B:$B,0)),"OrgRisk"))</f>
        <v/>
      </c>
      <c r="D139">
        <f t="array" ref="D139">IFERROR(INDEX('Work Items'!$C$6:$C$5000,SMALL(IF('Work Items'!$A$6:$A$5000="Risk",ROW('Work Items'!$A$6:$A$5000)-ROW('Work Items'!$A$6)+1),135)),"")</f>
        <v/>
      </c>
      <c r="E139">
        <f t="array" ref="E139">IFERROR(INDEX('Work Items'!$D$6:$D$5000,SMALL(IF('Work Items'!$A$6:$A$5000="Risk",ROW('Work Items'!$A$6:$A$5000)-ROW('Work Items'!$A$6)+1),135)),"")</f>
        <v/>
      </c>
      <c r="F139">
        <f t="array" ref="F139">IFERROR(INDEX('Work Items'!$E$6:$E$5000,SMALL(IF('Work Items'!$A$6:$A$5000="Risk",ROW('Work Items'!$A$6:$A$5000)-ROW('Work Items'!$A$6)+1),135)),"")</f>
        <v/>
      </c>
      <c r="G139">
        <f t="array" ref="G139">IFERROR(INDEX('Work Items'!$F$6:$F$5000,SMALL(IF('Work Items'!$A$6:$A$5000="Risk",ROW('Work Items'!$A$6:$A$5000)-ROW('Work Items'!$A$6)+1),135)),"")</f>
        <v/>
      </c>
      <c r="H139">
        <f t="array" ref="H139">IFERROR(INDEX('Work Items'!$J$6:$J$5000,SMALL(IF('Work Items'!$A$6:$A$5000="Risk",ROW('Work Items'!$A$6:$A$5000)-ROW('Work Items'!$A$6)+1),135)),"")</f>
        <v/>
      </c>
      <c r="I139">
        <f t="array" ref="I139">IFERROR(INDEX('Work Items'!$K$6:$K$5000,SMALL(IF('Work Items'!$A$6:$A$5000="Risk",ROW('Work Items'!$A$6:$A$5000)-ROW('Work Items'!$A$6)+1),135)),"")</f>
        <v/>
      </c>
      <c r="J139">
        <f t="array" ref="J139">IFERROR(INDEX('Work Items'!$L$6:$L$5000,SMALL(IF('Work Items'!$A$6:$A$5000="Risk",ROW('Work Items'!$A$6:$A$5000)-ROW('Work Items'!$A$6)+1),135)),"")</f>
        <v/>
      </c>
      <c r="K139">
        <f t="array" ref="K139">IFERROR(IF(AND(INDEX('Work Items'!$R$6:$R$5000,SMALL(IF('Work Items'!$A$6:$A$5000="Risk",ROW('Work Items'!$A$6:$A$5000)-ROW('Work Items'!$A$6)+1),135))&lt;&gt;"",INDEX('Work Items'!$S$6:$S$5000,SMALL(IF('Work Items'!$A$6:$A$5000="Risk",ROW('Work Items'!$A$6:$A$5000)-ROW('Work Items'!$A$6)+1),135))&lt;&gt;""),INDEX('Work Items'!$R$6:$R$5000,SMALL(IF('Work Items'!$A$6:$A$5000="Risk",ROW('Work Items'!$A$6:$A$5000)-ROW('Work Items'!$A$6)+1),135))*INDEX('Work Items'!$S$6:$S$5000,SMALL(IF('Work Items'!$A$6:$A$5000="Risk",ROW('Work Items'!$A$6:$A$5000)-ROW('Work Items'!$A$6)+1),135)),INDEX('Work Items'!$U$6:$U$5000,SMALL(IF('Work Items'!$A$6:$A$5000="Risk",ROW('Work Items'!$A$6:$A$5000)-ROW('Work Items'!$A$6)+1),135))),"")</f>
        <v/>
      </c>
      <c r="L139" s="217">
        <f t="array" ref="L139">IFERROR(INDEX('Work Items'!$Q$6:$Q$5000,SMALL(IF('Work Items'!$A$6:$A$5000="Risk",ROW('Work Items'!$A$6:$A$5000)-ROW('Work Items'!$A$6)+1),135)),"")</f>
        <v/>
      </c>
      <c r="M139">
        <f t="array" ref="M139">IFERROR(INDEX('Work Items'!$T$6:$T$5000,SMALL(IF('Work Items'!$A$6:$A$5000="Risk",ROW('Work Items'!$A$6:$A$5000)-ROW('Work Items'!$A$6)+1),135)),"")</f>
        <v/>
      </c>
    </row>
    <row r="140">
      <c r="A140">
        <f t="array" ref="A140">IFERROR(INDEX('Work Items'!$A$6:$A$5000,SMALL(IF('Work Items'!$A$6:$A$5000="Risk",ROW('Work Items'!$A$6:$A$5000)-ROW('Work Items'!$A$6)+1),136)),"")</f>
        <v/>
      </c>
      <c r="B140">
        <f t="array" ref="B140">IFERROR(INDEX('Work Items'!$B$6:$B$5000,SMALL(IF('Work Items'!$A$6:$A$5000="Risk",ROW('Work Items'!$A$6:$A$5000)-ROW('Work Items'!$A$6)+1),136)),"")</f>
        <v/>
      </c>
      <c r="C140">
        <f>IF(E140="","",IFERROR(INDEX('Projects Master'!$A:$A,MATCH(E140,'Projects Master'!$B:$B,0)),"OrgRisk"))</f>
        <v/>
      </c>
      <c r="D140">
        <f t="array" ref="D140">IFERROR(INDEX('Work Items'!$C$6:$C$5000,SMALL(IF('Work Items'!$A$6:$A$5000="Risk",ROW('Work Items'!$A$6:$A$5000)-ROW('Work Items'!$A$6)+1),136)),"")</f>
        <v/>
      </c>
      <c r="E140">
        <f t="array" ref="E140">IFERROR(INDEX('Work Items'!$D$6:$D$5000,SMALL(IF('Work Items'!$A$6:$A$5000="Risk",ROW('Work Items'!$A$6:$A$5000)-ROW('Work Items'!$A$6)+1),136)),"")</f>
        <v/>
      </c>
      <c r="F140">
        <f t="array" ref="F140">IFERROR(INDEX('Work Items'!$E$6:$E$5000,SMALL(IF('Work Items'!$A$6:$A$5000="Risk",ROW('Work Items'!$A$6:$A$5000)-ROW('Work Items'!$A$6)+1),136)),"")</f>
        <v/>
      </c>
      <c r="G140">
        <f t="array" ref="G140">IFERROR(INDEX('Work Items'!$F$6:$F$5000,SMALL(IF('Work Items'!$A$6:$A$5000="Risk",ROW('Work Items'!$A$6:$A$5000)-ROW('Work Items'!$A$6)+1),136)),"")</f>
        <v/>
      </c>
      <c r="H140">
        <f t="array" ref="H140">IFERROR(INDEX('Work Items'!$J$6:$J$5000,SMALL(IF('Work Items'!$A$6:$A$5000="Risk",ROW('Work Items'!$A$6:$A$5000)-ROW('Work Items'!$A$6)+1),136)),"")</f>
        <v/>
      </c>
      <c r="I140">
        <f t="array" ref="I140">IFERROR(INDEX('Work Items'!$K$6:$K$5000,SMALL(IF('Work Items'!$A$6:$A$5000="Risk",ROW('Work Items'!$A$6:$A$5000)-ROW('Work Items'!$A$6)+1),136)),"")</f>
        <v/>
      </c>
      <c r="J140">
        <f t="array" ref="J140">IFERROR(INDEX('Work Items'!$L$6:$L$5000,SMALL(IF('Work Items'!$A$6:$A$5000="Risk",ROW('Work Items'!$A$6:$A$5000)-ROW('Work Items'!$A$6)+1),136)),"")</f>
        <v/>
      </c>
      <c r="K140">
        <f t="array" ref="K140">IFERROR(IF(AND(INDEX('Work Items'!$R$6:$R$5000,SMALL(IF('Work Items'!$A$6:$A$5000="Risk",ROW('Work Items'!$A$6:$A$5000)-ROW('Work Items'!$A$6)+1),136))&lt;&gt;"",INDEX('Work Items'!$S$6:$S$5000,SMALL(IF('Work Items'!$A$6:$A$5000="Risk",ROW('Work Items'!$A$6:$A$5000)-ROW('Work Items'!$A$6)+1),136))&lt;&gt;""),INDEX('Work Items'!$R$6:$R$5000,SMALL(IF('Work Items'!$A$6:$A$5000="Risk",ROW('Work Items'!$A$6:$A$5000)-ROW('Work Items'!$A$6)+1),136))*INDEX('Work Items'!$S$6:$S$5000,SMALL(IF('Work Items'!$A$6:$A$5000="Risk",ROW('Work Items'!$A$6:$A$5000)-ROW('Work Items'!$A$6)+1),136)),INDEX('Work Items'!$U$6:$U$5000,SMALL(IF('Work Items'!$A$6:$A$5000="Risk",ROW('Work Items'!$A$6:$A$5000)-ROW('Work Items'!$A$6)+1),136))),"")</f>
        <v/>
      </c>
      <c r="L140" s="217">
        <f t="array" ref="L140">IFERROR(INDEX('Work Items'!$Q$6:$Q$5000,SMALL(IF('Work Items'!$A$6:$A$5000="Risk",ROW('Work Items'!$A$6:$A$5000)-ROW('Work Items'!$A$6)+1),136)),"")</f>
        <v/>
      </c>
      <c r="M140">
        <f t="array" ref="M140">IFERROR(INDEX('Work Items'!$T$6:$T$5000,SMALL(IF('Work Items'!$A$6:$A$5000="Risk",ROW('Work Items'!$A$6:$A$5000)-ROW('Work Items'!$A$6)+1),136)),"")</f>
        <v/>
      </c>
    </row>
    <row r="141">
      <c r="A141">
        <f t="array" ref="A141">IFERROR(INDEX('Work Items'!$A$6:$A$5000,SMALL(IF('Work Items'!$A$6:$A$5000="Risk",ROW('Work Items'!$A$6:$A$5000)-ROW('Work Items'!$A$6)+1),137)),"")</f>
        <v/>
      </c>
      <c r="B141">
        <f t="array" ref="B141">IFERROR(INDEX('Work Items'!$B$6:$B$5000,SMALL(IF('Work Items'!$A$6:$A$5000="Risk",ROW('Work Items'!$A$6:$A$5000)-ROW('Work Items'!$A$6)+1),137)),"")</f>
        <v/>
      </c>
      <c r="C141">
        <f>IF(E141="","",IFERROR(INDEX('Projects Master'!$A:$A,MATCH(E141,'Projects Master'!$B:$B,0)),"OrgRisk"))</f>
        <v/>
      </c>
      <c r="D141">
        <f t="array" ref="D141">IFERROR(INDEX('Work Items'!$C$6:$C$5000,SMALL(IF('Work Items'!$A$6:$A$5000="Risk",ROW('Work Items'!$A$6:$A$5000)-ROW('Work Items'!$A$6)+1),137)),"")</f>
        <v/>
      </c>
      <c r="E141">
        <f t="array" ref="E141">IFERROR(INDEX('Work Items'!$D$6:$D$5000,SMALL(IF('Work Items'!$A$6:$A$5000="Risk",ROW('Work Items'!$A$6:$A$5000)-ROW('Work Items'!$A$6)+1),137)),"")</f>
        <v/>
      </c>
      <c r="F141">
        <f t="array" ref="F141">IFERROR(INDEX('Work Items'!$E$6:$E$5000,SMALL(IF('Work Items'!$A$6:$A$5000="Risk",ROW('Work Items'!$A$6:$A$5000)-ROW('Work Items'!$A$6)+1),137)),"")</f>
        <v/>
      </c>
      <c r="G141">
        <f t="array" ref="G141">IFERROR(INDEX('Work Items'!$F$6:$F$5000,SMALL(IF('Work Items'!$A$6:$A$5000="Risk",ROW('Work Items'!$A$6:$A$5000)-ROW('Work Items'!$A$6)+1),137)),"")</f>
        <v/>
      </c>
      <c r="H141">
        <f t="array" ref="H141">IFERROR(INDEX('Work Items'!$J$6:$J$5000,SMALL(IF('Work Items'!$A$6:$A$5000="Risk",ROW('Work Items'!$A$6:$A$5000)-ROW('Work Items'!$A$6)+1),137)),"")</f>
        <v/>
      </c>
      <c r="I141">
        <f t="array" ref="I141">IFERROR(INDEX('Work Items'!$K$6:$K$5000,SMALL(IF('Work Items'!$A$6:$A$5000="Risk",ROW('Work Items'!$A$6:$A$5000)-ROW('Work Items'!$A$6)+1),137)),"")</f>
        <v/>
      </c>
      <c r="J141">
        <f t="array" ref="J141">IFERROR(INDEX('Work Items'!$L$6:$L$5000,SMALL(IF('Work Items'!$A$6:$A$5000="Risk",ROW('Work Items'!$A$6:$A$5000)-ROW('Work Items'!$A$6)+1),137)),"")</f>
        <v/>
      </c>
      <c r="K141">
        <f t="array" ref="K141">IFERROR(IF(AND(INDEX('Work Items'!$R$6:$R$5000,SMALL(IF('Work Items'!$A$6:$A$5000="Risk",ROW('Work Items'!$A$6:$A$5000)-ROW('Work Items'!$A$6)+1),137))&lt;&gt;"",INDEX('Work Items'!$S$6:$S$5000,SMALL(IF('Work Items'!$A$6:$A$5000="Risk",ROW('Work Items'!$A$6:$A$5000)-ROW('Work Items'!$A$6)+1),137))&lt;&gt;""),INDEX('Work Items'!$R$6:$R$5000,SMALL(IF('Work Items'!$A$6:$A$5000="Risk",ROW('Work Items'!$A$6:$A$5000)-ROW('Work Items'!$A$6)+1),137))*INDEX('Work Items'!$S$6:$S$5000,SMALL(IF('Work Items'!$A$6:$A$5000="Risk",ROW('Work Items'!$A$6:$A$5000)-ROW('Work Items'!$A$6)+1),137)),INDEX('Work Items'!$U$6:$U$5000,SMALL(IF('Work Items'!$A$6:$A$5000="Risk",ROW('Work Items'!$A$6:$A$5000)-ROW('Work Items'!$A$6)+1),137))),"")</f>
        <v/>
      </c>
      <c r="L141" s="217">
        <f t="array" ref="L141">IFERROR(INDEX('Work Items'!$Q$6:$Q$5000,SMALL(IF('Work Items'!$A$6:$A$5000="Risk",ROW('Work Items'!$A$6:$A$5000)-ROW('Work Items'!$A$6)+1),137)),"")</f>
        <v/>
      </c>
      <c r="M141">
        <f t="array" ref="M141">IFERROR(INDEX('Work Items'!$T$6:$T$5000,SMALL(IF('Work Items'!$A$6:$A$5000="Risk",ROW('Work Items'!$A$6:$A$5000)-ROW('Work Items'!$A$6)+1),137)),"")</f>
        <v/>
      </c>
    </row>
    <row r="142">
      <c r="A142">
        <f t="array" ref="A142">IFERROR(INDEX('Work Items'!$A$6:$A$5000,SMALL(IF('Work Items'!$A$6:$A$5000="Risk",ROW('Work Items'!$A$6:$A$5000)-ROW('Work Items'!$A$6)+1),138)),"")</f>
        <v/>
      </c>
      <c r="B142">
        <f t="array" ref="B142">IFERROR(INDEX('Work Items'!$B$6:$B$5000,SMALL(IF('Work Items'!$A$6:$A$5000="Risk",ROW('Work Items'!$A$6:$A$5000)-ROW('Work Items'!$A$6)+1),138)),"")</f>
        <v/>
      </c>
      <c r="C142">
        <f>IF(E142="","",IFERROR(INDEX('Projects Master'!$A:$A,MATCH(E142,'Projects Master'!$B:$B,0)),"OrgRisk"))</f>
        <v/>
      </c>
      <c r="D142">
        <f t="array" ref="D142">IFERROR(INDEX('Work Items'!$C$6:$C$5000,SMALL(IF('Work Items'!$A$6:$A$5000="Risk",ROW('Work Items'!$A$6:$A$5000)-ROW('Work Items'!$A$6)+1),138)),"")</f>
        <v/>
      </c>
      <c r="E142">
        <f t="array" ref="E142">IFERROR(INDEX('Work Items'!$D$6:$D$5000,SMALL(IF('Work Items'!$A$6:$A$5000="Risk",ROW('Work Items'!$A$6:$A$5000)-ROW('Work Items'!$A$6)+1),138)),"")</f>
        <v/>
      </c>
      <c r="F142">
        <f t="array" ref="F142">IFERROR(INDEX('Work Items'!$E$6:$E$5000,SMALL(IF('Work Items'!$A$6:$A$5000="Risk",ROW('Work Items'!$A$6:$A$5000)-ROW('Work Items'!$A$6)+1),138)),"")</f>
        <v/>
      </c>
      <c r="G142">
        <f t="array" ref="G142">IFERROR(INDEX('Work Items'!$F$6:$F$5000,SMALL(IF('Work Items'!$A$6:$A$5000="Risk",ROW('Work Items'!$A$6:$A$5000)-ROW('Work Items'!$A$6)+1),138)),"")</f>
        <v/>
      </c>
      <c r="H142">
        <f t="array" ref="H142">IFERROR(INDEX('Work Items'!$J$6:$J$5000,SMALL(IF('Work Items'!$A$6:$A$5000="Risk",ROW('Work Items'!$A$6:$A$5000)-ROW('Work Items'!$A$6)+1),138)),"")</f>
        <v/>
      </c>
      <c r="I142">
        <f t="array" ref="I142">IFERROR(INDEX('Work Items'!$K$6:$K$5000,SMALL(IF('Work Items'!$A$6:$A$5000="Risk",ROW('Work Items'!$A$6:$A$5000)-ROW('Work Items'!$A$6)+1),138)),"")</f>
        <v/>
      </c>
      <c r="J142">
        <f t="array" ref="J142">IFERROR(INDEX('Work Items'!$L$6:$L$5000,SMALL(IF('Work Items'!$A$6:$A$5000="Risk",ROW('Work Items'!$A$6:$A$5000)-ROW('Work Items'!$A$6)+1),138)),"")</f>
        <v/>
      </c>
      <c r="K142">
        <f t="array" ref="K142">IFERROR(IF(AND(INDEX('Work Items'!$R$6:$R$5000,SMALL(IF('Work Items'!$A$6:$A$5000="Risk",ROW('Work Items'!$A$6:$A$5000)-ROW('Work Items'!$A$6)+1),138))&lt;&gt;"",INDEX('Work Items'!$S$6:$S$5000,SMALL(IF('Work Items'!$A$6:$A$5000="Risk",ROW('Work Items'!$A$6:$A$5000)-ROW('Work Items'!$A$6)+1),138))&lt;&gt;""),INDEX('Work Items'!$R$6:$R$5000,SMALL(IF('Work Items'!$A$6:$A$5000="Risk",ROW('Work Items'!$A$6:$A$5000)-ROW('Work Items'!$A$6)+1),138))*INDEX('Work Items'!$S$6:$S$5000,SMALL(IF('Work Items'!$A$6:$A$5000="Risk",ROW('Work Items'!$A$6:$A$5000)-ROW('Work Items'!$A$6)+1),138)),INDEX('Work Items'!$U$6:$U$5000,SMALL(IF('Work Items'!$A$6:$A$5000="Risk",ROW('Work Items'!$A$6:$A$5000)-ROW('Work Items'!$A$6)+1),138))),"")</f>
        <v/>
      </c>
      <c r="L142" s="217">
        <f t="array" ref="L142">IFERROR(INDEX('Work Items'!$Q$6:$Q$5000,SMALL(IF('Work Items'!$A$6:$A$5000="Risk",ROW('Work Items'!$A$6:$A$5000)-ROW('Work Items'!$A$6)+1),138)),"")</f>
        <v/>
      </c>
      <c r="M142">
        <f t="array" ref="M142">IFERROR(INDEX('Work Items'!$T$6:$T$5000,SMALL(IF('Work Items'!$A$6:$A$5000="Risk",ROW('Work Items'!$A$6:$A$5000)-ROW('Work Items'!$A$6)+1),138)),"")</f>
        <v/>
      </c>
    </row>
    <row r="143">
      <c r="A143">
        <f t="array" ref="A143">IFERROR(INDEX('Work Items'!$A$6:$A$5000,SMALL(IF('Work Items'!$A$6:$A$5000="Risk",ROW('Work Items'!$A$6:$A$5000)-ROW('Work Items'!$A$6)+1),139)),"")</f>
        <v/>
      </c>
      <c r="B143">
        <f t="array" ref="B143">IFERROR(INDEX('Work Items'!$B$6:$B$5000,SMALL(IF('Work Items'!$A$6:$A$5000="Risk",ROW('Work Items'!$A$6:$A$5000)-ROW('Work Items'!$A$6)+1),139)),"")</f>
        <v/>
      </c>
      <c r="C143">
        <f>IF(E143="","",IFERROR(INDEX('Projects Master'!$A:$A,MATCH(E143,'Projects Master'!$B:$B,0)),"OrgRisk"))</f>
        <v/>
      </c>
      <c r="D143">
        <f t="array" ref="D143">IFERROR(INDEX('Work Items'!$C$6:$C$5000,SMALL(IF('Work Items'!$A$6:$A$5000="Risk",ROW('Work Items'!$A$6:$A$5000)-ROW('Work Items'!$A$6)+1),139)),"")</f>
        <v/>
      </c>
      <c r="E143">
        <f t="array" ref="E143">IFERROR(INDEX('Work Items'!$D$6:$D$5000,SMALL(IF('Work Items'!$A$6:$A$5000="Risk",ROW('Work Items'!$A$6:$A$5000)-ROW('Work Items'!$A$6)+1),139)),"")</f>
        <v/>
      </c>
      <c r="F143">
        <f t="array" ref="F143">IFERROR(INDEX('Work Items'!$E$6:$E$5000,SMALL(IF('Work Items'!$A$6:$A$5000="Risk",ROW('Work Items'!$A$6:$A$5000)-ROW('Work Items'!$A$6)+1),139)),"")</f>
        <v/>
      </c>
      <c r="G143">
        <f t="array" ref="G143">IFERROR(INDEX('Work Items'!$F$6:$F$5000,SMALL(IF('Work Items'!$A$6:$A$5000="Risk",ROW('Work Items'!$A$6:$A$5000)-ROW('Work Items'!$A$6)+1),139)),"")</f>
        <v/>
      </c>
      <c r="H143">
        <f t="array" ref="H143">IFERROR(INDEX('Work Items'!$J$6:$J$5000,SMALL(IF('Work Items'!$A$6:$A$5000="Risk",ROW('Work Items'!$A$6:$A$5000)-ROW('Work Items'!$A$6)+1),139)),"")</f>
        <v/>
      </c>
      <c r="I143">
        <f t="array" ref="I143">IFERROR(INDEX('Work Items'!$K$6:$K$5000,SMALL(IF('Work Items'!$A$6:$A$5000="Risk",ROW('Work Items'!$A$6:$A$5000)-ROW('Work Items'!$A$6)+1),139)),"")</f>
        <v/>
      </c>
      <c r="J143">
        <f t="array" ref="J143">IFERROR(INDEX('Work Items'!$L$6:$L$5000,SMALL(IF('Work Items'!$A$6:$A$5000="Risk",ROW('Work Items'!$A$6:$A$5000)-ROW('Work Items'!$A$6)+1),139)),"")</f>
        <v/>
      </c>
      <c r="K143">
        <f t="array" ref="K143">IFERROR(IF(AND(INDEX('Work Items'!$R$6:$R$5000,SMALL(IF('Work Items'!$A$6:$A$5000="Risk",ROW('Work Items'!$A$6:$A$5000)-ROW('Work Items'!$A$6)+1),139))&lt;&gt;"",INDEX('Work Items'!$S$6:$S$5000,SMALL(IF('Work Items'!$A$6:$A$5000="Risk",ROW('Work Items'!$A$6:$A$5000)-ROW('Work Items'!$A$6)+1),139))&lt;&gt;""),INDEX('Work Items'!$R$6:$R$5000,SMALL(IF('Work Items'!$A$6:$A$5000="Risk",ROW('Work Items'!$A$6:$A$5000)-ROW('Work Items'!$A$6)+1),139))*INDEX('Work Items'!$S$6:$S$5000,SMALL(IF('Work Items'!$A$6:$A$5000="Risk",ROW('Work Items'!$A$6:$A$5000)-ROW('Work Items'!$A$6)+1),139)),INDEX('Work Items'!$U$6:$U$5000,SMALL(IF('Work Items'!$A$6:$A$5000="Risk",ROW('Work Items'!$A$6:$A$5000)-ROW('Work Items'!$A$6)+1),139))),"")</f>
        <v/>
      </c>
      <c r="L143" s="217">
        <f t="array" ref="L143">IFERROR(INDEX('Work Items'!$Q$6:$Q$5000,SMALL(IF('Work Items'!$A$6:$A$5000="Risk",ROW('Work Items'!$A$6:$A$5000)-ROW('Work Items'!$A$6)+1),139)),"")</f>
        <v/>
      </c>
      <c r="M143">
        <f t="array" ref="M143">IFERROR(INDEX('Work Items'!$T$6:$T$5000,SMALL(IF('Work Items'!$A$6:$A$5000="Risk",ROW('Work Items'!$A$6:$A$5000)-ROW('Work Items'!$A$6)+1),139)),"")</f>
        <v/>
      </c>
    </row>
    <row r="144">
      <c r="A144">
        <f t="array" ref="A144">IFERROR(INDEX('Work Items'!$A$6:$A$5000,SMALL(IF('Work Items'!$A$6:$A$5000="Risk",ROW('Work Items'!$A$6:$A$5000)-ROW('Work Items'!$A$6)+1),140)),"")</f>
        <v/>
      </c>
      <c r="B144">
        <f t="array" ref="B144">IFERROR(INDEX('Work Items'!$B$6:$B$5000,SMALL(IF('Work Items'!$A$6:$A$5000="Risk",ROW('Work Items'!$A$6:$A$5000)-ROW('Work Items'!$A$6)+1),140)),"")</f>
        <v/>
      </c>
      <c r="C144">
        <f>IF(E144="","",IFERROR(INDEX('Projects Master'!$A:$A,MATCH(E144,'Projects Master'!$B:$B,0)),"OrgRisk"))</f>
        <v/>
      </c>
      <c r="D144">
        <f t="array" ref="D144">IFERROR(INDEX('Work Items'!$C$6:$C$5000,SMALL(IF('Work Items'!$A$6:$A$5000="Risk",ROW('Work Items'!$A$6:$A$5000)-ROW('Work Items'!$A$6)+1),140)),"")</f>
        <v/>
      </c>
      <c r="E144">
        <f t="array" ref="E144">IFERROR(INDEX('Work Items'!$D$6:$D$5000,SMALL(IF('Work Items'!$A$6:$A$5000="Risk",ROW('Work Items'!$A$6:$A$5000)-ROW('Work Items'!$A$6)+1),140)),"")</f>
        <v/>
      </c>
      <c r="F144">
        <f t="array" ref="F144">IFERROR(INDEX('Work Items'!$E$6:$E$5000,SMALL(IF('Work Items'!$A$6:$A$5000="Risk",ROW('Work Items'!$A$6:$A$5000)-ROW('Work Items'!$A$6)+1),140)),"")</f>
        <v/>
      </c>
      <c r="G144">
        <f t="array" ref="G144">IFERROR(INDEX('Work Items'!$F$6:$F$5000,SMALL(IF('Work Items'!$A$6:$A$5000="Risk",ROW('Work Items'!$A$6:$A$5000)-ROW('Work Items'!$A$6)+1),140)),"")</f>
        <v/>
      </c>
      <c r="H144">
        <f t="array" ref="H144">IFERROR(INDEX('Work Items'!$J$6:$J$5000,SMALL(IF('Work Items'!$A$6:$A$5000="Risk",ROW('Work Items'!$A$6:$A$5000)-ROW('Work Items'!$A$6)+1),140)),"")</f>
        <v/>
      </c>
      <c r="I144">
        <f t="array" ref="I144">IFERROR(INDEX('Work Items'!$K$6:$K$5000,SMALL(IF('Work Items'!$A$6:$A$5000="Risk",ROW('Work Items'!$A$6:$A$5000)-ROW('Work Items'!$A$6)+1),140)),"")</f>
        <v/>
      </c>
      <c r="J144">
        <f t="array" ref="J144">IFERROR(INDEX('Work Items'!$L$6:$L$5000,SMALL(IF('Work Items'!$A$6:$A$5000="Risk",ROW('Work Items'!$A$6:$A$5000)-ROW('Work Items'!$A$6)+1),140)),"")</f>
        <v/>
      </c>
      <c r="K144">
        <f t="array" ref="K144">IFERROR(IF(AND(INDEX('Work Items'!$R$6:$R$5000,SMALL(IF('Work Items'!$A$6:$A$5000="Risk",ROW('Work Items'!$A$6:$A$5000)-ROW('Work Items'!$A$6)+1),140))&lt;&gt;"",INDEX('Work Items'!$S$6:$S$5000,SMALL(IF('Work Items'!$A$6:$A$5000="Risk",ROW('Work Items'!$A$6:$A$5000)-ROW('Work Items'!$A$6)+1),140))&lt;&gt;""),INDEX('Work Items'!$R$6:$R$5000,SMALL(IF('Work Items'!$A$6:$A$5000="Risk",ROW('Work Items'!$A$6:$A$5000)-ROW('Work Items'!$A$6)+1),140))*INDEX('Work Items'!$S$6:$S$5000,SMALL(IF('Work Items'!$A$6:$A$5000="Risk",ROW('Work Items'!$A$6:$A$5000)-ROW('Work Items'!$A$6)+1),140)),INDEX('Work Items'!$U$6:$U$5000,SMALL(IF('Work Items'!$A$6:$A$5000="Risk",ROW('Work Items'!$A$6:$A$5000)-ROW('Work Items'!$A$6)+1),140))),"")</f>
        <v/>
      </c>
      <c r="L144" s="217">
        <f t="array" ref="L144">IFERROR(INDEX('Work Items'!$Q$6:$Q$5000,SMALL(IF('Work Items'!$A$6:$A$5000="Risk",ROW('Work Items'!$A$6:$A$5000)-ROW('Work Items'!$A$6)+1),140)),"")</f>
        <v/>
      </c>
      <c r="M144">
        <f t="array" ref="M144">IFERROR(INDEX('Work Items'!$T$6:$T$5000,SMALL(IF('Work Items'!$A$6:$A$5000="Risk",ROW('Work Items'!$A$6:$A$5000)-ROW('Work Items'!$A$6)+1),140)),"")</f>
        <v/>
      </c>
    </row>
    <row r="145">
      <c r="A145">
        <f t="array" ref="A145">IFERROR(INDEX('Work Items'!$A$6:$A$5000,SMALL(IF('Work Items'!$A$6:$A$5000="Risk",ROW('Work Items'!$A$6:$A$5000)-ROW('Work Items'!$A$6)+1),141)),"")</f>
        <v/>
      </c>
      <c r="B145">
        <f t="array" ref="B145">IFERROR(INDEX('Work Items'!$B$6:$B$5000,SMALL(IF('Work Items'!$A$6:$A$5000="Risk",ROW('Work Items'!$A$6:$A$5000)-ROW('Work Items'!$A$6)+1),141)),"")</f>
        <v/>
      </c>
      <c r="C145">
        <f>IF(E145="","",IFERROR(INDEX('Projects Master'!$A:$A,MATCH(E145,'Projects Master'!$B:$B,0)),"OrgRisk"))</f>
        <v/>
      </c>
      <c r="D145">
        <f t="array" ref="D145">IFERROR(INDEX('Work Items'!$C$6:$C$5000,SMALL(IF('Work Items'!$A$6:$A$5000="Risk",ROW('Work Items'!$A$6:$A$5000)-ROW('Work Items'!$A$6)+1),141)),"")</f>
        <v/>
      </c>
      <c r="E145">
        <f t="array" ref="E145">IFERROR(INDEX('Work Items'!$D$6:$D$5000,SMALL(IF('Work Items'!$A$6:$A$5000="Risk",ROW('Work Items'!$A$6:$A$5000)-ROW('Work Items'!$A$6)+1),141)),"")</f>
        <v/>
      </c>
      <c r="F145">
        <f t="array" ref="F145">IFERROR(INDEX('Work Items'!$E$6:$E$5000,SMALL(IF('Work Items'!$A$6:$A$5000="Risk",ROW('Work Items'!$A$6:$A$5000)-ROW('Work Items'!$A$6)+1),141)),"")</f>
        <v/>
      </c>
      <c r="G145">
        <f t="array" ref="G145">IFERROR(INDEX('Work Items'!$F$6:$F$5000,SMALL(IF('Work Items'!$A$6:$A$5000="Risk",ROW('Work Items'!$A$6:$A$5000)-ROW('Work Items'!$A$6)+1),141)),"")</f>
        <v/>
      </c>
      <c r="H145">
        <f t="array" ref="H145">IFERROR(INDEX('Work Items'!$J$6:$J$5000,SMALL(IF('Work Items'!$A$6:$A$5000="Risk",ROW('Work Items'!$A$6:$A$5000)-ROW('Work Items'!$A$6)+1),141)),"")</f>
        <v/>
      </c>
      <c r="I145">
        <f t="array" ref="I145">IFERROR(INDEX('Work Items'!$K$6:$K$5000,SMALL(IF('Work Items'!$A$6:$A$5000="Risk",ROW('Work Items'!$A$6:$A$5000)-ROW('Work Items'!$A$6)+1),141)),"")</f>
        <v/>
      </c>
      <c r="J145">
        <f t="array" ref="J145">IFERROR(INDEX('Work Items'!$L$6:$L$5000,SMALL(IF('Work Items'!$A$6:$A$5000="Risk",ROW('Work Items'!$A$6:$A$5000)-ROW('Work Items'!$A$6)+1),141)),"")</f>
        <v/>
      </c>
      <c r="K145">
        <f t="array" ref="K145">IFERROR(IF(AND(INDEX('Work Items'!$R$6:$R$5000,SMALL(IF('Work Items'!$A$6:$A$5000="Risk",ROW('Work Items'!$A$6:$A$5000)-ROW('Work Items'!$A$6)+1),141))&lt;&gt;"",INDEX('Work Items'!$S$6:$S$5000,SMALL(IF('Work Items'!$A$6:$A$5000="Risk",ROW('Work Items'!$A$6:$A$5000)-ROW('Work Items'!$A$6)+1),141))&lt;&gt;""),INDEX('Work Items'!$R$6:$R$5000,SMALL(IF('Work Items'!$A$6:$A$5000="Risk",ROW('Work Items'!$A$6:$A$5000)-ROW('Work Items'!$A$6)+1),141))*INDEX('Work Items'!$S$6:$S$5000,SMALL(IF('Work Items'!$A$6:$A$5000="Risk",ROW('Work Items'!$A$6:$A$5000)-ROW('Work Items'!$A$6)+1),141)),INDEX('Work Items'!$U$6:$U$5000,SMALL(IF('Work Items'!$A$6:$A$5000="Risk",ROW('Work Items'!$A$6:$A$5000)-ROW('Work Items'!$A$6)+1),141))),"")</f>
        <v/>
      </c>
      <c r="L145" s="217">
        <f t="array" ref="L145">IFERROR(INDEX('Work Items'!$Q$6:$Q$5000,SMALL(IF('Work Items'!$A$6:$A$5000="Risk",ROW('Work Items'!$A$6:$A$5000)-ROW('Work Items'!$A$6)+1),141)),"")</f>
        <v/>
      </c>
      <c r="M145">
        <f t="array" ref="M145">IFERROR(INDEX('Work Items'!$T$6:$T$5000,SMALL(IF('Work Items'!$A$6:$A$5000="Risk",ROW('Work Items'!$A$6:$A$5000)-ROW('Work Items'!$A$6)+1),141)),"")</f>
        <v/>
      </c>
    </row>
    <row r="146">
      <c r="A146">
        <f t="array" ref="A146">IFERROR(INDEX('Work Items'!$A$6:$A$5000,SMALL(IF('Work Items'!$A$6:$A$5000="Risk",ROW('Work Items'!$A$6:$A$5000)-ROW('Work Items'!$A$6)+1),142)),"")</f>
        <v/>
      </c>
      <c r="B146">
        <f t="array" ref="B146">IFERROR(INDEX('Work Items'!$B$6:$B$5000,SMALL(IF('Work Items'!$A$6:$A$5000="Risk",ROW('Work Items'!$A$6:$A$5000)-ROW('Work Items'!$A$6)+1),142)),"")</f>
        <v/>
      </c>
      <c r="C146">
        <f>IF(E146="","",IFERROR(INDEX('Projects Master'!$A:$A,MATCH(E146,'Projects Master'!$B:$B,0)),"OrgRisk"))</f>
        <v/>
      </c>
      <c r="D146">
        <f t="array" ref="D146">IFERROR(INDEX('Work Items'!$C$6:$C$5000,SMALL(IF('Work Items'!$A$6:$A$5000="Risk",ROW('Work Items'!$A$6:$A$5000)-ROW('Work Items'!$A$6)+1),142)),"")</f>
        <v/>
      </c>
      <c r="E146">
        <f t="array" ref="E146">IFERROR(INDEX('Work Items'!$D$6:$D$5000,SMALL(IF('Work Items'!$A$6:$A$5000="Risk",ROW('Work Items'!$A$6:$A$5000)-ROW('Work Items'!$A$6)+1),142)),"")</f>
        <v/>
      </c>
      <c r="F146">
        <f t="array" ref="F146">IFERROR(INDEX('Work Items'!$E$6:$E$5000,SMALL(IF('Work Items'!$A$6:$A$5000="Risk",ROW('Work Items'!$A$6:$A$5000)-ROW('Work Items'!$A$6)+1),142)),"")</f>
        <v/>
      </c>
      <c r="G146">
        <f t="array" ref="G146">IFERROR(INDEX('Work Items'!$F$6:$F$5000,SMALL(IF('Work Items'!$A$6:$A$5000="Risk",ROW('Work Items'!$A$6:$A$5000)-ROW('Work Items'!$A$6)+1),142)),"")</f>
        <v/>
      </c>
      <c r="H146">
        <f t="array" ref="H146">IFERROR(INDEX('Work Items'!$J$6:$J$5000,SMALL(IF('Work Items'!$A$6:$A$5000="Risk",ROW('Work Items'!$A$6:$A$5000)-ROW('Work Items'!$A$6)+1),142)),"")</f>
        <v/>
      </c>
      <c r="I146">
        <f t="array" ref="I146">IFERROR(INDEX('Work Items'!$K$6:$K$5000,SMALL(IF('Work Items'!$A$6:$A$5000="Risk",ROW('Work Items'!$A$6:$A$5000)-ROW('Work Items'!$A$6)+1),142)),"")</f>
        <v/>
      </c>
      <c r="J146">
        <f t="array" ref="J146">IFERROR(INDEX('Work Items'!$L$6:$L$5000,SMALL(IF('Work Items'!$A$6:$A$5000="Risk",ROW('Work Items'!$A$6:$A$5000)-ROW('Work Items'!$A$6)+1),142)),"")</f>
        <v/>
      </c>
      <c r="K146">
        <f t="array" ref="K146">IFERROR(IF(AND(INDEX('Work Items'!$R$6:$R$5000,SMALL(IF('Work Items'!$A$6:$A$5000="Risk",ROW('Work Items'!$A$6:$A$5000)-ROW('Work Items'!$A$6)+1),142))&lt;&gt;"",INDEX('Work Items'!$S$6:$S$5000,SMALL(IF('Work Items'!$A$6:$A$5000="Risk",ROW('Work Items'!$A$6:$A$5000)-ROW('Work Items'!$A$6)+1),142))&lt;&gt;""),INDEX('Work Items'!$R$6:$R$5000,SMALL(IF('Work Items'!$A$6:$A$5000="Risk",ROW('Work Items'!$A$6:$A$5000)-ROW('Work Items'!$A$6)+1),142))*INDEX('Work Items'!$S$6:$S$5000,SMALL(IF('Work Items'!$A$6:$A$5000="Risk",ROW('Work Items'!$A$6:$A$5000)-ROW('Work Items'!$A$6)+1),142)),INDEX('Work Items'!$U$6:$U$5000,SMALL(IF('Work Items'!$A$6:$A$5000="Risk",ROW('Work Items'!$A$6:$A$5000)-ROW('Work Items'!$A$6)+1),142))),"")</f>
        <v/>
      </c>
      <c r="L146" s="217">
        <f t="array" ref="L146">IFERROR(INDEX('Work Items'!$Q$6:$Q$5000,SMALL(IF('Work Items'!$A$6:$A$5000="Risk",ROW('Work Items'!$A$6:$A$5000)-ROW('Work Items'!$A$6)+1),142)),"")</f>
        <v/>
      </c>
      <c r="M146">
        <f t="array" ref="M146">IFERROR(INDEX('Work Items'!$T$6:$T$5000,SMALL(IF('Work Items'!$A$6:$A$5000="Risk",ROW('Work Items'!$A$6:$A$5000)-ROW('Work Items'!$A$6)+1),142)),"")</f>
        <v/>
      </c>
    </row>
    <row r="147">
      <c r="A147">
        <f t="array" ref="A147">IFERROR(INDEX('Work Items'!$A$6:$A$5000,SMALL(IF('Work Items'!$A$6:$A$5000="Risk",ROW('Work Items'!$A$6:$A$5000)-ROW('Work Items'!$A$6)+1),143)),"")</f>
        <v/>
      </c>
      <c r="B147">
        <f t="array" ref="B147">IFERROR(INDEX('Work Items'!$B$6:$B$5000,SMALL(IF('Work Items'!$A$6:$A$5000="Risk",ROW('Work Items'!$A$6:$A$5000)-ROW('Work Items'!$A$6)+1),143)),"")</f>
        <v/>
      </c>
      <c r="C147">
        <f>IF(E147="","",IFERROR(INDEX('Projects Master'!$A:$A,MATCH(E147,'Projects Master'!$B:$B,0)),"OrgRisk"))</f>
        <v/>
      </c>
      <c r="D147">
        <f t="array" ref="D147">IFERROR(INDEX('Work Items'!$C$6:$C$5000,SMALL(IF('Work Items'!$A$6:$A$5000="Risk",ROW('Work Items'!$A$6:$A$5000)-ROW('Work Items'!$A$6)+1),143)),"")</f>
        <v/>
      </c>
      <c r="E147">
        <f t="array" ref="E147">IFERROR(INDEX('Work Items'!$D$6:$D$5000,SMALL(IF('Work Items'!$A$6:$A$5000="Risk",ROW('Work Items'!$A$6:$A$5000)-ROW('Work Items'!$A$6)+1),143)),"")</f>
        <v/>
      </c>
      <c r="F147">
        <f t="array" ref="F147">IFERROR(INDEX('Work Items'!$E$6:$E$5000,SMALL(IF('Work Items'!$A$6:$A$5000="Risk",ROW('Work Items'!$A$6:$A$5000)-ROW('Work Items'!$A$6)+1),143)),"")</f>
        <v/>
      </c>
      <c r="G147">
        <f t="array" ref="G147">IFERROR(INDEX('Work Items'!$F$6:$F$5000,SMALL(IF('Work Items'!$A$6:$A$5000="Risk",ROW('Work Items'!$A$6:$A$5000)-ROW('Work Items'!$A$6)+1),143)),"")</f>
        <v/>
      </c>
      <c r="H147">
        <f t="array" ref="H147">IFERROR(INDEX('Work Items'!$J$6:$J$5000,SMALL(IF('Work Items'!$A$6:$A$5000="Risk",ROW('Work Items'!$A$6:$A$5000)-ROW('Work Items'!$A$6)+1),143)),"")</f>
        <v/>
      </c>
      <c r="I147">
        <f t="array" ref="I147">IFERROR(INDEX('Work Items'!$K$6:$K$5000,SMALL(IF('Work Items'!$A$6:$A$5000="Risk",ROW('Work Items'!$A$6:$A$5000)-ROW('Work Items'!$A$6)+1),143)),"")</f>
        <v/>
      </c>
      <c r="J147">
        <f t="array" ref="J147">IFERROR(INDEX('Work Items'!$L$6:$L$5000,SMALL(IF('Work Items'!$A$6:$A$5000="Risk",ROW('Work Items'!$A$6:$A$5000)-ROW('Work Items'!$A$6)+1),143)),"")</f>
        <v/>
      </c>
      <c r="K147">
        <f t="array" ref="K147">IFERROR(IF(AND(INDEX('Work Items'!$R$6:$R$5000,SMALL(IF('Work Items'!$A$6:$A$5000="Risk",ROW('Work Items'!$A$6:$A$5000)-ROW('Work Items'!$A$6)+1),143))&lt;&gt;"",INDEX('Work Items'!$S$6:$S$5000,SMALL(IF('Work Items'!$A$6:$A$5000="Risk",ROW('Work Items'!$A$6:$A$5000)-ROW('Work Items'!$A$6)+1),143))&lt;&gt;""),INDEX('Work Items'!$R$6:$R$5000,SMALL(IF('Work Items'!$A$6:$A$5000="Risk",ROW('Work Items'!$A$6:$A$5000)-ROW('Work Items'!$A$6)+1),143))*INDEX('Work Items'!$S$6:$S$5000,SMALL(IF('Work Items'!$A$6:$A$5000="Risk",ROW('Work Items'!$A$6:$A$5000)-ROW('Work Items'!$A$6)+1),143)),INDEX('Work Items'!$U$6:$U$5000,SMALL(IF('Work Items'!$A$6:$A$5000="Risk",ROW('Work Items'!$A$6:$A$5000)-ROW('Work Items'!$A$6)+1),143))),"")</f>
        <v/>
      </c>
      <c r="L147" s="217">
        <f t="array" ref="L147">IFERROR(INDEX('Work Items'!$Q$6:$Q$5000,SMALL(IF('Work Items'!$A$6:$A$5000="Risk",ROW('Work Items'!$A$6:$A$5000)-ROW('Work Items'!$A$6)+1),143)),"")</f>
        <v/>
      </c>
      <c r="M147">
        <f t="array" ref="M147">IFERROR(INDEX('Work Items'!$T$6:$T$5000,SMALL(IF('Work Items'!$A$6:$A$5000="Risk",ROW('Work Items'!$A$6:$A$5000)-ROW('Work Items'!$A$6)+1),143)),"")</f>
        <v/>
      </c>
    </row>
    <row r="148">
      <c r="A148">
        <f t="array" ref="A148">IFERROR(INDEX('Work Items'!$A$6:$A$5000,SMALL(IF('Work Items'!$A$6:$A$5000="Risk",ROW('Work Items'!$A$6:$A$5000)-ROW('Work Items'!$A$6)+1),144)),"")</f>
        <v/>
      </c>
      <c r="B148">
        <f t="array" ref="B148">IFERROR(INDEX('Work Items'!$B$6:$B$5000,SMALL(IF('Work Items'!$A$6:$A$5000="Risk",ROW('Work Items'!$A$6:$A$5000)-ROW('Work Items'!$A$6)+1),144)),"")</f>
        <v/>
      </c>
      <c r="C148">
        <f>IF(E148="","",IFERROR(INDEX('Projects Master'!$A:$A,MATCH(E148,'Projects Master'!$B:$B,0)),"OrgRisk"))</f>
        <v/>
      </c>
      <c r="D148">
        <f t="array" ref="D148">IFERROR(INDEX('Work Items'!$C$6:$C$5000,SMALL(IF('Work Items'!$A$6:$A$5000="Risk",ROW('Work Items'!$A$6:$A$5000)-ROW('Work Items'!$A$6)+1),144)),"")</f>
        <v/>
      </c>
      <c r="E148">
        <f t="array" ref="E148">IFERROR(INDEX('Work Items'!$D$6:$D$5000,SMALL(IF('Work Items'!$A$6:$A$5000="Risk",ROW('Work Items'!$A$6:$A$5000)-ROW('Work Items'!$A$6)+1),144)),"")</f>
        <v/>
      </c>
      <c r="F148">
        <f t="array" ref="F148">IFERROR(INDEX('Work Items'!$E$6:$E$5000,SMALL(IF('Work Items'!$A$6:$A$5000="Risk",ROW('Work Items'!$A$6:$A$5000)-ROW('Work Items'!$A$6)+1),144)),"")</f>
        <v/>
      </c>
      <c r="G148">
        <f t="array" ref="G148">IFERROR(INDEX('Work Items'!$F$6:$F$5000,SMALL(IF('Work Items'!$A$6:$A$5000="Risk",ROW('Work Items'!$A$6:$A$5000)-ROW('Work Items'!$A$6)+1),144)),"")</f>
        <v/>
      </c>
      <c r="H148">
        <f t="array" ref="H148">IFERROR(INDEX('Work Items'!$J$6:$J$5000,SMALL(IF('Work Items'!$A$6:$A$5000="Risk",ROW('Work Items'!$A$6:$A$5000)-ROW('Work Items'!$A$6)+1),144)),"")</f>
        <v/>
      </c>
      <c r="I148">
        <f t="array" ref="I148">IFERROR(INDEX('Work Items'!$K$6:$K$5000,SMALL(IF('Work Items'!$A$6:$A$5000="Risk",ROW('Work Items'!$A$6:$A$5000)-ROW('Work Items'!$A$6)+1),144)),"")</f>
        <v/>
      </c>
      <c r="J148">
        <f t="array" ref="J148">IFERROR(INDEX('Work Items'!$L$6:$L$5000,SMALL(IF('Work Items'!$A$6:$A$5000="Risk",ROW('Work Items'!$A$6:$A$5000)-ROW('Work Items'!$A$6)+1),144)),"")</f>
        <v/>
      </c>
      <c r="K148">
        <f t="array" ref="K148">IFERROR(IF(AND(INDEX('Work Items'!$R$6:$R$5000,SMALL(IF('Work Items'!$A$6:$A$5000="Risk",ROW('Work Items'!$A$6:$A$5000)-ROW('Work Items'!$A$6)+1),144))&lt;&gt;"",INDEX('Work Items'!$S$6:$S$5000,SMALL(IF('Work Items'!$A$6:$A$5000="Risk",ROW('Work Items'!$A$6:$A$5000)-ROW('Work Items'!$A$6)+1),144))&lt;&gt;""),INDEX('Work Items'!$R$6:$R$5000,SMALL(IF('Work Items'!$A$6:$A$5000="Risk",ROW('Work Items'!$A$6:$A$5000)-ROW('Work Items'!$A$6)+1),144))*INDEX('Work Items'!$S$6:$S$5000,SMALL(IF('Work Items'!$A$6:$A$5000="Risk",ROW('Work Items'!$A$6:$A$5000)-ROW('Work Items'!$A$6)+1),144)),INDEX('Work Items'!$U$6:$U$5000,SMALL(IF('Work Items'!$A$6:$A$5000="Risk",ROW('Work Items'!$A$6:$A$5000)-ROW('Work Items'!$A$6)+1),144))),"")</f>
        <v/>
      </c>
      <c r="L148" s="217">
        <f t="array" ref="L148">IFERROR(INDEX('Work Items'!$Q$6:$Q$5000,SMALL(IF('Work Items'!$A$6:$A$5000="Risk",ROW('Work Items'!$A$6:$A$5000)-ROW('Work Items'!$A$6)+1),144)),"")</f>
        <v/>
      </c>
      <c r="M148">
        <f t="array" ref="M148">IFERROR(INDEX('Work Items'!$T$6:$T$5000,SMALL(IF('Work Items'!$A$6:$A$5000="Risk",ROW('Work Items'!$A$6:$A$5000)-ROW('Work Items'!$A$6)+1),144)),"")</f>
        <v/>
      </c>
    </row>
    <row r="149">
      <c r="A149">
        <f t="array" ref="A149">IFERROR(INDEX('Work Items'!$A$6:$A$5000,SMALL(IF('Work Items'!$A$6:$A$5000="Risk",ROW('Work Items'!$A$6:$A$5000)-ROW('Work Items'!$A$6)+1),145)),"")</f>
        <v/>
      </c>
      <c r="B149">
        <f t="array" ref="B149">IFERROR(INDEX('Work Items'!$B$6:$B$5000,SMALL(IF('Work Items'!$A$6:$A$5000="Risk",ROW('Work Items'!$A$6:$A$5000)-ROW('Work Items'!$A$6)+1),145)),"")</f>
        <v/>
      </c>
      <c r="C149">
        <f>IF(E149="","",IFERROR(INDEX('Projects Master'!$A:$A,MATCH(E149,'Projects Master'!$B:$B,0)),"OrgRisk"))</f>
        <v/>
      </c>
      <c r="D149">
        <f t="array" ref="D149">IFERROR(INDEX('Work Items'!$C$6:$C$5000,SMALL(IF('Work Items'!$A$6:$A$5000="Risk",ROW('Work Items'!$A$6:$A$5000)-ROW('Work Items'!$A$6)+1),145)),"")</f>
        <v/>
      </c>
      <c r="E149">
        <f t="array" ref="E149">IFERROR(INDEX('Work Items'!$D$6:$D$5000,SMALL(IF('Work Items'!$A$6:$A$5000="Risk",ROW('Work Items'!$A$6:$A$5000)-ROW('Work Items'!$A$6)+1),145)),"")</f>
        <v/>
      </c>
      <c r="F149">
        <f t="array" ref="F149">IFERROR(INDEX('Work Items'!$E$6:$E$5000,SMALL(IF('Work Items'!$A$6:$A$5000="Risk",ROW('Work Items'!$A$6:$A$5000)-ROW('Work Items'!$A$6)+1),145)),"")</f>
        <v/>
      </c>
      <c r="G149">
        <f t="array" ref="G149">IFERROR(INDEX('Work Items'!$F$6:$F$5000,SMALL(IF('Work Items'!$A$6:$A$5000="Risk",ROW('Work Items'!$A$6:$A$5000)-ROW('Work Items'!$A$6)+1),145)),"")</f>
        <v/>
      </c>
      <c r="H149">
        <f t="array" ref="H149">IFERROR(INDEX('Work Items'!$J$6:$J$5000,SMALL(IF('Work Items'!$A$6:$A$5000="Risk",ROW('Work Items'!$A$6:$A$5000)-ROW('Work Items'!$A$6)+1),145)),"")</f>
        <v/>
      </c>
      <c r="I149">
        <f t="array" ref="I149">IFERROR(INDEX('Work Items'!$K$6:$K$5000,SMALL(IF('Work Items'!$A$6:$A$5000="Risk",ROW('Work Items'!$A$6:$A$5000)-ROW('Work Items'!$A$6)+1),145)),"")</f>
        <v/>
      </c>
      <c r="J149">
        <f t="array" ref="J149">IFERROR(INDEX('Work Items'!$L$6:$L$5000,SMALL(IF('Work Items'!$A$6:$A$5000="Risk",ROW('Work Items'!$A$6:$A$5000)-ROW('Work Items'!$A$6)+1),145)),"")</f>
        <v/>
      </c>
      <c r="K149">
        <f t="array" ref="K149">IFERROR(IF(AND(INDEX('Work Items'!$R$6:$R$5000,SMALL(IF('Work Items'!$A$6:$A$5000="Risk",ROW('Work Items'!$A$6:$A$5000)-ROW('Work Items'!$A$6)+1),145))&lt;&gt;"",INDEX('Work Items'!$S$6:$S$5000,SMALL(IF('Work Items'!$A$6:$A$5000="Risk",ROW('Work Items'!$A$6:$A$5000)-ROW('Work Items'!$A$6)+1),145))&lt;&gt;""),INDEX('Work Items'!$R$6:$R$5000,SMALL(IF('Work Items'!$A$6:$A$5000="Risk",ROW('Work Items'!$A$6:$A$5000)-ROW('Work Items'!$A$6)+1),145))*INDEX('Work Items'!$S$6:$S$5000,SMALL(IF('Work Items'!$A$6:$A$5000="Risk",ROW('Work Items'!$A$6:$A$5000)-ROW('Work Items'!$A$6)+1),145)),INDEX('Work Items'!$U$6:$U$5000,SMALL(IF('Work Items'!$A$6:$A$5000="Risk",ROW('Work Items'!$A$6:$A$5000)-ROW('Work Items'!$A$6)+1),145))),"")</f>
        <v/>
      </c>
      <c r="L149" s="217">
        <f t="array" ref="L149">IFERROR(INDEX('Work Items'!$Q$6:$Q$5000,SMALL(IF('Work Items'!$A$6:$A$5000="Risk",ROW('Work Items'!$A$6:$A$5000)-ROW('Work Items'!$A$6)+1),145)),"")</f>
        <v/>
      </c>
      <c r="M149">
        <f t="array" ref="M149">IFERROR(INDEX('Work Items'!$T$6:$T$5000,SMALL(IF('Work Items'!$A$6:$A$5000="Risk",ROW('Work Items'!$A$6:$A$5000)-ROW('Work Items'!$A$6)+1),145)),"")</f>
        <v/>
      </c>
    </row>
    <row r="150">
      <c r="A150">
        <f t="array" ref="A150">IFERROR(INDEX('Work Items'!$A$6:$A$5000,SMALL(IF('Work Items'!$A$6:$A$5000="Risk",ROW('Work Items'!$A$6:$A$5000)-ROW('Work Items'!$A$6)+1),146)),"")</f>
        <v/>
      </c>
      <c r="B150">
        <f t="array" ref="B150">IFERROR(INDEX('Work Items'!$B$6:$B$5000,SMALL(IF('Work Items'!$A$6:$A$5000="Risk",ROW('Work Items'!$A$6:$A$5000)-ROW('Work Items'!$A$6)+1),146)),"")</f>
        <v/>
      </c>
      <c r="C150">
        <f>IF(E150="","",IFERROR(INDEX('Projects Master'!$A:$A,MATCH(E150,'Projects Master'!$B:$B,0)),"OrgRisk"))</f>
        <v/>
      </c>
      <c r="D150">
        <f t="array" ref="D150">IFERROR(INDEX('Work Items'!$C$6:$C$5000,SMALL(IF('Work Items'!$A$6:$A$5000="Risk",ROW('Work Items'!$A$6:$A$5000)-ROW('Work Items'!$A$6)+1),146)),"")</f>
        <v/>
      </c>
      <c r="E150">
        <f t="array" ref="E150">IFERROR(INDEX('Work Items'!$D$6:$D$5000,SMALL(IF('Work Items'!$A$6:$A$5000="Risk",ROW('Work Items'!$A$6:$A$5000)-ROW('Work Items'!$A$6)+1),146)),"")</f>
        <v/>
      </c>
      <c r="F150">
        <f t="array" ref="F150">IFERROR(INDEX('Work Items'!$E$6:$E$5000,SMALL(IF('Work Items'!$A$6:$A$5000="Risk",ROW('Work Items'!$A$6:$A$5000)-ROW('Work Items'!$A$6)+1),146)),"")</f>
        <v/>
      </c>
      <c r="G150">
        <f t="array" ref="G150">IFERROR(INDEX('Work Items'!$F$6:$F$5000,SMALL(IF('Work Items'!$A$6:$A$5000="Risk",ROW('Work Items'!$A$6:$A$5000)-ROW('Work Items'!$A$6)+1),146)),"")</f>
        <v/>
      </c>
      <c r="H150">
        <f t="array" ref="H150">IFERROR(INDEX('Work Items'!$J$6:$J$5000,SMALL(IF('Work Items'!$A$6:$A$5000="Risk",ROW('Work Items'!$A$6:$A$5000)-ROW('Work Items'!$A$6)+1),146)),"")</f>
        <v/>
      </c>
      <c r="I150">
        <f t="array" ref="I150">IFERROR(INDEX('Work Items'!$K$6:$K$5000,SMALL(IF('Work Items'!$A$6:$A$5000="Risk",ROW('Work Items'!$A$6:$A$5000)-ROW('Work Items'!$A$6)+1),146)),"")</f>
        <v/>
      </c>
      <c r="J150">
        <f t="array" ref="J150">IFERROR(INDEX('Work Items'!$L$6:$L$5000,SMALL(IF('Work Items'!$A$6:$A$5000="Risk",ROW('Work Items'!$A$6:$A$5000)-ROW('Work Items'!$A$6)+1),146)),"")</f>
        <v/>
      </c>
      <c r="K150">
        <f t="array" ref="K150">IFERROR(IF(AND(INDEX('Work Items'!$R$6:$R$5000,SMALL(IF('Work Items'!$A$6:$A$5000="Risk",ROW('Work Items'!$A$6:$A$5000)-ROW('Work Items'!$A$6)+1),146))&lt;&gt;"",INDEX('Work Items'!$S$6:$S$5000,SMALL(IF('Work Items'!$A$6:$A$5000="Risk",ROW('Work Items'!$A$6:$A$5000)-ROW('Work Items'!$A$6)+1),146))&lt;&gt;""),INDEX('Work Items'!$R$6:$R$5000,SMALL(IF('Work Items'!$A$6:$A$5000="Risk",ROW('Work Items'!$A$6:$A$5000)-ROW('Work Items'!$A$6)+1),146))*INDEX('Work Items'!$S$6:$S$5000,SMALL(IF('Work Items'!$A$6:$A$5000="Risk",ROW('Work Items'!$A$6:$A$5000)-ROW('Work Items'!$A$6)+1),146)),INDEX('Work Items'!$U$6:$U$5000,SMALL(IF('Work Items'!$A$6:$A$5000="Risk",ROW('Work Items'!$A$6:$A$5000)-ROW('Work Items'!$A$6)+1),146))),"")</f>
        <v/>
      </c>
      <c r="L150" s="217">
        <f t="array" ref="L150">IFERROR(INDEX('Work Items'!$Q$6:$Q$5000,SMALL(IF('Work Items'!$A$6:$A$5000="Risk",ROW('Work Items'!$A$6:$A$5000)-ROW('Work Items'!$A$6)+1),146)),"")</f>
        <v/>
      </c>
      <c r="M150">
        <f t="array" ref="M150">IFERROR(INDEX('Work Items'!$T$6:$T$5000,SMALL(IF('Work Items'!$A$6:$A$5000="Risk",ROW('Work Items'!$A$6:$A$5000)-ROW('Work Items'!$A$6)+1),146)),"")</f>
        <v/>
      </c>
    </row>
    <row r="151">
      <c r="A151">
        <f t="array" ref="A151">IFERROR(INDEX('Work Items'!$A$6:$A$5000,SMALL(IF('Work Items'!$A$6:$A$5000="Risk",ROW('Work Items'!$A$6:$A$5000)-ROW('Work Items'!$A$6)+1),147)),"")</f>
        <v/>
      </c>
      <c r="B151">
        <f t="array" ref="B151">IFERROR(INDEX('Work Items'!$B$6:$B$5000,SMALL(IF('Work Items'!$A$6:$A$5000="Risk",ROW('Work Items'!$A$6:$A$5000)-ROW('Work Items'!$A$6)+1),147)),"")</f>
        <v/>
      </c>
      <c r="C151">
        <f>IF(E151="","",IFERROR(INDEX('Projects Master'!$A:$A,MATCH(E151,'Projects Master'!$B:$B,0)),"OrgRisk"))</f>
        <v/>
      </c>
      <c r="D151">
        <f t="array" ref="D151">IFERROR(INDEX('Work Items'!$C$6:$C$5000,SMALL(IF('Work Items'!$A$6:$A$5000="Risk",ROW('Work Items'!$A$6:$A$5000)-ROW('Work Items'!$A$6)+1),147)),"")</f>
        <v/>
      </c>
      <c r="E151">
        <f t="array" ref="E151">IFERROR(INDEX('Work Items'!$D$6:$D$5000,SMALL(IF('Work Items'!$A$6:$A$5000="Risk",ROW('Work Items'!$A$6:$A$5000)-ROW('Work Items'!$A$6)+1),147)),"")</f>
        <v/>
      </c>
      <c r="F151">
        <f t="array" ref="F151">IFERROR(INDEX('Work Items'!$E$6:$E$5000,SMALL(IF('Work Items'!$A$6:$A$5000="Risk",ROW('Work Items'!$A$6:$A$5000)-ROW('Work Items'!$A$6)+1),147)),"")</f>
        <v/>
      </c>
      <c r="G151">
        <f t="array" ref="G151">IFERROR(INDEX('Work Items'!$F$6:$F$5000,SMALL(IF('Work Items'!$A$6:$A$5000="Risk",ROW('Work Items'!$A$6:$A$5000)-ROW('Work Items'!$A$6)+1),147)),"")</f>
        <v/>
      </c>
      <c r="H151">
        <f t="array" ref="H151">IFERROR(INDEX('Work Items'!$J$6:$J$5000,SMALL(IF('Work Items'!$A$6:$A$5000="Risk",ROW('Work Items'!$A$6:$A$5000)-ROW('Work Items'!$A$6)+1),147)),"")</f>
        <v/>
      </c>
      <c r="I151">
        <f t="array" ref="I151">IFERROR(INDEX('Work Items'!$K$6:$K$5000,SMALL(IF('Work Items'!$A$6:$A$5000="Risk",ROW('Work Items'!$A$6:$A$5000)-ROW('Work Items'!$A$6)+1),147)),"")</f>
        <v/>
      </c>
      <c r="J151">
        <f t="array" ref="J151">IFERROR(INDEX('Work Items'!$L$6:$L$5000,SMALL(IF('Work Items'!$A$6:$A$5000="Risk",ROW('Work Items'!$A$6:$A$5000)-ROW('Work Items'!$A$6)+1),147)),"")</f>
        <v/>
      </c>
      <c r="K151">
        <f t="array" ref="K151">IFERROR(IF(AND(INDEX('Work Items'!$R$6:$R$5000,SMALL(IF('Work Items'!$A$6:$A$5000="Risk",ROW('Work Items'!$A$6:$A$5000)-ROW('Work Items'!$A$6)+1),147))&lt;&gt;"",INDEX('Work Items'!$S$6:$S$5000,SMALL(IF('Work Items'!$A$6:$A$5000="Risk",ROW('Work Items'!$A$6:$A$5000)-ROW('Work Items'!$A$6)+1),147))&lt;&gt;""),INDEX('Work Items'!$R$6:$R$5000,SMALL(IF('Work Items'!$A$6:$A$5000="Risk",ROW('Work Items'!$A$6:$A$5000)-ROW('Work Items'!$A$6)+1),147))*INDEX('Work Items'!$S$6:$S$5000,SMALL(IF('Work Items'!$A$6:$A$5000="Risk",ROW('Work Items'!$A$6:$A$5000)-ROW('Work Items'!$A$6)+1),147)),INDEX('Work Items'!$U$6:$U$5000,SMALL(IF('Work Items'!$A$6:$A$5000="Risk",ROW('Work Items'!$A$6:$A$5000)-ROW('Work Items'!$A$6)+1),147))),"")</f>
        <v/>
      </c>
      <c r="L151" s="217">
        <f t="array" ref="L151">IFERROR(INDEX('Work Items'!$Q$6:$Q$5000,SMALL(IF('Work Items'!$A$6:$A$5000="Risk",ROW('Work Items'!$A$6:$A$5000)-ROW('Work Items'!$A$6)+1),147)),"")</f>
        <v/>
      </c>
      <c r="M151">
        <f t="array" ref="M151">IFERROR(INDEX('Work Items'!$T$6:$T$5000,SMALL(IF('Work Items'!$A$6:$A$5000="Risk",ROW('Work Items'!$A$6:$A$5000)-ROW('Work Items'!$A$6)+1),147)),"")</f>
        <v/>
      </c>
    </row>
    <row r="152">
      <c r="A152">
        <f t="array" ref="A152">IFERROR(INDEX('Work Items'!$A$6:$A$5000,SMALL(IF('Work Items'!$A$6:$A$5000="Risk",ROW('Work Items'!$A$6:$A$5000)-ROW('Work Items'!$A$6)+1),148)),"")</f>
        <v/>
      </c>
      <c r="B152">
        <f t="array" ref="B152">IFERROR(INDEX('Work Items'!$B$6:$B$5000,SMALL(IF('Work Items'!$A$6:$A$5000="Risk",ROW('Work Items'!$A$6:$A$5000)-ROW('Work Items'!$A$6)+1),148)),"")</f>
        <v/>
      </c>
      <c r="C152">
        <f>IF(E152="","",IFERROR(INDEX('Projects Master'!$A:$A,MATCH(E152,'Projects Master'!$B:$B,0)),"OrgRisk"))</f>
        <v/>
      </c>
      <c r="D152">
        <f t="array" ref="D152">IFERROR(INDEX('Work Items'!$C$6:$C$5000,SMALL(IF('Work Items'!$A$6:$A$5000="Risk",ROW('Work Items'!$A$6:$A$5000)-ROW('Work Items'!$A$6)+1),148)),"")</f>
        <v/>
      </c>
      <c r="E152">
        <f t="array" ref="E152">IFERROR(INDEX('Work Items'!$D$6:$D$5000,SMALL(IF('Work Items'!$A$6:$A$5000="Risk",ROW('Work Items'!$A$6:$A$5000)-ROW('Work Items'!$A$6)+1),148)),"")</f>
        <v/>
      </c>
      <c r="F152">
        <f t="array" ref="F152">IFERROR(INDEX('Work Items'!$E$6:$E$5000,SMALL(IF('Work Items'!$A$6:$A$5000="Risk",ROW('Work Items'!$A$6:$A$5000)-ROW('Work Items'!$A$6)+1),148)),"")</f>
        <v/>
      </c>
      <c r="G152">
        <f t="array" ref="G152">IFERROR(INDEX('Work Items'!$F$6:$F$5000,SMALL(IF('Work Items'!$A$6:$A$5000="Risk",ROW('Work Items'!$A$6:$A$5000)-ROW('Work Items'!$A$6)+1),148)),"")</f>
        <v/>
      </c>
      <c r="H152">
        <f t="array" ref="H152">IFERROR(INDEX('Work Items'!$J$6:$J$5000,SMALL(IF('Work Items'!$A$6:$A$5000="Risk",ROW('Work Items'!$A$6:$A$5000)-ROW('Work Items'!$A$6)+1),148)),"")</f>
        <v/>
      </c>
      <c r="I152">
        <f t="array" ref="I152">IFERROR(INDEX('Work Items'!$K$6:$K$5000,SMALL(IF('Work Items'!$A$6:$A$5000="Risk",ROW('Work Items'!$A$6:$A$5000)-ROW('Work Items'!$A$6)+1),148)),"")</f>
        <v/>
      </c>
      <c r="J152">
        <f t="array" ref="J152">IFERROR(INDEX('Work Items'!$L$6:$L$5000,SMALL(IF('Work Items'!$A$6:$A$5000="Risk",ROW('Work Items'!$A$6:$A$5000)-ROW('Work Items'!$A$6)+1),148)),"")</f>
        <v/>
      </c>
      <c r="K152">
        <f t="array" ref="K152">IFERROR(IF(AND(INDEX('Work Items'!$R$6:$R$5000,SMALL(IF('Work Items'!$A$6:$A$5000="Risk",ROW('Work Items'!$A$6:$A$5000)-ROW('Work Items'!$A$6)+1),148))&lt;&gt;"",INDEX('Work Items'!$S$6:$S$5000,SMALL(IF('Work Items'!$A$6:$A$5000="Risk",ROW('Work Items'!$A$6:$A$5000)-ROW('Work Items'!$A$6)+1),148))&lt;&gt;""),INDEX('Work Items'!$R$6:$R$5000,SMALL(IF('Work Items'!$A$6:$A$5000="Risk",ROW('Work Items'!$A$6:$A$5000)-ROW('Work Items'!$A$6)+1),148))*INDEX('Work Items'!$S$6:$S$5000,SMALL(IF('Work Items'!$A$6:$A$5000="Risk",ROW('Work Items'!$A$6:$A$5000)-ROW('Work Items'!$A$6)+1),148)),INDEX('Work Items'!$U$6:$U$5000,SMALL(IF('Work Items'!$A$6:$A$5000="Risk",ROW('Work Items'!$A$6:$A$5000)-ROW('Work Items'!$A$6)+1),148))),"")</f>
        <v/>
      </c>
      <c r="L152" s="217">
        <f t="array" ref="L152">IFERROR(INDEX('Work Items'!$Q$6:$Q$5000,SMALL(IF('Work Items'!$A$6:$A$5000="Risk",ROW('Work Items'!$A$6:$A$5000)-ROW('Work Items'!$A$6)+1),148)),"")</f>
        <v/>
      </c>
      <c r="M152">
        <f t="array" ref="M152">IFERROR(INDEX('Work Items'!$T$6:$T$5000,SMALL(IF('Work Items'!$A$6:$A$5000="Risk",ROW('Work Items'!$A$6:$A$5000)-ROW('Work Items'!$A$6)+1),148)),"")</f>
        <v/>
      </c>
    </row>
    <row r="153">
      <c r="A153">
        <f t="array" ref="A153">IFERROR(INDEX('Work Items'!$A$6:$A$5000,SMALL(IF('Work Items'!$A$6:$A$5000="Risk",ROW('Work Items'!$A$6:$A$5000)-ROW('Work Items'!$A$6)+1),149)),"")</f>
        <v/>
      </c>
      <c r="B153">
        <f t="array" ref="B153">IFERROR(INDEX('Work Items'!$B$6:$B$5000,SMALL(IF('Work Items'!$A$6:$A$5000="Risk",ROW('Work Items'!$A$6:$A$5000)-ROW('Work Items'!$A$6)+1),149)),"")</f>
        <v/>
      </c>
      <c r="C153">
        <f>IF(E153="","",IFERROR(INDEX('Projects Master'!$A:$A,MATCH(E153,'Projects Master'!$B:$B,0)),"OrgRisk"))</f>
        <v/>
      </c>
      <c r="D153">
        <f t="array" ref="D153">IFERROR(INDEX('Work Items'!$C$6:$C$5000,SMALL(IF('Work Items'!$A$6:$A$5000="Risk",ROW('Work Items'!$A$6:$A$5000)-ROW('Work Items'!$A$6)+1),149)),"")</f>
        <v/>
      </c>
      <c r="E153">
        <f t="array" ref="E153">IFERROR(INDEX('Work Items'!$D$6:$D$5000,SMALL(IF('Work Items'!$A$6:$A$5000="Risk",ROW('Work Items'!$A$6:$A$5000)-ROW('Work Items'!$A$6)+1),149)),"")</f>
        <v/>
      </c>
      <c r="F153">
        <f t="array" ref="F153">IFERROR(INDEX('Work Items'!$E$6:$E$5000,SMALL(IF('Work Items'!$A$6:$A$5000="Risk",ROW('Work Items'!$A$6:$A$5000)-ROW('Work Items'!$A$6)+1),149)),"")</f>
        <v/>
      </c>
      <c r="G153">
        <f t="array" ref="G153">IFERROR(INDEX('Work Items'!$F$6:$F$5000,SMALL(IF('Work Items'!$A$6:$A$5000="Risk",ROW('Work Items'!$A$6:$A$5000)-ROW('Work Items'!$A$6)+1),149)),"")</f>
        <v/>
      </c>
      <c r="H153">
        <f t="array" ref="H153">IFERROR(INDEX('Work Items'!$J$6:$J$5000,SMALL(IF('Work Items'!$A$6:$A$5000="Risk",ROW('Work Items'!$A$6:$A$5000)-ROW('Work Items'!$A$6)+1),149)),"")</f>
        <v/>
      </c>
      <c r="I153">
        <f t="array" ref="I153">IFERROR(INDEX('Work Items'!$K$6:$K$5000,SMALL(IF('Work Items'!$A$6:$A$5000="Risk",ROW('Work Items'!$A$6:$A$5000)-ROW('Work Items'!$A$6)+1),149)),"")</f>
        <v/>
      </c>
      <c r="J153">
        <f t="array" ref="J153">IFERROR(INDEX('Work Items'!$L$6:$L$5000,SMALL(IF('Work Items'!$A$6:$A$5000="Risk",ROW('Work Items'!$A$6:$A$5000)-ROW('Work Items'!$A$6)+1),149)),"")</f>
        <v/>
      </c>
      <c r="K153">
        <f t="array" ref="K153">IFERROR(IF(AND(INDEX('Work Items'!$R$6:$R$5000,SMALL(IF('Work Items'!$A$6:$A$5000="Risk",ROW('Work Items'!$A$6:$A$5000)-ROW('Work Items'!$A$6)+1),149))&lt;&gt;"",INDEX('Work Items'!$S$6:$S$5000,SMALL(IF('Work Items'!$A$6:$A$5000="Risk",ROW('Work Items'!$A$6:$A$5000)-ROW('Work Items'!$A$6)+1),149))&lt;&gt;""),INDEX('Work Items'!$R$6:$R$5000,SMALL(IF('Work Items'!$A$6:$A$5000="Risk",ROW('Work Items'!$A$6:$A$5000)-ROW('Work Items'!$A$6)+1),149))*INDEX('Work Items'!$S$6:$S$5000,SMALL(IF('Work Items'!$A$6:$A$5000="Risk",ROW('Work Items'!$A$6:$A$5000)-ROW('Work Items'!$A$6)+1),149)),INDEX('Work Items'!$U$6:$U$5000,SMALL(IF('Work Items'!$A$6:$A$5000="Risk",ROW('Work Items'!$A$6:$A$5000)-ROW('Work Items'!$A$6)+1),149))),"")</f>
        <v/>
      </c>
      <c r="L153" s="217">
        <f t="array" ref="L153">IFERROR(INDEX('Work Items'!$Q$6:$Q$5000,SMALL(IF('Work Items'!$A$6:$A$5000="Risk",ROW('Work Items'!$A$6:$A$5000)-ROW('Work Items'!$A$6)+1),149)),"")</f>
        <v/>
      </c>
      <c r="M153">
        <f t="array" ref="M153">IFERROR(INDEX('Work Items'!$T$6:$T$5000,SMALL(IF('Work Items'!$A$6:$A$5000="Risk",ROW('Work Items'!$A$6:$A$5000)-ROW('Work Items'!$A$6)+1),149)),"")</f>
        <v/>
      </c>
    </row>
    <row r="154">
      <c r="A154">
        <f t="array" ref="A154">IFERROR(INDEX('Work Items'!$A$6:$A$5000,SMALL(IF('Work Items'!$A$6:$A$5000="Risk",ROW('Work Items'!$A$6:$A$5000)-ROW('Work Items'!$A$6)+1),150)),"")</f>
        <v/>
      </c>
      <c r="B154">
        <f t="array" ref="B154">IFERROR(INDEX('Work Items'!$B$6:$B$5000,SMALL(IF('Work Items'!$A$6:$A$5000="Risk",ROW('Work Items'!$A$6:$A$5000)-ROW('Work Items'!$A$6)+1),150)),"")</f>
        <v/>
      </c>
      <c r="C154">
        <f>IF(E154="","",IFERROR(INDEX('Projects Master'!$A:$A,MATCH(E154,'Projects Master'!$B:$B,0)),"OrgRisk"))</f>
        <v/>
      </c>
      <c r="D154">
        <f t="array" ref="D154">IFERROR(INDEX('Work Items'!$C$6:$C$5000,SMALL(IF('Work Items'!$A$6:$A$5000="Risk",ROW('Work Items'!$A$6:$A$5000)-ROW('Work Items'!$A$6)+1),150)),"")</f>
        <v/>
      </c>
      <c r="E154">
        <f t="array" ref="E154">IFERROR(INDEX('Work Items'!$D$6:$D$5000,SMALL(IF('Work Items'!$A$6:$A$5000="Risk",ROW('Work Items'!$A$6:$A$5000)-ROW('Work Items'!$A$6)+1),150)),"")</f>
        <v/>
      </c>
      <c r="F154">
        <f t="array" ref="F154">IFERROR(INDEX('Work Items'!$E$6:$E$5000,SMALL(IF('Work Items'!$A$6:$A$5000="Risk",ROW('Work Items'!$A$6:$A$5000)-ROW('Work Items'!$A$6)+1),150)),"")</f>
        <v/>
      </c>
      <c r="G154">
        <f t="array" ref="G154">IFERROR(INDEX('Work Items'!$F$6:$F$5000,SMALL(IF('Work Items'!$A$6:$A$5000="Risk",ROW('Work Items'!$A$6:$A$5000)-ROW('Work Items'!$A$6)+1),150)),"")</f>
        <v/>
      </c>
      <c r="H154">
        <f t="array" ref="H154">IFERROR(INDEX('Work Items'!$J$6:$J$5000,SMALL(IF('Work Items'!$A$6:$A$5000="Risk",ROW('Work Items'!$A$6:$A$5000)-ROW('Work Items'!$A$6)+1),150)),"")</f>
        <v/>
      </c>
      <c r="I154">
        <f t="array" ref="I154">IFERROR(INDEX('Work Items'!$K$6:$K$5000,SMALL(IF('Work Items'!$A$6:$A$5000="Risk",ROW('Work Items'!$A$6:$A$5000)-ROW('Work Items'!$A$6)+1),150)),"")</f>
        <v/>
      </c>
      <c r="J154">
        <f t="array" ref="J154">IFERROR(INDEX('Work Items'!$L$6:$L$5000,SMALL(IF('Work Items'!$A$6:$A$5000="Risk",ROW('Work Items'!$A$6:$A$5000)-ROW('Work Items'!$A$6)+1),150)),"")</f>
        <v/>
      </c>
      <c r="K154">
        <f t="array" ref="K154">IFERROR(IF(AND(INDEX('Work Items'!$R$6:$R$5000,SMALL(IF('Work Items'!$A$6:$A$5000="Risk",ROW('Work Items'!$A$6:$A$5000)-ROW('Work Items'!$A$6)+1),150))&lt;&gt;"",INDEX('Work Items'!$S$6:$S$5000,SMALL(IF('Work Items'!$A$6:$A$5000="Risk",ROW('Work Items'!$A$6:$A$5000)-ROW('Work Items'!$A$6)+1),150))&lt;&gt;""),INDEX('Work Items'!$R$6:$R$5000,SMALL(IF('Work Items'!$A$6:$A$5000="Risk",ROW('Work Items'!$A$6:$A$5000)-ROW('Work Items'!$A$6)+1),150))*INDEX('Work Items'!$S$6:$S$5000,SMALL(IF('Work Items'!$A$6:$A$5000="Risk",ROW('Work Items'!$A$6:$A$5000)-ROW('Work Items'!$A$6)+1),150)),INDEX('Work Items'!$U$6:$U$5000,SMALL(IF('Work Items'!$A$6:$A$5000="Risk",ROW('Work Items'!$A$6:$A$5000)-ROW('Work Items'!$A$6)+1),150))),"")</f>
        <v/>
      </c>
      <c r="L154" s="217">
        <f t="array" ref="L154">IFERROR(INDEX('Work Items'!$Q$6:$Q$5000,SMALL(IF('Work Items'!$A$6:$A$5000="Risk",ROW('Work Items'!$A$6:$A$5000)-ROW('Work Items'!$A$6)+1),150)),"")</f>
        <v/>
      </c>
      <c r="M154">
        <f t="array" ref="M154">IFERROR(INDEX('Work Items'!$T$6:$T$5000,SMALL(IF('Work Items'!$A$6:$A$5000="Risk",ROW('Work Items'!$A$6:$A$5000)-ROW('Work Items'!$A$6)+1),150)),"")</f>
        <v/>
      </c>
    </row>
    <row r="155">
      <c r="A155">
        <f t="array" ref="A155">IFERROR(INDEX('Work Items'!$A$6:$A$5000,SMALL(IF('Work Items'!$A$6:$A$5000="Risk",ROW('Work Items'!$A$6:$A$5000)-ROW('Work Items'!$A$6)+1),151)),"")</f>
        <v/>
      </c>
      <c r="B155">
        <f t="array" ref="B155">IFERROR(INDEX('Work Items'!$B$6:$B$5000,SMALL(IF('Work Items'!$A$6:$A$5000="Risk",ROW('Work Items'!$A$6:$A$5000)-ROW('Work Items'!$A$6)+1),151)),"")</f>
        <v/>
      </c>
      <c r="C155">
        <f>IF(E155="","",IFERROR(INDEX('Projects Master'!$A:$A,MATCH(E155,'Projects Master'!$B:$B,0)),"OrgRisk"))</f>
        <v/>
      </c>
      <c r="D155">
        <f t="array" ref="D155">IFERROR(INDEX('Work Items'!$C$6:$C$5000,SMALL(IF('Work Items'!$A$6:$A$5000="Risk",ROW('Work Items'!$A$6:$A$5000)-ROW('Work Items'!$A$6)+1),151)),"")</f>
        <v/>
      </c>
      <c r="E155">
        <f t="array" ref="E155">IFERROR(INDEX('Work Items'!$D$6:$D$5000,SMALL(IF('Work Items'!$A$6:$A$5000="Risk",ROW('Work Items'!$A$6:$A$5000)-ROW('Work Items'!$A$6)+1),151)),"")</f>
        <v/>
      </c>
      <c r="F155">
        <f t="array" ref="F155">IFERROR(INDEX('Work Items'!$E$6:$E$5000,SMALL(IF('Work Items'!$A$6:$A$5000="Risk",ROW('Work Items'!$A$6:$A$5000)-ROW('Work Items'!$A$6)+1),151)),"")</f>
        <v/>
      </c>
      <c r="G155">
        <f t="array" ref="G155">IFERROR(INDEX('Work Items'!$F$6:$F$5000,SMALL(IF('Work Items'!$A$6:$A$5000="Risk",ROW('Work Items'!$A$6:$A$5000)-ROW('Work Items'!$A$6)+1),151)),"")</f>
        <v/>
      </c>
      <c r="H155">
        <f t="array" ref="H155">IFERROR(INDEX('Work Items'!$J$6:$J$5000,SMALL(IF('Work Items'!$A$6:$A$5000="Risk",ROW('Work Items'!$A$6:$A$5000)-ROW('Work Items'!$A$6)+1),151)),"")</f>
        <v/>
      </c>
      <c r="I155">
        <f t="array" ref="I155">IFERROR(INDEX('Work Items'!$K$6:$K$5000,SMALL(IF('Work Items'!$A$6:$A$5000="Risk",ROW('Work Items'!$A$6:$A$5000)-ROW('Work Items'!$A$6)+1),151)),"")</f>
        <v/>
      </c>
      <c r="J155">
        <f t="array" ref="J155">IFERROR(INDEX('Work Items'!$L$6:$L$5000,SMALL(IF('Work Items'!$A$6:$A$5000="Risk",ROW('Work Items'!$A$6:$A$5000)-ROW('Work Items'!$A$6)+1),151)),"")</f>
        <v/>
      </c>
      <c r="K155">
        <f t="array" ref="K155">IFERROR(IF(AND(INDEX('Work Items'!$R$6:$R$5000,SMALL(IF('Work Items'!$A$6:$A$5000="Risk",ROW('Work Items'!$A$6:$A$5000)-ROW('Work Items'!$A$6)+1),151))&lt;&gt;"",INDEX('Work Items'!$S$6:$S$5000,SMALL(IF('Work Items'!$A$6:$A$5000="Risk",ROW('Work Items'!$A$6:$A$5000)-ROW('Work Items'!$A$6)+1),151))&lt;&gt;""),INDEX('Work Items'!$R$6:$R$5000,SMALL(IF('Work Items'!$A$6:$A$5000="Risk",ROW('Work Items'!$A$6:$A$5000)-ROW('Work Items'!$A$6)+1),151))*INDEX('Work Items'!$S$6:$S$5000,SMALL(IF('Work Items'!$A$6:$A$5000="Risk",ROW('Work Items'!$A$6:$A$5000)-ROW('Work Items'!$A$6)+1),151)),INDEX('Work Items'!$U$6:$U$5000,SMALL(IF('Work Items'!$A$6:$A$5000="Risk",ROW('Work Items'!$A$6:$A$5000)-ROW('Work Items'!$A$6)+1),151))),"")</f>
        <v/>
      </c>
      <c r="L155" s="217">
        <f t="array" ref="L155">IFERROR(INDEX('Work Items'!$Q$6:$Q$5000,SMALL(IF('Work Items'!$A$6:$A$5000="Risk",ROW('Work Items'!$A$6:$A$5000)-ROW('Work Items'!$A$6)+1),151)),"")</f>
        <v/>
      </c>
      <c r="M155">
        <f t="array" ref="M155">IFERROR(INDEX('Work Items'!$T$6:$T$5000,SMALL(IF('Work Items'!$A$6:$A$5000="Risk",ROW('Work Items'!$A$6:$A$5000)-ROW('Work Items'!$A$6)+1),151)),"")</f>
        <v/>
      </c>
    </row>
    <row r="156">
      <c r="A156">
        <f t="array" ref="A156">IFERROR(INDEX('Work Items'!$A$6:$A$5000,SMALL(IF('Work Items'!$A$6:$A$5000="Risk",ROW('Work Items'!$A$6:$A$5000)-ROW('Work Items'!$A$6)+1),152)),"")</f>
        <v/>
      </c>
      <c r="B156">
        <f t="array" ref="B156">IFERROR(INDEX('Work Items'!$B$6:$B$5000,SMALL(IF('Work Items'!$A$6:$A$5000="Risk",ROW('Work Items'!$A$6:$A$5000)-ROW('Work Items'!$A$6)+1),152)),"")</f>
        <v/>
      </c>
      <c r="C156">
        <f>IF(E156="","",IFERROR(INDEX('Projects Master'!$A:$A,MATCH(E156,'Projects Master'!$B:$B,0)),"OrgRisk"))</f>
        <v/>
      </c>
      <c r="D156">
        <f t="array" ref="D156">IFERROR(INDEX('Work Items'!$C$6:$C$5000,SMALL(IF('Work Items'!$A$6:$A$5000="Risk",ROW('Work Items'!$A$6:$A$5000)-ROW('Work Items'!$A$6)+1),152)),"")</f>
        <v/>
      </c>
      <c r="E156">
        <f t="array" ref="E156">IFERROR(INDEX('Work Items'!$D$6:$D$5000,SMALL(IF('Work Items'!$A$6:$A$5000="Risk",ROW('Work Items'!$A$6:$A$5000)-ROW('Work Items'!$A$6)+1),152)),"")</f>
        <v/>
      </c>
      <c r="F156">
        <f t="array" ref="F156">IFERROR(INDEX('Work Items'!$E$6:$E$5000,SMALL(IF('Work Items'!$A$6:$A$5000="Risk",ROW('Work Items'!$A$6:$A$5000)-ROW('Work Items'!$A$6)+1),152)),"")</f>
        <v/>
      </c>
      <c r="G156">
        <f t="array" ref="G156">IFERROR(INDEX('Work Items'!$F$6:$F$5000,SMALL(IF('Work Items'!$A$6:$A$5000="Risk",ROW('Work Items'!$A$6:$A$5000)-ROW('Work Items'!$A$6)+1),152)),"")</f>
        <v/>
      </c>
      <c r="H156">
        <f t="array" ref="H156">IFERROR(INDEX('Work Items'!$J$6:$J$5000,SMALL(IF('Work Items'!$A$6:$A$5000="Risk",ROW('Work Items'!$A$6:$A$5000)-ROW('Work Items'!$A$6)+1),152)),"")</f>
        <v/>
      </c>
      <c r="I156">
        <f t="array" ref="I156">IFERROR(INDEX('Work Items'!$K$6:$K$5000,SMALL(IF('Work Items'!$A$6:$A$5000="Risk",ROW('Work Items'!$A$6:$A$5000)-ROW('Work Items'!$A$6)+1),152)),"")</f>
        <v/>
      </c>
      <c r="J156">
        <f t="array" ref="J156">IFERROR(INDEX('Work Items'!$L$6:$L$5000,SMALL(IF('Work Items'!$A$6:$A$5000="Risk",ROW('Work Items'!$A$6:$A$5000)-ROW('Work Items'!$A$6)+1),152)),"")</f>
        <v/>
      </c>
      <c r="K156">
        <f t="array" ref="K156">IFERROR(IF(AND(INDEX('Work Items'!$R$6:$R$5000,SMALL(IF('Work Items'!$A$6:$A$5000="Risk",ROW('Work Items'!$A$6:$A$5000)-ROW('Work Items'!$A$6)+1),152))&lt;&gt;"",INDEX('Work Items'!$S$6:$S$5000,SMALL(IF('Work Items'!$A$6:$A$5000="Risk",ROW('Work Items'!$A$6:$A$5000)-ROW('Work Items'!$A$6)+1),152))&lt;&gt;""),INDEX('Work Items'!$R$6:$R$5000,SMALL(IF('Work Items'!$A$6:$A$5000="Risk",ROW('Work Items'!$A$6:$A$5000)-ROW('Work Items'!$A$6)+1),152))*INDEX('Work Items'!$S$6:$S$5000,SMALL(IF('Work Items'!$A$6:$A$5000="Risk",ROW('Work Items'!$A$6:$A$5000)-ROW('Work Items'!$A$6)+1),152)),INDEX('Work Items'!$U$6:$U$5000,SMALL(IF('Work Items'!$A$6:$A$5000="Risk",ROW('Work Items'!$A$6:$A$5000)-ROW('Work Items'!$A$6)+1),152))),"")</f>
        <v/>
      </c>
      <c r="L156" s="217">
        <f t="array" ref="L156">IFERROR(INDEX('Work Items'!$Q$6:$Q$5000,SMALL(IF('Work Items'!$A$6:$A$5000="Risk",ROW('Work Items'!$A$6:$A$5000)-ROW('Work Items'!$A$6)+1),152)),"")</f>
        <v/>
      </c>
      <c r="M156">
        <f t="array" ref="M156">IFERROR(INDEX('Work Items'!$T$6:$T$5000,SMALL(IF('Work Items'!$A$6:$A$5000="Risk",ROW('Work Items'!$A$6:$A$5000)-ROW('Work Items'!$A$6)+1),152)),"")</f>
        <v/>
      </c>
    </row>
    <row r="157">
      <c r="A157">
        <f t="array" ref="A157">IFERROR(INDEX('Work Items'!$A$6:$A$5000,SMALL(IF('Work Items'!$A$6:$A$5000="Risk",ROW('Work Items'!$A$6:$A$5000)-ROW('Work Items'!$A$6)+1),153)),"")</f>
        <v/>
      </c>
      <c r="B157">
        <f t="array" ref="B157">IFERROR(INDEX('Work Items'!$B$6:$B$5000,SMALL(IF('Work Items'!$A$6:$A$5000="Risk",ROW('Work Items'!$A$6:$A$5000)-ROW('Work Items'!$A$6)+1),153)),"")</f>
        <v/>
      </c>
      <c r="C157">
        <f>IF(E157="","",IFERROR(INDEX('Projects Master'!$A:$A,MATCH(E157,'Projects Master'!$B:$B,0)),"OrgRisk"))</f>
        <v/>
      </c>
      <c r="D157">
        <f t="array" ref="D157">IFERROR(INDEX('Work Items'!$C$6:$C$5000,SMALL(IF('Work Items'!$A$6:$A$5000="Risk",ROW('Work Items'!$A$6:$A$5000)-ROW('Work Items'!$A$6)+1),153)),"")</f>
        <v/>
      </c>
      <c r="E157">
        <f t="array" ref="E157">IFERROR(INDEX('Work Items'!$D$6:$D$5000,SMALL(IF('Work Items'!$A$6:$A$5000="Risk",ROW('Work Items'!$A$6:$A$5000)-ROW('Work Items'!$A$6)+1),153)),"")</f>
        <v/>
      </c>
      <c r="F157">
        <f t="array" ref="F157">IFERROR(INDEX('Work Items'!$E$6:$E$5000,SMALL(IF('Work Items'!$A$6:$A$5000="Risk",ROW('Work Items'!$A$6:$A$5000)-ROW('Work Items'!$A$6)+1),153)),"")</f>
        <v/>
      </c>
      <c r="G157">
        <f t="array" ref="G157">IFERROR(INDEX('Work Items'!$F$6:$F$5000,SMALL(IF('Work Items'!$A$6:$A$5000="Risk",ROW('Work Items'!$A$6:$A$5000)-ROW('Work Items'!$A$6)+1),153)),"")</f>
        <v/>
      </c>
      <c r="H157">
        <f t="array" ref="H157">IFERROR(INDEX('Work Items'!$J$6:$J$5000,SMALL(IF('Work Items'!$A$6:$A$5000="Risk",ROW('Work Items'!$A$6:$A$5000)-ROW('Work Items'!$A$6)+1),153)),"")</f>
        <v/>
      </c>
      <c r="I157">
        <f t="array" ref="I157">IFERROR(INDEX('Work Items'!$K$6:$K$5000,SMALL(IF('Work Items'!$A$6:$A$5000="Risk",ROW('Work Items'!$A$6:$A$5000)-ROW('Work Items'!$A$6)+1),153)),"")</f>
        <v/>
      </c>
      <c r="J157">
        <f t="array" ref="J157">IFERROR(INDEX('Work Items'!$L$6:$L$5000,SMALL(IF('Work Items'!$A$6:$A$5000="Risk",ROW('Work Items'!$A$6:$A$5000)-ROW('Work Items'!$A$6)+1),153)),"")</f>
        <v/>
      </c>
      <c r="K157">
        <f t="array" ref="K157">IFERROR(IF(AND(INDEX('Work Items'!$R$6:$R$5000,SMALL(IF('Work Items'!$A$6:$A$5000="Risk",ROW('Work Items'!$A$6:$A$5000)-ROW('Work Items'!$A$6)+1),153))&lt;&gt;"",INDEX('Work Items'!$S$6:$S$5000,SMALL(IF('Work Items'!$A$6:$A$5000="Risk",ROW('Work Items'!$A$6:$A$5000)-ROW('Work Items'!$A$6)+1),153))&lt;&gt;""),INDEX('Work Items'!$R$6:$R$5000,SMALL(IF('Work Items'!$A$6:$A$5000="Risk",ROW('Work Items'!$A$6:$A$5000)-ROW('Work Items'!$A$6)+1),153))*INDEX('Work Items'!$S$6:$S$5000,SMALL(IF('Work Items'!$A$6:$A$5000="Risk",ROW('Work Items'!$A$6:$A$5000)-ROW('Work Items'!$A$6)+1),153)),INDEX('Work Items'!$U$6:$U$5000,SMALL(IF('Work Items'!$A$6:$A$5000="Risk",ROW('Work Items'!$A$6:$A$5000)-ROW('Work Items'!$A$6)+1),153))),"")</f>
        <v/>
      </c>
      <c r="L157" s="217">
        <f t="array" ref="L157">IFERROR(INDEX('Work Items'!$Q$6:$Q$5000,SMALL(IF('Work Items'!$A$6:$A$5000="Risk",ROW('Work Items'!$A$6:$A$5000)-ROW('Work Items'!$A$6)+1),153)),"")</f>
        <v/>
      </c>
      <c r="M157">
        <f t="array" ref="M157">IFERROR(INDEX('Work Items'!$T$6:$T$5000,SMALL(IF('Work Items'!$A$6:$A$5000="Risk",ROW('Work Items'!$A$6:$A$5000)-ROW('Work Items'!$A$6)+1),153)),"")</f>
        <v/>
      </c>
    </row>
    <row r="158">
      <c r="A158">
        <f t="array" ref="A158">IFERROR(INDEX('Work Items'!$A$6:$A$5000,SMALL(IF('Work Items'!$A$6:$A$5000="Risk",ROW('Work Items'!$A$6:$A$5000)-ROW('Work Items'!$A$6)+1),154)),"")</f>
        <v/>
      </c>
      <c r="B158">
        <f t="array" ref="B158">IFERROR(INDEX('Work Items'!$B$6:$B$5000,SMALL(IF('Work Items'!$A$6:$A$5000="Risk",ROW('Work Items'!$A$6:$A$5000)-ROW('Work Items'!$A$6)+1),154)),"")</f>
        <v/>
      </c>
      <c r="C158">
        <f>IF(E158="","",IFERROR(INDEX('Projects Master'!$A:$A,MATCH(E158,'Projects Master'!$B:$B,0)),"OrgRisk"))</f>
        <v/>
      </c>
      <c r="D158">
        <f t="array" ref="D158">IFERROR(INDEX('Work Items'!$C$6:$C$5000,SMALL(IF('Work Items'!$A$6:$A$5000="Risk",ROW('Work Items'!$A$6:$A$5000)-ROW('Work Items'!$A$6)+1),154)),"")</f>
        <v/>
      </c>
      <c r="E158">
        <f t="array" ref="E158">IFERROR(INDEX('Work Items'!$D$6:$D$5000,SMALL(IF('Work Items'!$A$6:$A$5000="Risk",ROW('Work Items'!$A$6:$A$5000)-ROW('Work Items'!$A$6)+1),154)),"")</f>
        <v/>
      </c>
      <c r="F158">
        <f t="array" ref="F158">IFERROR(INDEX('Work Items'!$E$6:$E$5000,SMALL(IF('Work Items'!$A$6:$A$5000="Risk",ROW('Work Items'!$A$6:$A$5000)-ROW('Work Items'!$A$6)+1),154)),"")</f>
        <v/>
      </c>
      <c r="G158">
        <f t="array" ref="G158">IFERROR(INDEX('Work Items'!$F$6:$F$5000,SMALL(IF('Work Items'!$A$6:$A$5000="Risk",ROW('Work Items'!$A$6:$A$5000)-ROW('Work Items'!$A$6)+1),154)),"")</f>
        <v/>
      </c>
      <c r="H158">
        <f t="array" ref="H158">IFERROR(INDEX('Work Items'!$J$6:$J$5000,SMALL(IF('Work Items'!$A$6:$A$5000="Risk",ROW('Work Items'!$A$6:$A$5000)-ROW('Work Items'!$A$6)+1),154)),"")</f>
        <v/>
      </c>
      <c r="I158">
        <f t="array" ref="I158">IFERROR(INDEX('Work Items'!$K$6:$K$5000,SMALL(IF('Work Items'!$A$6:$A$5000="Risk",ROW('Work Items'!$A$6:$A$5000)-ROW('Work Items'!$A$6)+1),154)),"")</f>
        <v/>
      </c>
      <c r="J158">
        <f t="array" ref="J158">IFERROR(INDEX('Work Items'!$L$6:$L$5000,SMALL(IF('Work Items'!$A$6:$A$5000="Risk",ROW('Work Items'!$A$6:$A$5000)-ROW('Work Items'!$A$6)+1),154)),"")</f>
        <v/>
      </c>
      <c r="K158">
        <f t="array" ref="K158">IFERROR(IF(AND(INDEX('Work Items'!$R$6:$R$5000,SMALL(IF('Work Items'!$A$6:$A$5000="Risk",ROW('Work Items'!$A$6:$A$5000)-ROW('Work Items'!$A$6)+1),154))&lt;&gt;"",INDEX('Work Items'!$S$6:$S$5000,SMALL(IF('Work Items'!$A$6:$A$5000="Risk",ROW('Work Items'!$A$6:$A$5000)-ROW('Work Items'!$A$6)+1),154))&lt;&gt;""),INDEX('Work Items'!$R$6:$R$5000,SMALL(IF('Work Items'!$A$6:$A$5000="Risk",ROW('Work Items'!$A$6:$A$5000)-ROW('Work Items'!$A$6)+1),154))*INDEX('Work Items'!$S$6:$S$5000,SMALL(IF('Work Items'!$A$6:$A$5000="Risk",ROW('Work Items'!$A$6:$A$5000)-ROW('Work Items'!$A$6)+1),154)),INDEX('Work Items'!$U$6:$U$5000,SMALL(IF('Work Items'!$A$6:$A$5000="Risk",ROW('Work Items'!$A$6:$A$5000)-ROW('Work Items'!$A$6)+1),154))),"")</f>
        <v/>
      </c>
      <c r="L158" s="217">
        <f t="array" ref="L158">IFERROR(INDEX('Work Items'!$Q$6:$Q$5000,SMALL(IF('Work Items'!$A$6:$A$5000="Risk",ROW('Work Items'!$A$6:$A$5000)-ROW('Work Items'!$A$6)+1),154)),"")</f>
        <v/>
      </c>
      <c r="M158">
        <f t="array" ref="M158">IFERROR(INDEX('Work Items'!$T$6:$T$5000,SMALL(IF('Work Items'!$A$6:$A$5000="Risk",ROW('Work Items'!$A$6:$A$5000)-ROW('Work Items'!$A$6)+1),154)),"")</f>
        <v/>
      </c>
    </row>
    <row r="159">
      <c r="A159">
        <f t="array" ref="A159">IFERROR(INDEX('Work Items'!$A$6:$A$5000,SMALL(IF('Work Items'!$A$6:$A$5000="Risk",ROW('Work Items'!$A$6:$A$5000)-ROW('Work Items'!$A$6)+1),155)),"")</f>
        <v/>
      </c>
      <c r="B159">
        <f t="array" ref="B159">IFERROR(INDEX('Work Items'!$B$6:$B$5000,SMALL(IF('Work Items'!$A$6:$A$5000="Risk",ROW('Work Items'!$A$6:$A$5000)-ROW('Work Items'!$A$6)+1),155)),"")</f>
        <v/>
      </c>
      <c r="C159">
        <f>IF(E159="","",IFERROR(INDEX('Projects Master'!$A:$A,MATCH(E159,'Projects Master'!$B:$B,0)),"OrgRisk"))</f>
        <v/>
      </c>
      <c r="D159">
        <f t="array" ref="D159">IFERROR(INDEX('Work Items'!$C$6:$C$5000,SMALL(IF('Work Items'!$A$6:$A$5000="Risk",ROW('Work Items'!$A$6:$A$5000)-ROW('Work Items'!$A$6)+1),155)),"")</f>
        <v/>
      </c>
      <c r="E159">
        <f t="array" ref="E159">IFERROR(INDEX('Work Items'!$D$6:$D$5000,SMALL(IF('Work Items'!$A$6:$A$5000="Risk",ROW('Work Items'!$A$6:$A$5000)-ROW('Work Items'!$A$6)+1),155)),"")</f>
        <v/>
      </c>
      <c r="F159">
        <f t="array" ref="F159">IFERROR(INDEX('Work Items'!$E$6:$E$5000,SMALL(IF('Work Items'!$A$6:$A$5000="Risk",ROW('Work Items'!$A$6:$A$5000)-ROW('Work Items'!$A$6)+1),155)),"")</f>
        <v/>
      </c>
      <c r="G159">
        <f t="array" ref="G159">IFERROR(INDEX('Work Items'!$F$6:$F$5000,SMALL(IF('Work Items'!$A$6:$A$5000="Risk",ROW('Work Items'!$A$6:$A$5000)-ROW('Work Items'!$A$6)+1),155)),"")</f>
        <v/>
      </c>
      <c r="H159">
        <f t="array" ref="H159">IFERROR(INDEX('Work Items'!$J$6:$J$5000,SMALL(IF('Work Items'!$A$6:$A$5000="Risk",ROW('Work Items'!$A$6:$A$5000)-ROW('Work Items'!$A$6)+1),155)),"")</f>
        <v/>
      </c>
      <c r="I159">
        <f t="array" ref="I159">IFERROR(INDEX('Work Items'!$K$6:$K$5000,SMALL(IF('Work Items'!$A$6:$A$5000="Risk",ROW('Work Items'!$A$6:$A$5000)-ROW('Work Items'!$A$6)+1),155)),"")</f>
        <v/>
      </c>
      <c r="J159">
        <f t="array" ref="J159">IFERROR(INDEX('Work Items'!$L$6:$L$5000,SMALL(IF('Work Items'!$A$6:$A$5000="Risk",ROW('Work Items'!$A$6:$A$5000)-ROW('Work Items'!$A$6)+1),155)),"")</f>
        <v/>
      </c>
      <c r="K159">
        <f t="array" ref="K159">IFERROR(IF(AND(INDEX('Work Items'!$R$6:$R$5000,SMALL(IF('Work Items'!$A$6:$A$5000="Risk",ROW('Work Items'!$A$6:$A$5000)-ROW('Work Items'!$A$6)+1),155))&lt;&gt;"",INDEX('Work Items'!$S$6:$S$5000,SMALL(IF('Work Items'!$A$6:$A$5000="Risk",ROW('Work Items'!$A$6:$A$5000)-ROW('Work Items'!$A$6)+1),155))&lt;&gt;""),INDEX('Work Items'!$R$6:$R$5000,SMALL(IF('Work Items'!$A$6:$A$5000="Risk",ROW('Work Items'!$A$6:$A$5000)-ROW('Work Items'!$A$6)+1),155))*INDEX('Work Items'!$S$6:$S$5000,SMALL(IF('Work Items'!$A$6:$A$5000="Risk",ROW('Work Items'!$A$6:$A$5000)-ROW('Work Items'!$A$6)+1),155)),INDEX('Work Items'!$U$6:$U$5000,SMALL(IF('Work Items'!$A$6:$A$5000="Risk",ROW('Work Items'!$A$6:$A$5000)-ROW('Work Items'!$A$6)+1),155))),"")</f>
        <v/>
      </c>
      <c r="L159" s="217">
        <f t="array" ref="L159">IFERROR(INDEX('Work Items'!$Q$6:$Q$5000,SMALL(IF('Work Items'!$A$6:$A$5000="Risk",ROW('Work Items'!$A$6:$A$5000)-ROW('Work Items'!$A$6)+1),155)),"")</f>
        <v/>
      </c>
      <c r="M159">
        <f t="array" ref="M159">IFERROR(INDEX('Work Items'!$T$6:$T$5000,SMALL(IF('Work Items'!$A$6:$A$5000="Risk",ROW('Work Items'!$A$6:$A$5000)-ROW('Work Items'!$A$6)+1),155)),"")</f>
        <v/>
      </c>
    </row>
    <row r="160">
      <c r="A160">
        <f t="array" ref="A160">IFERROR(INDEX('Work Items'!$A$6:$A$5000,SMALL(IF('Work Items'!$A$6:$A$5000="Risk",ROW('Work Items'!$A$6:$A$5000)-ROW('Work Items'!$A$6)+1),156)),"")</f>
        <v/>
      </c>
      <c r="B160">
        <f t="array" ref="B160">IFERROR(INDEX('Work Items'!$B$6:$B$5000,SMALL(IF('Work Items'!$A$6:$A$5000="Risk",ROW('Work Items'!$A$6:$A$5000)-ROW('Work Items'!$A$6)+1),156)),"")</f>
        <v/>
      </c>
      <c r="C160">
        <f>IF(E160="","",IFERROR(INDEX('Projects Master'!$A:$A,MATCH(E160,'Projects Master'!$B:$B,0)),"OrgRisk"))</f>
        <v/>
      </c>
      <c r="D160">
        <f t="array" ref="D160">IFERROR(INDEX('Work Items'!$C$6:$C$5000,SMALL(IF('Work Items'!$A$6:$A$5000="Risk",ROW('Work Items'!$A$6:$A$5000)-ROW('Work Items'!$A$6)+1),156)),"")</f>
        <v/>
      </c>
      <c r="E160">
        <f t="array" ref="E160">IFERROR(INDEX('Work Items'!$D$6:$D$5000,SMALL(IF('Work Items'!$A$6:$A$5000="Risk",ROW('Work Items'!$A$6:$A$5000)-ROW('Work Items'!$A$6)+1),156)),"")</f>
        <v/>
      </c>
      <c r="F160">
        <f t="array" ref="F160">IFERROR(INDEX('Work Items'!$E$6:$E$5000,SMALL(IF('Work Items'!$A$6:$A$5000="Risk",ROW('Work Items'!$A$6:$A$5000)-ROW('Work Items'!$A$6)+1),156)),"")</f>
        <v/>
      </c>
      <c r="G160">
        <f t="array" ref="G160">IFERROR(INDEX('Work Items'!$F$6:$F$5000,SMALL(IF('Work Items'!$A$6:$A$5000="Risk",ROW('Work Items'!$A$6:$A$5000)-ROW('Work Items'!$A$6)+1),156)),"")</f>
        <v/>
      </c>
      <c r="H160">
        <f t="array" ref="H160">IFERROR(INDEX('Work Items'!$J$6:$J$5000,SMALL(IF('Work Items'!$A$6:$A$5000="Risk",ROW('Work Items'!$A$6:$A$5000)-ROW('Work Items'!$A$6)+1),156)),"")</f>
        <v/>
      </c>
      <c r="I160">
        <f t="array" ref="I160">IFERROR(INDEX('Work Items'!$K$6:$K$5000,SMALL(IF('Work Items'!$A$6:$A$5000="Risk",ROW('Work Items'!$A$6:$A$5000)-ROW('Work Items'!$A$6)+1),156)),"")</f>
        <v/>
      </c>
      <c r="J160">
        <f t="array" ref="J160">IFERROR(INDEX('Work Items'!$L$6:$L$5000,SMALL(IF('Work Items'!$A$6:$A$5000="Risk",ROW('Work Items'!$A$6:$A$5000)-ROW('Work Items'!$A$6)+1),156)),"")</f>
        <v/>
      </c>
      <c r="K160">
        <f t="array" ref="K160">IFERROR(IF(AND(INDEX('Work Items'!$R$6:$R$5000,SMALL(IF('Work Items'!$A$6:$A$5000="Risk",ROW('Work Items'!$A$6:$A$5000)-ROW('Work Items'!$A$6)+1),156))&lt;&gt;"",INDEX('Work Items'!$S$6:$S$5000,SMALL(IF('Work Items'!$A$6:$A$5000="Risk",ROW('Work Items'!$A$6:$A$5000)-ROW('Work Items'!$A$6)+1),156))&lt;&gt;""),INDEX('Work Items'!$R$6:$R$5000,SMALL(IF('Work Items'!$A$6:$A$5000="Risk",ROW('Work Items'!$A$6:$A$5000)-ROW('Work Items'!$A$6)+1),156))*INDEX('Work Items'!$S$6:$S$5000,SMALL(IF('Work Items'!$A$6:$A$5000="Risk",ROW('Work Items'!$A$6:$A$5000)-ROW('Work Items'!$A$6)+1),156)),INDEX('Work Items'!$U$6:$U$5000,SMALL(IF('Work Items'!$A$6:$A$5000="Risk",ROW('Work Items'!$A$6:$A$5000)-ROW('Work Items'!$A$6)+1),156))),"")</f>
        <v/>
      </c>
      <c r="L160" s="217">
        <f t="array" ref="L160">IFERROR(INDEX('Work Items'!$Q$6:$Q$5000,SMALL(IF('Work Items'!$A$6:$A$5000="Risk",ROW('Work Items'!$A$6:$A$5000)-ROW('Work Items'!$A$6)+1),156)),"")</f>
        <v/>
      </c>
      <c r="M160">
        <f t="array" ref="M160">IFERROR(INDEX('Work Items'!$T$6:$T$5000,SMALL(IF('Work Items'!$A$6:$A$5000="Risk",ROW('Work Items'!$A$6:$A$5000)-ROW('Work Items'!$A$6)+1),156)),"")</f>
        <v/>
      </c>
    </row>
    <row r="161">
      <c r="A161">
        <f t="array" ref="A161">IFERROR(INDEX('Work Items'!$A$6:$A$5000,SMALL(IF('Work Items'!$A$6:$A$5000="Risk",ROW('Work Items'!$A$6:$A$5000)-ROW('Work Items'!$A$6)+1),157)),"")</f>
        <v/>
      </c>
      <c r="B161">
        <f t="array" ref="B161">IFERROR(INDEX('Work Items'!$B$6:$B$5000,SMALL(IF('Work Items'!$A$6:$A$5000="Risk",ROW('Work Items'!$A$6:$A$5000)-ROW('Work Items'!$A$6)+1),157)),"")</f>
        <v/>
      </c>
      <c r="C161">
        <f>IF(E161="","",IFERROR(INDEX('Projects Master'!$A:$A,MATCH(E161,'Projects Master'!$B:$B,0)),"OrgRisk"))</f>
        <v/>
      </c>
      <c r="D161">
        <f t="array" ref="D161">IFERROR(INDEX('Work Items'!$C$6:$C$5000,SMALL(IF('Work Items'!$A$6:$A$5000="Risk",ROW('Work Items'!$A$6:$A$5000)-ROW('Work Items'!$A$6)+1),157)),"")</f>
        <v/>
      </c>
      <c r="E161">
        <f t="array" ref="E161">IFERROR(INDEX('Work Items'!$D$6:$D$5000,SMALL(IF('Work Items'!$A$6:$A$5000="Risk",ROW('Work Items'!$A$6:$A$5000)-ROW('Work Items'!$A$6)+1),157)),"")</f>
        <v/>
      </c>
      <c r="F161">
        <f t="array" ref="F161">IFERROR(INDEX('Work Items'!$E$6:$E$5000,SMALL(IF('Work Items'!$A$6:$A$5000="Risk",ROW('Work Items'!$A$6:$A$5000)-ROW('Work Items'!$A$6)+1),157)),"")</f>
        <v/>
      </c>
      <c r="G161">
        <f t="array" ref="G161">IFERROR(INDEX('Work Items'!$F$6:$F$5000,SMALL(IF('Work Items'!$A$6:$A$5000="Risk",ROW('Work Items'!$A$6:$A$5000)-ROW('Work Items'!$A$6)+1),157)),"")</f>
        <v/>
      </c>
      <c r="H161">
        <f t="array" ref="H161">IFERROR(INDEX('Work Items'!$J$6:$J$5000,SMALL(IF('Work Items'!$A$6:$A$5000="Risk",ROW('Work Items'!$A$6:$A$5000)-ROW('Work Items'!$A$6)+1),157)),"")</f>
        <v/>
      </c>
      <c r="I161">
        <f t="array" ref="I161">IFERROR(INDEX('Work Items'!$K$6:$K$5000,SMALL(IF('Work Items'!$A$6:$A$5000="Risk",ROW('Work Items'!$A$6:$A$5000)-ROW('Work Items'!$A$6)+1),157)),"")</f>
        <v/>
      </c>
      <c r="J161">
        <f t="array" ref="J161">IFERROR(INDEX('Work Items'!$L$6:$L$5000,SMALL(IF('Work Items'!$A$6:$A$5000="Risk",ROW('Work Items'!$A$6:$A$5000)-ROW('Work Items'!$A$6)+1),157)),"")</f>
        <v/>
      </c>
      <c r="K161">
        <f t="array" ref="K161">IFERROR(IF(AND(INDEX('Work Items'!$R$6:$R$5000,SMALL(IF('Work Items'!$A$6:$A$5000="Risk",ROW('Work Items'!$A$6:$A$5000)-ROW('Work Items'!$A$6)+1),157))&lt;&gt;"",INDEX('Work Items'!$S$6:$S$5000,SMALL(IF('Work Items'!$A$6:$A$5000="Risk",ROW('Work Items'!$A$6:$A$5000)-ROW('Work Items'!$A$6)+1),157))&lt;&gt;""),INDEX('Work Items'!$R$6:$R$5000,SMALL(IF('Work Items'!$A$6:$A$5000="Risk",ROW('Work Items'!$A$6:$A$5000)-ROW('Work Items'!$A$6)+1),157))*INDEX('Work Items'!$S$6:$S$5000,SMALL(IF('Work Items'!$A$6:$A$5000="Risk",ROW('Work Items'!$A$6:$A$5000)-ROW('Work Items'!$A$6)+1),157)),INDEX('Work Items'!$U$6:$U$5000,SMALL(IF('Work Items'!$A$6:$A$5000="Risk",ROW('Work Items'!$A$6:$A$5000)-ROW('Work Items'!$A$6)+1),157))),"")</f>
        <v/>
      </c>
      <c r="L161" s="217">
        <f t="array" ref="L161">IFERROR(INDEX('Work Items'!$Q$6:$Q$5000,SMALL(IF('Work Items'!$A$6:$A$5000="Risk",ROW('Work Items'!$A$6:$A$5000)-ROW('Work Items'!$A$6)+1),157)),"")</f>
        <v/>
      </c>
      <c r="M161">
        <f t="array" ref="M161">IFERROR(INDEX('Work Items'!$T$6:$T$5000,SMALL(IF('Work Items'!$A$6:$A$5000="Risk",ROW('Work Items'!$A$6:$A$5000)-ROW('Work Items'!$A$6)+1),157)),"")</f>
        <v/>
      </c>
    </row>
    <row r="162">
      <c r="A162">
        <f t="array" ref="A162">IFERROR(INDEX('Work Items'!$A$6:$A$5000,SMALL(IF('Work Items'!$A$6:$A$5000="Risk",ROW('Work Items'!$A$6:$A$5000)-ROW('Work Items'!$A$6)+1),158)),"")</f>
        <v/>
      </c>
      <c r="B162">
        <f t="array" ref="B162">IFERROR(INDEX('Work Items'!$B$6:$B$5000,SMALL(IF('Work Items'!$A$6:$A$5000="Risk",ROW('Work Items'!$A$6:$A$5000)-ROW('Work Items'!$A$6)+1),158)),"")</f>
        <v/>
      </c>
      <c r="C162">
        <f>IF(E162="","",IFERROR(INDEX('Projects Master'!$A:$A,MATCH(E162,'Projects Master'!$B:$B,0)),"OrgRisk"))</f>
        <v/>
      </c>
      <c r="D162">
        <f t="array" ref="D162">IFERROR(INDEX('Work Items'!$C$6:$C$5000,SMALL(IF('Work Items'!$A$6:$A$5000="Risk",ROW('Work Items'!$A$6:$A$5000)-ROW('Work Items'!$A$6)+1),158)),"")</f>
        <v/>
      </c>
      <c r="E162">
        <f t="array" ref="E162">IFERROR(INDEX('Work Items'!$D$6:$D$5000,SMALL(IF('Work Items'!$A$6:$A$5000="Risk",ROW('Work Items'!$A$6:$A$5000)-ROW('Work Items'!$A$6)+1),158)),"")</f>
        <v/>
      </c>
      <c r="F162">
        <f t="array" ref="F162">IFERROR(INDEX('Work Items'!$E$6:$E$5000,SMALL(IF('Work Items'!$A$6:$A$5000="Risk",ROW('Work Items'!$A$6:$A$5000)-ROW('Work Items'!$A$6)+1),158)),"")</f>
        <v/>
      </c>
      <c r="G162">
        <f t="array" ref="G162">IFERROR(INDEX('Work Items'!$F$6:$F$5000,SMALL(IF('Work Items'!$A$6:$A$5000="Risk",ROW('Work Items'!$A$6:$A$5000)-ROW('Work Items'!$A$6)+1),158)),"")</f>
        <v/>
      </c>
      <c r="H162">
        <f t="array" ref="H162">IFERROR(INDEX('Work Items'!$J$6:$J$5000,SMALL(IF('Work Items'!$A$6:$A$5000="Risk",ROW('Work Items'!$A$6:$A$5000)-ROW('Work Items'!$A$6)+1),158)),"")</f>
        <v/>
      </c>
      <c r="I162">
        <f t="array" ref="I162">IFERROR(INDEX('Work Items'!$K$6:$K$5000,SMALL(IF('Work Items'!$A$6:$A$5000="Risk",ROW('Work Items'!$A$6:$A$5000)-ROW('Work Items'!$A$6)+1),158)),"")</f>
        <v/>
      </c>
      <c r="J162">
        <f t="array" ref="J162">IFERROR(INDEX('Work Items'!$L$6:$L$5000,SMALL(IF('Work Items'!$A$6:$A$5000="Risk",ROW('Work Items'!$A$6:$A$5000)-ROW('Work Items'!$A$6)+1),158)),"")</f>
        <v/>
      </c>
      <c r="K162">
        <f t="array" ref="K162">IFERROR(IF(AND(INDEX('Work Items'!$R$6:$R$5000,SMALL(IF('Work Items'!$A$6:$A$5000="Risk",ROW('Work Items'!$A$6:$A$5000)-ROW('Work Items'!$A$6)+1),158))&lt;&gt;"",INDEX('Work Items'!$S$6:$S$5000,SMALL(IF('Work Items'!$A$6:$A$5000="Risk",ROW('Work Items'!$A$6:$A$5000)-ROW('Work Items'!$A$6)+1),158))&lt;&gt;""),INDEX('Work Items'!$R$6:$R$5000,SMALL(IF('Work Items'!$A$6:$A$5000="Risk",ROW('Work Items'!$A$6:$A$5000)-ROW('Work Items'!$A$6)+1),158))*INDEX('Work Items'!$S$6:$S$5000,SMALL(IF('Work Items'!$A$6:$A$5000="Risk",ROW('Work Items'!$A$6:$A$5000)-ROW('Work Items'!$A$6)+1),158)),INDEX('Work Items'!$U$6:$U$5000,SMALL(IF('Work Items'!$A$6:$A$5000="Risk",ROW('Work Items'!$A$6:$A$5000)-ROW('Work Items'!$A$6)+1),158))),"")</f>
        <v/>
      </c>
      <c r="L162" s="217">
        <f t="array" ref="L162">IFERROR(INDEX('Work Items'!$Q$6:$Q$5000,SMALL(IF('Work Items'!$A$6:$A$5000="Risk",ROW('Work Items'!$A$6:$A$5000)-ROW('Work Items'!$A$6)+1),158)),"")</f>
        <v/>
      </c>
      <c r="M162">
        <f t="array" ref="M162">IFERROR(INDEX('Work Items'!$T$6:$T$5000,SMALL(IF('Work Items'!$A$6:$A$5000="Risk",ROW('Work Items'!$A$6:$A$5000)-ROW('Work Items'!$A$6)+1),158)),"")</f>
        <v/>
      </c>
    </row>
    <row r="163">
      <c r="A163">
        <f t="array" ref="A163">IFERROR(INDEX('Work Items'!$A$6:$A$5000,SMALL(IF('Work Items'!$A$6:$A$5000="Risk",ROW('Work Items'!$A$6:$A$5000)-ROW('Work Items'!$A$6)+1),159)),"")</f>
        <v/>
      </c>
      <c r="B163">
        <f t="array" ref="B163">IFERROR(INDEX('Work Items'!$B$6:$B$5000,SMALL(IF('Work Items'!$A$6:$A$5000="Risk",ROW('Work Items'!$A$6:$A$5000)-ROW('Work Items'!$A$6)+1),159)),"")</f>
        <v/>
      </c>
      <c r="C163">
        <f>IF(E163="","",IFERROR(INDEX('Projects Master'!$A:$A,MATCH(E163,'Projects Master'!$B:$B,0)),"OrgRisk"))</f>
        <v/>
      </c>
      <c r="D163">
        <f t="array" ref="D163">IFERROR(INDEX('Work Items'!$C$6:$C$5000,SMALL(IF('Work Items'!$A$6:$A$5000="Risk",ROW('Work Items'!$A$6:$A$5000)-ROW('Work Items'!$A$6)+1),159)),"")</f>
        <v/>
      </c>
      <c r="E163">
        <f t="array" ref="E163">IFERROR(INDEX('Work Items'!$D$6:$D$5000,SMALL(IF('Work Items'!$A$6:$A$5000="Risk",ROW('Work Items'!$A$6:$A$5000)-ROW('Work Items'!$A$6)+1),159)),"")</f>
        <v/>
      </c>
      <c r="F163">
        <f t="array" ref="F163">IFERROR(INDEX('Work Items'!$E$6:$E$5000,SMALL(IF('Work Items'!$A$6:$A$5000="Risk",ROW('Work Items'!$A$6:$A$5000)-ROW('Work Items'!$A$6)+1),159)),"")</f>
        <v/>
      </c>
      <c r="G163">
        <f t="array" ref="G163">IFERROR(INDEX('Work Items'!$F$6:$F$5000,SMALL(IF('Work Items'!$A$6:$A$5000="Risk",ROW('Work Items'!$A$6:$A$5000)-ROW('Work Items'!$A$6)+1),159)),"")</f>
        <v/>
      </c>
      <c r="H163">
        <f t="array" ref="H163">IFERROR(INDEX('Work Items'!$J$6:$J$5000,SMALL(IF('Work Items'!$A$6:$A$5000="Risk",ROW('Work Items'!$A$6:$A$5000)-ROW('Work Items'!$A$6)+1),159)),"")</f>
        <v/>
      </c>
      <c r="I163">
        <f t="array" ref="I163">IFERROR(INDEX('Work Items'!$K$6:$K$5000,SMALL(IF('Work Items'!$A$6:$A$5000="Risk",ROW('Work Items'!$A$6:$A$5000)-ROW('Work Items'!$A$6)+1),159)),"")</f>
        <v/>
      </c>
      <c r="J163">
        <f t="array" ref="J163">IFERROR(INDEX('Work Items'!$L$6:$L$5000,SMALL(IF('Work Items'!$A$6:$A$5000="Risk",ROW('Work Items'!$A$6:$A$5000)-ROW('Work Items'!$A$6)+1),159)),"")</f>
        <v/>
      </c>
      <c r="K163">
        <f t="array" ref="K163">IFERROR(IF(AND(INDEX('Work Items'!$R$6:$R$5000,SMALL(IF('Work Items'!$A$6:$A$5000="Risk",ROW('Work Items'!$A$6:$A$5000)-ROW('Work Items'!$A$6)+1),159))&lt;&gt;"",INDEX('Work Items'!$S$6:$S$5000,SMALL(IF('Work Items'!$A$6:$A$5000="Risk",ROW('Work Items'!$A$6:$A$5000)-ROW('Work Items'!$A$6)+1),159))&lt;&gt;""),INDEX('Work Items'!$R$6:$R$5000,SMALL(IF('Work Items'!$A$6:$A$5000="Risk",ROW('Work Items'!$A$6:$A$5000)-ROW('Work Items'!$A$6)+1),159))*INDEX('Work Items'!$S$6:$S$5000,SMALL(IF('Work Items'!$A$6:$A$5000="Risk",ROW('Work Items'!$A$6:$A$5000)-ROW('Work Items'!$A$6)+1),159)),INDEX('Work Items'!$U$6:$U$5000,SMALL(IF('Work Items'!$A$6:$A$5000="Risk",ROW('Work Items'!$A$6:$A$5000)-ROW('Work Items'!$A$6)+1),159))),"")</f>
        <v/>
      </c>
      <c r="L163" s="217">
        <f t="array" ref="L163">IFERROR(INDEX('Work Items'!$Q$6:$Q$5000,SMALL(IF('Work Items'!$A$6:$A$5000="Risk",ROW('Work Items'!$A$6:$A$5000)-ROW('Work Items'!$A$6)+1),159)),"")</f>
        <v/>
      </c>
      <c r="M163">
        <f t="array" ref="M163">IFERROR(INDEX('Work Items'!$T$6:$T$5000,SMALL(IF('Work Items'!$A$6:$A$5000="Risk",ROW('Work Items'!$A$6:$A$5000)-ROW('Work Items'!$A$6)+1),159)),"")</f>
        <v/>
      </c>
    </row>
    <row r="164">
      <c r="A164">
        <f t="array" ref="A164">IFERROR(INDEX('Work Items'!$A$6:$A$5000,SMALL(IF('Work Items'!$A$6:$A$5000="Risk",ROW('Work Items'!$A$6:$A$5000)-ROW('Work Items'!$A$6)+1),160)),"")</f>
        <v/>
      </c>
      <c r="B164">
        <f t="array" ref="B164">IFERROR(INDEX('Work Items'!$B$6:$B$5000,SMALL(IF('Work Items'!$A$6:$A$5000="Risk",ROW('Work Items'!$A$6:$A$5000)-ROW('Work Items'!$A$6)+1),160)),"")</f>
        <v/>
      </c>
      <c r="C164">
        <f>IF(E164="","",IFERROR(INDEX('Projects Master'!$A:$A,MATCH(E164,'Projects Master'!$B:$B,0)),"OrgRisk"))</f>
        <v/>
      </c>
      <c r="D164">
        <f t="array" ref="D164">IFERROR(INDEX('Work Items'!$C$6:$C$5000,SMALL(IF('Work Items'!$A$6:$A$5000="Risk",ROW('Work Items'!$A$6:$A$5000)-ROW('Work Items'!$A$6)+1),160)),"")</f>
        <v/>
      </c>
      <c r="E164">
        <f t="array" ref="E164">IFERROR(INDEX('Work Items'!$D$6:$D$5000,SMALL(IF('Work Items'!$A$6:$A$5000="Risk",ROW('Work Items'!$A$6:$A$5000)-ROW('Work Items'!$A$6)+1),160)),"")</f>
        <v/>
      </c>
      <c r="F164">
        <f t="array" ref="F164">IFERROR(INDEX('Work Items'!$E$6:$E$5000,SMALL(IF('Work Items'!$A$6:$A$5000="Risk",ROW('Work Items'!$A$6:$A$5000)-ROW('Work Items'!$A$6)+1),160)),"")</f>
        <v/>
      </c>
      <c r="G164">
        <f t="array" ref="G164">IFERROR(INDEX('Work Items'!$F$6:$F$5000,SMALL(IF('Work Items'!$A$6:$A$5000="Risk",ROW('Work Items'!$A$6:$A$5000)-ROW('Work Items'!$A$6)+1),160)),"")</f>
        <v/>
      </c>
      <c r="H164">
        <f t="array" ref="H164">IFERROR(INDEX('Work Items'!$J$6:$J$5000,SMALL(IF('Work Items'!$A$6:$A$5000="Risk",ROW('Work Items'!$A$6:$A$5000)-ROW('Work Items'!$A$6)+1),160)),"")</f>
        <v/>
      </c>
      <c r="I164">
        <f t="array" ref="I164">IFERROR(INDEX('Work Items'!$K$6:$K$5000,SMALL(IF('Work Items'!$A$6:$A$5000="Risk",ROW('Work Items'!$A$6:$A$5000)-ROW('Work Items'!$A$6)+1),160)),"")</f>
        <v/>
      </c>
      <c r="J164">
        <f t="array" ref="J164">IFERROR(INDEX('Work Items'!$L$6:$L$5000,SMALL(IF('Work Items'!$A$6:$A$5000="Risk",ROW('Work Items'!$A$6:$A$5000)-ROW('Work Items'!$A$6)+1),160)),"")</f>
        <v/>
      </c>
      <c r="K164">
        <f t="array" ref="K164">IFERROR(IF(AND(INDEX('Work Items'!$R$6:$R$5000,SMALL(IF('Work Items'!$A$6:$A$5000="Risk",ROW('Work Items'!$A$6:$A$5000)-ROW('Work Items'!$A$6)+1),160))&lt;&gt;"",INDEX('Work Items'!$S$6:$S$5000,SMALL(IF('Work Items'!$A$6:$A$5000="Risk",ROW('Work Items'!$A$6:$A$5000)-ROW('Work Items'!$A$6)+1),160))&lt;&gt;""),INDEX('Work Items'!$R$6:$R$5000,SMALL(IF('Work Items'!$A$6:$A$5000="Risk",ROW('Work Items'!$A$6:$A$5000)-ROW('Work Items'!$A$6)+1),160))*INDEX('Work Items'!$S$6:$S$5000,SMALL(IF('Work Items'!$A$6:$A$5000="Risk",ROW('Work Items'!$A$6:$A$5000)-ROW('Work Items'!$A$6)+1),160)),INDEX('Work Items'!$U$6:$U$5000,SMALL(IF('Work Items'!$A$6:$A$5000="Risk",ROW('Work Items'!$A$6:$A$5000)-ROW('Work Items'!$A$6)+1),160))),"")</f>
        <v/>
      </c>
      <c r="L164" s="217">
        <f t="array" ref="L164">IFERROR(INDEX('Work Items'!$Q$6:$Q$5000,SMALL(IF('Work Items'!$A$6:$A$5000="Risk",ROW('Work Items'!$A$6:$A$5000)-ROW('Work Items'!$A$6)+1),160)),"")</f>
        <v/>
      </c>
      <c r="M164">
        <f t="array" ref="M164">IFERROR(INDEX('Work Items'!$T$6:$T$5000,SMALL(IF('Work Items'!$A$6:$A$5000="Risk",ROW('Work Items'!$A$6:$A$5000)-ROW('Work Items'!$A$6)+1),160)),"")</f>
        <v/>
      </c>
    </row>
    <row r="165">
      <c r="A165">
        <f t="array" ref="A165">IFERROR(INDEX('Work Items'!$A$6:$A$5000,SMALL(IF('Work Items'!$A$6:$A$5000="Risk",ROW('Work Items'!$A$6:$A$5000)-ROW('Work Items'!$A$6)+1),161)),"")</f>
        <v/>
      </c>
      <c r="B165">
        <f t="array" ref="B165">IFERROR(INDEX('Work Items'!$B$6:$B$5000,SMALL(IF('Work Items'!$A$6:$A$5000="Risk",ROW('Work Items'!$A$6:$A$5000)-ROW('Work Items'!$A$6)+1),161)),"")</f>
        <v/>
      </c>
      <c r="C165">
        <f>IF(E165="","",IFERROR(INDEX('Projects Master'!$A:$A,MATCH(E165,'Projects Master'!$B:$B,0)),"OrgRisk"))</f>
        <v/>
      </c>
      <c r="D165">
        <f t="array" ref="D165">IFERROR(INDEX('Work Items'!$C$6:$C$5000,SMALL(IF('Work Items'!$A$6:$A$5000="Risk",ROW('Work Items'!$A$6:$A$5000)-ROW('Work Items'!$A$6)+1),161)),"")</f>
        <v/>
      </c>
      <c r="E165">
        <f t="array" ref="E165">IFERROR(INDEX('Work Items'!$D$6:$D$5000,SMALL(IF('Work Items'!$A$6:$A$5000="Risk",ROW('Work Items'!$A$6:$A$5000)-ROW('Work Items'!$A$6)+1),161)),"")</f>
        <v/>
      </c>
      <c r="F165">
        <f t="array" ref="F165">IFERROR(INDEX('Work Items'!$E$6:$E$5000,SMALL(IF('Work Items'!$A$6:$A$5000="Risk",ROW('Work Items'!$A$6:$A$5000)-ROW('Work Items'!$A$6)+1),161)),"")</f>
        <v/>
      </c>
      <c r="G165">
        <f t="array" ref="G165">IFERROR(INDEX('Work Items'!$F$6:$F$5000,SMALL(IF('Work Items'!$A$6:$A$5000="Risk",ROW('Work Items'!$A$6:$A$5000)-ROW('Work Items'!$A$6)+1),161)),"")</f>
        <v/>
      </c>
      <c r="H165">
        <f t="array" ref="H165">IFERROR(INDEX('Work Items'!$J$6:$J$5000,SMALL(IF('Work Items'!$A$6:$A$5000="Risk",ROW('Work Items'!$A$6:$A$5000)-ROW('Work Items'!$A$6)+1),161)),"")</f>
        <v/>
      </c>
      <c r="I165">
        <f t="array" ref="I165">IFERROR(INDEX('Work Items'!$K$6:$K$5000,SMALL(IF('Work Items'!$A$6:$A$5000="Risk",ROW('Work Items'!$A$6:$A$5000)-ROW('Work Items'!$A$6)+1),161)),"")</f>
        <v/>
      </c>
      <c r="J165">
        <f t="array" ref="J165">IFERROR(INDEX('Work Items'!$L$6:$L$5000,SMALL(IF('Work Items'!$A$6:$A$5000="Risk",ROW('Work Items'!$A$6:$A$5000)-ROW('Work Items'!$A$6)+1),161)),"")</f>
        <v/>
      </c>
      <c r="K165">
        <f t="array" ref="K165">IFERROR(IF(AND(INDEX('Work Items'!$R$6:$R$5000,SMALL(IF('Work Items'!$A$6:$A$5000="Risk",ROW('Work Items'!$A$6:$A$5000)-ROW('Work Items'!$A$6)+1),161))&lt;&gt;"",INDEX('Work Items'!$S$6:$S$5000,SMALL(IF('Work Items'!$A$6:$A$5000="Risk",ROW('Work Items'!$A$6:$A$5000)-ROW('Work Items'!$A$6)+1),161))&lt;&gt;""),INDEX('Work Items'!$R$6:$R$5000,SMALL(IF('Work Items'!$A$6:$A$5000="Risk",ROW('Work Items'!$A$6:$A$5000)-ROW('Work Items'!$A$6)+1),161))*INDEX('Work Items'!$S$6:$S$5000,SMALL(IF('Work Items'!$A$6:$A$5000="Risk",ROW('Work Items'!$A$6:$A$5000)-ROW('Work Items'!$A$6)+1),161)),INDEX('Work Items'!$U$6:$U$5000,SMALL(IF('Work Items'!$A$6:$A$5000="Risk",ROW('Work Items'!$A$6:$A$5000)-ROW('Work Items'!$A$6)+1),161))),"")</f>
        <v/>
      </c>
      <c r="L165" s="217">
        <f t="array" ref="L165">IFERROR(INDEX('Work Items'!$Q$6:$Q$5000,SMALL(IF('Work Items'!$A$6:$A$5000="Risk",ROW('Work Items'!$A$6:$A$5000)-ROW('Work Items'!$A$6)+1),161)),"")</f>
        <v/>
      </c>
      <c r="M165">
        <f t="array" ref="M165">IFERROR(INDEX('Work Items'!$T$6:$T$5000,SMALL(IF('Work Items'!$A$6:$A$5000="Risk",ROW('Work Items'!$A$6:$A$5000)-ROW('Work Items'!$A$6)+1),161)),"")</f>
        <v/>
      </c>
    </row>
    <row r="166">
      <c r="A166">
        <f t="array" ref="A166">IFERROR(INDEX('Work Items'!$A$6:$A$5000,SMALL(IF('Work Items'!$A$6:$A$5000="Risk",ROW('Work Items'!$A$6:$A$5000)-ROW('Work Items'!$A$6)+1),162)),"")</f>
        <v/>
      </c>
      <c r="B166">
        <f t="array" ref="B166">IFERROR(INDEX('Work Items'!$B$6:$B$5000,SMALL(IF('Work Items'!$A$6:$A$5000="Risk",ROW('Work Items'!$A$6:$A$5000)-ROW('Work Items'!$A$6)+1),162)),"")</f>
        <v/>
      </c>
      <c r="C166">
        <f>IF(E166="","",IFERROR(INDEX('Projects Master'!$A:$A,MATCH(E166,'Projects Master'!$B:$B,0)),"OrgRisk"))</f>
        <v/>
      </c>
      <c r="D166">
        <f t="array" ref="D166">IFERROR(INDEX('Work Items'!$C$6:$C$5000,SMALL(IF('Work Items'!$A$6:$A$5000="Risk",ROW('Work Items'!$A$6:$A$5000)-ROW('Work Items'!$A$6)+1),162)),"")</f>
        <v/>
      </c>
      <c r="E166">
        <f t="array" ref="E166">IFERROR(INDEX('Work Items'!$D$6:$D$5000,SMALL(IF('Work Items'!$A$6:$A$5000="Risk",ROW('Work Items'!$A$6:$A$5000)-ROW('Work Items'!$A$6)+1),162)),"")</f>
        <v/>
      </c>
      <c r="F166">
        <f t="array" ref="F166">IFERROR(INDEX('Work Items'!$E$6:$E$5000,SMALL(IF('Work Items'!$A$6:$A$5000="Risk",ROW('Work Items'!$A$6:$A$5000)-ROW('Work Items'!$A$6)+1),162)),"")</f>
        <v/>
      </c>
      <c r="G166">
        <f t="array" ref="G166">IFERROR(INDEX('Work Items'!$F$6:$F$5000,SMALL(IF('Work Items'!$A$6:$A$5000="Risk",ROW('Work Items'!$A$6:$A$5000)-ROW('Work Items'!$A$6)+1),162)),"")</f>
        <v/>
      </c>
      <c r="H166">
        <f t="array" ref="H166">IFERROR(INDEX('Work Items'!$J$6:$J$5000,SMALL(IF('Work Items'!$A$6:$A$5000="Risk",ROW('Work Items'!$A$6:$A$5000)-ROW('Work Items'!$A$6)+1),162)),"")</f>
        <v/>
      </c>
      <c r="I166">
        <f t="array" ref="I166">IFERROR(INDEX('Work Items'!$K$6:$K$5000,SMALL(IF('Work Items'!$A$6:$A$5000="Risk",ROW('Work Items'!$A$6:$A$5000)-ROW('Work Items'!$A$6)+1),162)),"")</f>
        <v/>
      </c>
      <c r="J166">
        <f t="array" ref="J166">IFERROR(INDEX('Work Items'!$L$6:$L$5000,SMALL(IF('Work Items'!$A$6:$A$5000="Risk",ROW('Work Items'!$A$6:$A$5000)-ROW('Work Items'!$A$6)+1),162)),"")</f>
        <v/>
      </c>
      <c r="K166">
        <f t="array" ref="K166">IFERROR(IF(AND(INDEX('Work Items'!$R$6:$R$5000,SMALL(IF('Work Items'!$A$6:$A$5000="Risk",ROW('Work Items'!$A$6:$A$5000)-ROW('Work Items'!$A$6)+1),162))&lt;&gt;"",INDEX('Work Items'!$S$6:$S$5000,SMALL(IF('Work Items'!$A$6:$A$5000="Risk",ROW('Work Items'!$A$6:$A$5000)-ROW('Work Items'!$A$6)+1),162))&lt;&gt;""),INDEX('Work Items'!$R$6:$R$5000,SMALL(IF('Work Items'!$A$6:$A$5000="Risk",ROW('Work Items'!$A$6:$A$5000)-ROW('Work Items'!$A$6)+1),162))*INDEX('Work Items'!$S$6:$S$5000,SMALL(IF('Work Items'!$A$6:$A$5000="Risk",ROW('Work Items'!$A$6:$A$5000)-ROW('Work Items'!$A$6)+1),162)),INDEX('Work Items'!$U$6:$U$5000,SMALL(IF('Work Items'!$A$6:$A$5000="Risk",ROW('Work Items'!$A$6:$A$5000)-ROW('Work Items'!$A$6)+1),162))),"")</f>
        <v/>
      </c>
      <c r="L166" s="217">
        <f t="array" ref="L166">IFERROR(INDEX('Work Items'!$Q$6:$Q$5000,SMALL(IF('Work Items'!$A$6:$A$5000="Risk",ROW('Work Items'!$A$6:$A$5000)-ROW('Work Items'!$A$6)+1),162)),"")</f>
        <v/>
      </c>
      <c r="M166">
        <f t="array" ref="M166">IFERROR(INDEX('Work Items'!$T$6:$T$5000,SMALL(IF('Work Items'!$A$6:$A$5000="Risk",ROW('Work Items'!$A$6:$A$5000)-ROW('Work Items'!$A$6)+1),162)),"")</f>
        <v/>
      </c>
    </row>
    <row r="167">
      <c r="A167">
        <f t="array" ref="A167">IFERROR(INDEX('Work Items'!$A$6:$A$5000,SMALL(IF('Work Items'!$A$6:$A$5000="Risk",ROW('Work Items'!$A$6:$A$5000)-ROW('Work Items'!$A$6)+1),163)),"")</f>
        <v/>
      </c>
      <c r="B167">
        <f t="array" ref="B167">IFERROR(INDEX('Work Items'!$B$6:$B$5000,SMALL(IF('Work Items'!$A$6:$A$5000="Risk",ROW('Work Items'!$A$6:$A$5000)-ROW('Work Items'!$A$6)+1),163)),"")</f>
        <v/>
      </c>
      <c r="C167">
        <f>IF(E167="","",IFERROR(INDEX('Projects Master'!$A:$A,MATCH(E167,'Projects Master'!$B:$B,0)),"OrgRisk"))</f>
        <v/>
      </c>
      <c r="D167">
        <f t="array" ref="D167">IFERROR(INDEX('Work Items'!$C$6:$C$5000,SMALL(IF('Work Items'!$A$6:$A$5000="Risk",ROW('Work Items'!$A$6:$A$5000)-ROW('Work Items'!$A$6)+1),163)),"")</f>
        <v/>
      </c>
      <c r="E167">
        <f t="array" ref="E167">IFERROR(INDEX('Work Items'!$D$6:$D$5000,SMALL(IF('Work Items'!$A$6:$A$5000="Risk",ROW('Work Items'!$A$6:$A$5000)-ROW('Work Items'!$A$6)+1),163)),"")</f>
        <v/>
      </c>
      <c r="F167">
        <f t="array" ref="F167">IFERROR(INDEX('Work Items'!$E$6:$E$5000,SMALL(IF('Work Items'!$A$6:$A$5000="Risk",ROW('Work Items'!$A$6:$A$5000)-ROW('Work Items'!$A$6)+1),163)),"")</f>
        <v/>
      </c>
      <c r="G167">
        <f t="array" ref="G167">IFERROR(INDEX('Work Items'!$F$6:$F$5000,SMALL(IF('Work Items'!$A$6:$A$5000="Risk",ROW('Work Items'!$A$6:$A$5000)-ROW('Work Items'!$A$6)+1),163)),"")</f>
        <v/>
      </c>
      <c r="H167">
        <f t="array" ref="H167">IFERROR(INDEX('Work Items'!$J$6:$J$5000,SMALL(IF('Work Items'!$A$6:$A$5000="Risk",ROW('Work Items'!$A$6:$A$5000)-ROW('Work Items'!$A$6)+1),163)),"")</f>
        <v/>
      </c>
      <c r="I167">
        <f t="array" ref="I167">IFERROR(INDEX('Work Items'!$K$6:$K$5000,SMALL(IF('Work Items'!$A$6:$A$5000="Risk",ROW('Work Items'!$A$6:$A$5000)-ROW('Work Items'!$A$6)+1),163)),"")</f>
        <v/>
      </c>
      <c r="J167">
        <f t="array" ref="J167">IFERROR(INDEX('Work Items'!$L$6:$L$5000,SMALL(IF('Work Items'!$A$6:$A$5000="Risk",ROW('Work Items'!$A$6:$A$5000)-ROW('Work Items'!$A$6)+1),163)),"")</f>
        <v/>
      </c>
      <c r="K167">
        <f t="array" ref="K167">IFERROR(IF(AND(INDEX('Work Items'!$R$6:$R$5000,SMALL(IF('Work Items'!$A$6:$A$5000="Risk",ROW('Work Items'!$A$6:$A$5000)-ROW('Work Items'!$A$6)+1),163))&lt;&gt;"",INDEX('Work Items'!$S$6:$S$5000,SMALL(IF('Work Items'!$A$6:$A$5000="Risk",ROW('Work Items'!$A$6:$A$5000)-ROW('Work Items'!$A$6)+1),163))&lt;&gt;""),INDEX('Work Items'!$R$6:$R$5000,SMALL(IF('Work Items'!$A$6:$A$5000="Risk",ROW('Work Items'!$A$6:$A$5000)-ROW('Work Items'!$A$6)+1),163))*INDEX('Work Items'!$S$6:$S$5000,SMALL(IF('Work Items'!$A$6:$A$5000="Risk",ROW('Work Items'!$A$6:$A$5000)-ROW('Work Items'!$A$6)+1),163)),INDEX('Work Items'!$U$6:$U$5000,SMALL(IF('Work Items'!$A$6:$A$5000="Risk",ROW('Work Items'!$A$6:$A$5000)-ROW('Work Items'!$A$6)+1),163))),"")</f>
        <v/>
      </c>
      <c r="L167" s="217">
        <f t="array" ref="L167">IFERROR(INDEX('Work Items'!$Q$6:$Q$5000,SMALL(IF('Work Items'!$A$6:$A$5000="Risk",ROW('Work Items'!$A$6:$A$5000)-ROW('Work Items'!$A$6)+1),163)),"")</f>
        <v/>
      </c>
      <c r="M167">
        <f t="array" ref="M167">IFERROR(INDEX('Work Items'!$T$6:$T$5000,SMALL(IF('Work Items'!$A$6:$A$5000="Risk",ROW('Work Items'!$A$6:$A$5000)-ROW('Work Items'!$A$6)+1),163)),"")</f>
        <v/>
      </c>
    </row>
    <row r="168">
      <c r="A168">
        <f t="array" ref="A168">IFERROR(INDEX('Work Items'!$A$6:$A$5000,SMALL(IF('Work Items'!$A$6:$A$5000="Risk",ROW('Work Items'!$A$6:$A$5000)-ROW('Work Items'!$A$6)+1),164)),"")</f>
        <v/>
      </c>
      <c r="B168">
        <f t="array" ref="B168">IFERROR(INDEX('Work Items'!$B$6:$B$5000,SMALL(IF('Work Items'!$A$6:$A$5000="Risk",ROW('Work Items'!$A$6:$A$5000)-ROW('Work Items'!$A$6)+1),164)),"")</f>
        <v/>
      </c>
      <c r="C168">
        <f>IF(E168="","",IFERROR(INDEX('Projects Master'!$A:$A,MATCH(E168,'Projects Master'!$B:$B,0)),"OrgRisk"))</f>
        <v/>
      </c>
      <c r="D168">
        <f t="array" ref="D168">IFERROR(INDEX('Work Items'!$C$6:$C$5000,SMALL(IF('Work Items'!$A$6:$A$5000="Risk",ROW('Work Items'!$A$6:$A$5000)-ROW('Work Items'!$A$6)+1),164)),"")</f>
        <v/>
      </c>
      <c r="E168">
        <f t="array" ref="E168">IFERROR(INDEX('Work Items'!$D$6:$D$5000,SMALL(IF('Work Items'!$A$6:$A$5000="Risk",ROW('Work Items'!$A$6:$A$5000)-ROW('Work Items'!$A$6)+1),164)),"")</f>
        <v/>
      </c>
      <c r="F168">
        <f t="array" ref="F168">IFERROR(INDEX('Work Items'!$E$6:$E$5000,SMALL(IF('Work Items'!$A$6:$A$5000="Risk",ROW('Work Items'!$A$6:$A$5000)-ROW('Work Items'!$A$6)+1),164)),"")</f>
        <v/>
      </c>
      <c r="G168">
        <f t="array" ref="G168">IFERROR(INDEX('Work Items'!$F$6:$F$5000,SMALL(IF('Work Items'!$A$6:$A$5000="Risk",ROW('Work Items'!$A$6:$A$5000)-ROW('Work Items'!$A$6)+1),164)),"")</f>
        <v/>
      </c>
      <c r="H168">
        <f t="array" ref="H168">IFERROR(INDEX('Work Items'!$J$6:$J$5000,SMALL(IF('Work Items'!$A$6:$A$5000="Risk",ROW('Work Items'!$A$6:$A$5000)-ROW('Work Items'!$A$6)+1),164)),"")</f>
        <v/>
      </c>
      <c r="I168">
        <f t="array" ref="I168">IFERROR(INDEX('Work Items'!$K$6:$K$5000,SMALL(IF('Work Items'!$A$6:$A$5000="Risk",ROW('Work Items'!$A$6:$A$5000)-ROW('Work Items'!$A$6)+1),164)),"")</f>
        <v/>
      </c>
      <c r="J168">
        <f t="array" ref="J168">IFERROR(INDEX('Work Items'!$L$6:$L$5000,SMALL(IF('Work Items'!$A$6:$A$5000="Risk",ROW('Work Items'!$A$6:$A$5000)-ROW('Work Items'!$A$6)+1),164)),"")</f>
        <v/>
      </c>
      <c r="K168">
        <f t="array" ref="K168">IFERROR(IF(AND(INDEX('Work Items'!$R$6:$R$5000,SMALL(IF('Work Items'!$A$6:$A$5000="Risk",ROW('Work Items'!$A$6:$A$5000)-ROW('Work Items'!$A$6)+1),164))&lt;&gt;"",INDEX('Work Items'!$S$6:$S$5000,SMALL(IF('Work Items'!$A$6:$A$5000="Risk",ROW('Work Items'!$A$6:$A$5000)-ROW('Work Items'!$A$6)+1),164))&lt;&gt;""),INDEX('Work Items'!$R$6:$R$5000,SMALL(IF('Work Items'!$A$6:$A$5000="Risk",ROW('Work Items'!$A$6:$A$5000)-ROW('Work Items'!$A$6)+1),164))*INDEX('Work Items'!$S$6:$S$5000,SMALL(IF('Work Items'!$A$6:$A$5000="Risk",ROW('Work Items'!$A$6:$A$5000)-ROW('Work Items'!$A$6)+1),164)),INDEX('Work Items'!$U$6:$U$5000,SMALL(IF('Work Items'!$A$6:$A$5000="Risk",ROW('Work Items'!$A$6:$A$5000)-ROW('Work Items'!$A$6)+1),164))),"")</f>
        <v/>
      </c>
      <c r="L168" s="217">
        <f t="array" ref="L168">IFERROR(INDEX('Work Items'!$Q$6:$Q$5000,SMALL(IF('Work Items'!$A$6:$A$5000="Risk",ROW('Work Items'!$A$6:$A$5000)-ROW('Work Items'!$A$6)+1),164)),"")</f>
        <v/>
      </c>
      <c r="M168">
        <f t="array" ref="M168">IFERROR(INDEX('Work Items'!$T$6:$T$5000,SMALL(IF('Work Items'!$A$6:$A$5000="Risk",ROW('Work Items'!$A$6:$A$5000)-ROW('Work Items'!$A$6)+1),164)),"")</f>
        <v/>
      </c>
    </row>
    <row r="169">
      <c r="A169">
        <f t="array" ref="A169">IFERROR(INDEX('Work Items'!$A$6:$A$5000,SMALL(IF('Work Items'!$A$6:$A$5000="Risk",ROW('Work Items'!$A$6:$A$5000)-ROW('Work Items'!$A$6)+1),165)),"")</f>
        <v/>
      </c>
      <c r="B169">
        <f t="array" ref="B169">IFERROR(INDEX('Work Items'!$B$6:$B$5000,SMALL(IF('Work Items'!$A$6:$A$5000="Risk",ROW('Work Items'!$A$6:$A$5000)-ROW('Work Items'!$A$6)+1),165)),"")</f>
        <v/>
      </c>
      <c r="C169">
        <f>IF(E169="","",IFERROR(INDEX('Projects Master'!$A:$A,MATCH(E169,'Projects Master'!$B:$B,0)),"OrgRisk"))</f>
        <v/>
      </c>
      <c r="D169">
        <f t="array" ref="D169">IFERROR(INDEX('Work Items'!$C$6:$C$5000,SMALL(IF('Work Items'!$A$6:$A$5000="Risk",ROW('Work Items'!$A$6:$A$5000)-ROW('Work Items'!$A$6)+1),165)),"")</f>
        <v/>
      </c>
      <c r="E169">
        <f t="array" ref="E169">IFERROR(INDEX('Work Items'!$D$6:$D$5000,SMALL(IF('Work Items'!$A$6:$A$5000="Risk",ROW('Work Items'!$A$6:$A$5000)-ROW('Work Items'!$A$6)+1),165)),"")</f>
        <v/>
      </c>
      <c r="F169">
        <f t="array" ref="F169">IFERROR(INDEX('Work Items'!$E$6:$E$5000,SMALL(IF('Work Items'!$A$6:$A$5000="Risk",ROW('Work Items'!$A$6:$A$5000)-ROW('Work Items'!$A$6)+1),165)),"")</f>
        <v/>
      </c>
      <c r="G169">
        <f t="array" ref="G169">IFERROR(INDEX('Work Items'!$F$6:$F$5000,SMALL(IF('Work Items'!$A$6:$A$5000="Risk",ROW('Work Items'!$A$6:$A$5000)-ROW('Work Items'!$A$6)+1),165)),"")</f>
        <v/>
      </c>
      <c r="H169">
        <f t="array" ref="H169">IFERROR(INDEX('Work Items'!$J$6:$J$5000,SMALL(IF('Work Items'!$A$6:$A$5000="Risk",ROW('Work Items'!$A$6:$A$5000)-ROW('Work Items'!$A$6)+1),165)),"")</f>
        <v/>
      </c>
      <c r="I169">
        <f t="array" ref="I169">IFERROR(INDEX('Work Items'!$K$6:$K$5000,SMALL(IF('Work Items'!$A$6:$A$5000="Risk",ROW('Work Items'!$A$6:$A$5000)-ROW('Work Items'!$A$6)+1),165)),"")</f>
        <v/>
      </c>
      <c r="J169">
        <f t="array" ref="J169">IFERROR(INDEX('Work Items'!$L$6:$L$5000,SMALL(IF('Work Items'!$A$6:$A$5000="Risk",ROW('Work Items'!$A$6:$A$5000)-ROW('Work Items'!$A$6)+1),165)),"")</f>
        <v/>
      </c>
      <c r="K169">
        <f t="array" ref="K169">IFERROR(IF(AND(INDEX('Work Items'!$R$6:$R$5000,SMALL(IF('Work Items'!$A$6:$A$5000="Risk",ROW('Work Items'!$A$6:$A$5000)-ROW('Work Items'!$A$6)+1),165))&lt;&gt;"",INDEX('Work Items'!$S$6:$S$5000,SMALL(IF('Work Items'!$A$6:$A$5000="Risk",ROW('Work Items'!$A$6:$A$5000)-ROW('Work Items'!$A$6)+1),165))&lt;&gt;""),INDEX('Work Items'!$R$6:$R$5000,SMALL(IF('Work Items'!$A$6:$A$5000="Risk",ROW('Work Items'!$A$6:$A$5000)-ROW('Work Items'!$A$6)+1),165))*INDEX('Work Items'!$S$6:$S$5000,SMALL(IF('Work Items'!$A$6:$A$5000="Risk",ROW('Work Items'!$A$6:$A$5000)-ROW('Work Items'!$A$6)+1),165)),INDEX('Work Items'!$U$6:$U$5000,SMALL(IF('Work Items'!$A$6:$A$5000="Risk",ROW('Work Items'!$A$6:$A$5000)-ROW('Work Items'!$A$6)+1),165))),"")</f>
        <v/>
      </c>
      <c r="L169" s="217">
        <f t="array" ref="L169">IFERROR(INDEX('Work Items'!$Q$6:$Q$5000,SMALL(IF('Work Items'!$A$6:$A$5000="Risk",ROW('Work Items'!$A$6:$A$5000)-ROW('Work Items'!$A$6)+1),165)),"")</f>
        <v/>
      </c>
      <c r="M169">
        <f t="array" ref="M169">IFERROR(INDEX('Work Items'!$T$6:$T$5000,SMALL(IF('Work Items'!$A$6:$A$5000="Risk",ROW('Work Items'!$A$6:$A$5000)-ROW('Work Items'!$A$6)+1),165)),"")</f>
        <v/>
      </c>
    </row>
    <row r="170">
      <c r="A170">
        <f t="array" ref="A170">IFERROR(INDEX('Work Items'!$A$6:$A$5000,SMALL(IF('Work Items'!$A$6:$A$5000="Risk",ROW('Work Items'!$A$6:$A$5000)-ROW('Work Items'!$A$6)+1),166)),"")</f>
        <v/>
      </c>
      <c r="B170">
        <f t="array" ref="B170">IFERROR(INDEX('Work Items'!$B$6:$B$5000,SMALL(IF('Work Items'!$A$6:$A$5000="Risk",ROW('Work Items'!$A$6:$A$5000)-ROW('Work Items'!$A$6)+1),166)),"")</f>
        <v/>
      </c>
      <c r="C170">
        <f>IF(E170="","",IFERROR(INDEX('Projects Master'!$A:$A,MATCH(E170,'Projects Master'!$B:$B,0)),"OrgRisk"))</f>
        <v/>
      </c>
      <c r="D170">
        <f t="array" ref="D170">IFERROR(INDEX('Work Items'!$C$6:$C$5000,SMALL(IF('Work Items'!$A$6:$A$5000="Risk",ROW('Work Items'!$A$6:$A$5000)-ROW('Work Items'!$A$6)+1),166)),"")</f>
        <v/>
      </c>
      <c r="E170">
        <f t="array" ref="E170">IFERROR(INDEX('Work Items'!$D$6:$D$5000,SMALL(IF('Work Items'!$A$6:$A$5000="Risk",ROW('Work Items'!$A$6:$A$5000)-ROW('Work Items'!$A$6)+1),166)),"")</f>
        <v/>
      </c>
      <c r="F170">
        <f t="array" ref="F170">IFERROR(INDEX('Work Items'!$E$6:$E$5000,SMALL(IF('Work Items'!$A$6:$A$5000="Risk",ROW('Work Items'!$A$6:$A$5000)-ROW('Work Items'!$A$6)+1),166)),"")</f>
        <v/>
      </c>
      <c r="G170">
        <f t="array" ref="G170">IFERROR(INDEX('Work Items'!$F$6:$F$5000,SMALL(IF('Work Items'!$A$6:$A$5000="Risk",ROW('Work Items'!$A$6:$A$5000)-ROW('Work Items'!$A$6)+1),166)),"")</f>
        <v/>
      </c>
      <c r="H170">
        <f t="array" ref="H170">IFERROR(INDEX('Work Items'!$J$6:$J$5000,SMALL(IF('Work Items'!$A$6:$A$5000="Risk",ROW('Work Items'!$A$6:$A$5000)-ROW('Work Items'!$A$6)+1),166)),"")</f>
        <v/>
      </c>
      <c r="I170">
        <f t="array" ref="I170">IFERROR(INDEX('Work Items'!$K$6:$K$5000,SMALL(IF('Work Items'!$A$6:$A$5000="Risk",ROW('Work Items'!$A$6:$A$5000)-ROW('Work Items'!$A$6)+1),166)),"")</f>
        <v/>
      </c>
      <c r="J170">
        <f t="array" ref="J170">IFERROR(INDEX('Work Items'!$L$6:$L$5000,SMALL(IF('Work Items'!$A$6:$A$5000="Risk",ROW('Work Items'!$A$6:$A$5000)-ROW('Work Items'!$A$6)+1),166)),"")</f>
        <v/>
      </c>
      <c r="K170">
        <f t="array" ref="K170">IFERROR(IF(AND(INDEX('Work Items'!$R$6:$R$5000,SMALL(IF('Work Items'!$A$6:$A$5000="Risk",ROW('Work Items'!$A$6:$A$5000)-ROW('Work Items'!$A$6)+1),166))&lt;&gt;"",INDEX('Work Items'!$S$6:$S$5000,SMALL(IF('Work Items'!$A$6:$A$5000="Risk",ROW('Work Items'!$A$6:$A$5000)-ROW('Work Items'!$A$6)+1),166))&lt;&gt;""),INDEX('Work Items'!$R$6:$R$5000,SMALL(IF('Work Items'!$A$6:$A$5000="Risk",ROW('Work Items'!$A$6:$A$5000)-ROW('Work Items'!$A$6)+1),166))*INDEX('Work Items'!$S$6:$S$5000,SMALL(IF('Work Items'!$A$6:$A$5000="Risk",ROW('Work Items'!$A$6:$A$5000)-ROW('Work Items'!$A$6)+1),166)),INDEX('Work Items'!$U$6:$U$5000,SMALL(IF('Work Items'!$A$6:$A$5000="Risk",ROW('Work Items'!$A$6:$A$5000)-ROW('Work Items'!$A$6)+1),166))),"")</f>
        <v/>
      </c>
      <c r="L170" s="217">
        <f t="array" ref="L170">IFERROR(INDEX('Work Items'!$Q$6:$Q$5000,SMALL(IF('Work Items'!$A$6:$A$5000="Risk",ROW('Work Items'!$A$6:$A$5000)-ROW('Work Items'!$A$6)+1),166)),"")</f>
        <v/>
      </c>
      <c r="M170">
        <f t="array" ref="M170">IFERROR(INDEX('Work Items'!$T$6:$T$5000,SMALL(IF('Work Items'!$A$6:$A$5000="Risk",ROW('Work Items'!$A$6:$A$5000)-ROW('Work Items'!$A$6)+1),166)),"")</f>
        <v/>
      </c>
    </row>
    <row r="171">
      <c r="A171">
        <f t="array" ref="A171">IFERROR(INDEX('Work Items'!$A$6:$A$5000,SMALL(IF('Work Items'!$A$6:$A$5000="Risk",ROW('Work Items'!$A$6:$A$5000)-ROW('Work Items'!$A$6)+1),167)),"")</f>
        <v/>
      </c>
      <c r="B171">
        <f t="array" ref="B171">IFERROR(INDEX('Work Items'!$B$6:$B$5000,SMALL(IF('Work Items'!$A$6:$A$5000="Risk",ROW('Work Items'!$A$6:$A$5000)-ROW('Work Items'!$A$6)+1),167)),"")</f>
        <v/>
      </c>
      <c r="C171">
        <f>IF(E171="","",IFERROR(INDEX('Projects Master'!$A:$A,MATCH(E171,'Projects Master'!$B:$B,0)),"OrgRisk"))</f>
        <v/>
      </c>
      <c r="D171">
        <f t="array" ref="D171">IFERROR(INDEX('Work Items'!$C$6:$C$5000,SMALL(IF('Work Items'!$A$6:$A$5000="Risk",ROW('Work Items'!$A$6:$A$5000)-ROW('Work Items'!$A$6)+1),167)),"")</f>
        <v/>
      </c>
      <c r="E171">
        <f t="array" ref="E171">IFERROR(INDEX('Work Items'!$D$6:$D$5000,SMALL(IF('Work Items'!$A$6:$A$5000="Risk",ROW('Work Items'!$A$6:$A$5000)-ROW('Work Items'!$A$6)+1),167)),"")</f>
        <v/>
      </c>
      <c r="F171">
        <f t="array" ref="F171">IFERROR(INDEX('Work Items'!$E$6:$E$5000,SMALL(IF('Work Items'!$A$6:$A$5000="Risk",ROW('Work Items'!$A$6:$A$5000)-ROW('Work Items'!$A$6)+1),167)),"")</f>
        <v/>
      </c>
      <c r="G171">
        <f t="array" ref="G171">IFERROR(INDEX('Work Items'!$F$6:$F$5000,SMALL(IF('Work Items'!$A$6:$A$5000="Risk",ROW('Work Items'!$A$6:$A$5000)-ROW('Work Items'!$A$6)+1),167)),"")</f>
        <v/>
      </c>
      <c r="H171">
        <f t="array" ref="H171">IFERROR(INDEX('Work Items'!$J$6:$J$5000,SMALL(IF('Work Items'!$A$6:$A$5000="Risk",ROW('Work Items'!$A$6:$A$5000)-ROW('Work Items'!$A$6)+1),167)),"")</f>
        <v/>
      </c>
      <c r="I171">
        <f t="array" ref="I171">IFERROR(INDEX('Work Items'!$K$6:$K$5000,SMALL(IF('Work Items'!$A$6:$A$5000="Risk",ROW('Work Items'!$A$6:$A$5000)-ROW('Work Items'!$A$6)+1),167)),"")</f>
        <v/>
      </c>
      <c r="J171">
        <f t="array" ref="J171">IFERROR(INDEX('Work Items'!$L$6:$L$5000,SMALL(IF('Work Items'!$A$6:$A$5000="Risk",ROW('Work Items'!$A$6:$A$5000)-ROW('Work Items'!$A$6)+1),167)),"")</f>
        <v/>
      </c>
      <c r="K171">
        <f t="array" ref="K171">IFERROR(IF(AND(INDEX('Work Items'!$R$6:$R$5000,SMALL(IF('Work Items'!$A$6:$A$5000="Risk",ROW('Work Items'!$A$6:$A$5000)-ROW('Work Items'!$A$6)+1),167))&lt;&gt;"",INDEX('Work Items'!$S$6:$S$5000,SMALL(IF('Work Items'!$A$6:$A$5000="Risk",ROW('Work Items'!$A$6:$A$5000)-ROW('Work Items'!$A$6)+1),167))&lt;&gt;""),INDEX('Work Items'!$R$6:$R$5000,SMALL(IF('Work Items'!$A$6:$A$5000="Risk",ROW('Work Items'!$A$6:$A$5000)-ROW('Work Items'!$A$6)+1),167))*INDEX('Work Items'!$S$6:$S$5000,SMALL(IF('Work Items'!$A$6:$A$5000="Risk",ROW('Work Items'!$A$6:$A$5000)-ROW('Work Items'!$A$6)+1),167)),INDEX('Work Items'!$U$6:$U$5000,SMALL(IF('Work Items'!$A$6:$A$5000="Risk",ROW('Work Items'!$A$6:$A$5000)-ROW('Work Items'!$A$6)+1),167))),"")</f>
        <v/>
      </c>
      <c r="L171" s="217">
        <f t="array" ref="L171">IFERROR(INDEX('Work Items'!$Q$6:$Q$5000,SMALL(IF('Work Items'!$A$6:$A$5000="Risk",ROW('Work Items'!$A$6:$A$5000)-ROW('Work Items'!$A$6)+1),167)),"")</f>
        <v/>
      </c>
      <c r="M171">
        <f t="array" ref="M171">IFERROR(INDEX('Work Items'!$T$6:$T$5000,SMALL(IF('Work Items'!$A$6:$A$5000="Risk",ROW('Work Items'!$A$6:$A$5000)-ROW('Work Items'!$A$6)+1),167)),"")</f>
        <v/>
      </c>
    </row>
    <row r="172">
      <c r="A172">
        <f t="array" ref="A172">IFERROR(INDEX('Work Items'!$A$6:$A$5000,SMALL(IF('Work Items'!$A$6:$A$5000="Risk",ROW('Work Items'!$A$6:$A$5000)-ROW('Work Items'!$A$6)+1),168)),"")</f>
        <v/>
      </c>
      <c r="B172">
        <f t="array" ref="B172">IFERROR(INDEX('Work Items'!$B$6:$B$5000,SMALL(IF('Work Items'!$A$6:$A$5000="Risk",ROW('Work Items'!$A$6:$A$5000)-ROW('Work Items'!$A$6)+1),168)),"")</f>
        <v/>
      </c>
      <c r="C172">
        <f>IF(E172="","",IFERROR(INDEX('Projects Master'!$A:$A,MATCH(E172,'Projects Master'!$B:$B,0)),"OrgRisk"))</f>
        <v/>
      </c>
      <c r="D172">
        <f t="array" ref="D172">IFERROR(INDEX('Work Items'!$C$6:$C$5000,SMALL(IF('Work Items'!$A$6:$A$5000="Risk",ROW('Work Items'!$A$6:$A$5000)-ROW('Work Items'!$A$6)+1),168)),"")</f>
        <v/>
      </c>
      <c r="E172">
        <f t="array" ref="E172">IFERROR(INDEX('Work Items'!$D$6:$D$5000,SMALL(IF('Work Items'!$A$6:$A$5000="Risk",ROW('Work Items'!$A$6:$A$5000)-ROW('Work Items'!$A$6)+1),168)),"")</f>
        <v/>
      </c>
      <c r="F172">
        <f t="array" ref="F172">IFERROR(INDEX('Work Items'!$E$6:$E$5000,SMALL(IF('Work Items'!$A$6:$A$5000="Risk",ROW('Work Items'!$A$6:$A$5000)-ROW('Work Items'!$A$6)+1),168)),"")</f>
        <v/>
      </c>
      <c r="G172">
        <f t="array" ref="G172">IFERROR(INDEX('Work Items'!$F$6:$F$5000,SMALL(IF('Work Items'!$A$6:$A$5000="Risk",ROW('Work Items'!$A$6:$A$5000)-ROW('Work Items'!$A$6)+1),168)),"")</f>
        <v/>
      </c>
      <c r="H172">
        <f t="array" ref="H172">IFERROR(INDEX('Work Items'!$J$6:$J$5000,SMALL(IF('Work Items'!$A$6:$A$5000="Risk",ROW('Work Items'!$A$6:$A$5000)-ROW('Work Items'!$A$6)+1),168)),"")</f>
        <v/>
      </c>
      <c r="I172">
        <f t="array" ref="I172">IFERROR(INDEX('Work Items'!$K$6:$K$5000,SMALL(IF('Work Items'!$A$6:$A$5000="Risk",ROW('Work Items'!$A$6:$A$5000)-ROW('Work Items'!$A$6)+1),168)),"")</f>
        <v/>
      </c>
      <c r="J172">
        <f t="array" ref="J172">IFERROR(INDEX('Work Items'!$L$6:$L$5000,SMALL(IF('Work Items'!$A$6:$A$5000="Risk",ROW('Work Items'!$A$6:$A$5000)-ROW('Work Items'!$A$6)+1),168)),"")</f>
        <v/>
      </c>
      <c r="K172">
        <f t="array" ref="K172">IFERROR(IF(AND(INDEX('Work Items'!$R$6:$R$5000,SMALL(IF('Work Items'!$A$6:$A$5000="Risk",ROW('Work Items'!$A$6:$A$5000)-ROW('Work Items'!$A$6)+1),168))&lt;&gt;"",INDEX('Work Items'!$S$6:$S$5000,SMALL(IF('Work Items'!$A$6:$A$5000="Risk",ROW('Work Items'!$A$6:$A$5000)-ROW('Work Items'!$A$6)+1),168))&lt;&gt;""),INDEX('Work Items'!$R$6:$R$5000,SMALL(IF('Work Items'!$A$6:$A$5000="Risk",ROW('Work Items'!$A$6:$A$5000)-ROW('Work Items'!$A$6)+1),168))*INDEX('Work Items'!$S$6:$S$5000,SMALL(IF('Work Items'!$A$6:$A$5000="Risk",ROW('Work Items'!$A$6:$A$5000)-ROW('Work Items'!$A$6)+1),168)),INDEX('Work Items'!$U$6:$U$5000,SMALL(IF('Work Items'!$A$6:$A$5000="Risk",ROW('Work Items'!$A$6:$A$5000)-ROW('Work Items'!$A$6)+1),168))),"")</f>
        <v/>
      </c>
      <c r="L172" s="217">
        <f t="array" ref="L172">IFERROR(INDEX('Work Items'!$Q$6:$Q$5000,SMALL(IF('Work Items'!$A$6:$A$5000="Risk",ROW('Work Items'!$A$6:$A$5000)-ROW('Work Items'!$A$6)+1),168)),"")</f>
        <v/>
      </c>
      <c r="M172">
        <f t="array" ref="M172">IFERROR(INDEX('Work Items'!$T$6:$T$5000,SMALL(IF('Work Items'!$A$6:$A$5000="Risk",ROW('Work Items'!$A$6:$A$5000)-ROW('Work Items'!$A$6)+1),168)),"")</f>
        <v/>
      </c>
    </row>
    <row r="173">
      <c r="A173">
        <f t="array" ref="A173">IFERROR(INDEX('Work Items'!$A$6:$A$5000,SMALL(IF('Work Items'!$A$6:$A$5000="Risk",ROW('Work Items'!$A$6:$A$5000)-ROW('Work Items'!$A$6)+1),169)),"")</f>
        <v/>
      </c>
      <c r="B173">
        <f t="array" ref="B173">IFERROR(INDEX('Work Items'!$B$6:$B$5000,SMALL(IF('Work Items'!$A$6:$A$5000="Risk",ROW('Work Items'!$A$6:$A$5000)-ROW('Work Items'!$A$6)+1),169)),"")</f>
        <v/>
      </c>
      <c r="C173">
        <f>IF(E173="","",IFERROR(INDEX('Projects Master'!$A:$A,MATCH(E173,'Projects Master'!$B:$B,0)),"OrgRisk"))</f>
        <v/>
      </c>
      <c r="D173">
        <f t="array" ref="D173">IFERROR(INDEX('Work Items'!$C$6:$C$5000,SMALL(IF('Work Items'!$A$6:$A$5000="Risk",ROW('Work Items'!$A$6:$A$5000)-ROW('Work Items'!$A$6)+1),169)),"")</f>
        <v/>
      </c>
      <c r="E173">
        <f t="array" ref="E173">IFERROR(INDEX('Work Items'!$D$6:$D$5000,SMALL(IF('Work Items'!$A$6:$A$5000="Risk",ROW('Work Items'!$A$6:$A$5000)-ROW('Work Items'!$A$6)+1),169)),"")</f>
        <v/>
      </c>
      <c r="F173">
        <f t="array" ref="F173">IFERROR(INDEX('Work Items'!$E$6:$E$5000,SMALL(IF('Work Items'!$A$6:$A$5000="Risk",ROW('Work Items'!$A$6:$A$5000)-ROW('Work Items'!$A$6)+1),169)),"")</f>
        <v/>
      </c>
      <c r="G173">
        <f t="array" ref="G173">IFERROR(INDEX('Work Items'!$F$6:$F$5000,SMALL(IF('Work Items'!$A$6:$A$5000="Risk",ROW('Work Items'!$A$6:$A$5000)-ROW('Work Items'!$A$6)+1),169)),"")</f>
        <v/>
      </c>
      <c r="H173">
        <f t="array" ref="H173">IFERROR(INDEX('Work Items'!$J$6:$J$5000,SMALL(IF('Work Items'!$A$6:$A$5000="Risk",ROW('Work Items'!$A$6:$A$5000)-ROW('Work Items'!$A$6)+1),169)),"")</f>
        <v/>
      </c>
      <c r="I173">
        <f t="array" ref="I173">IFERROR(INDEX('Work Items'!$K$6:$K$5000,SMALL(IF('Work Items'!$A$6:$A$5000="Risk",ROW('Work Items'!$A$6:$A$5000)-ROW('Work Items'!$A$6)+1),169)),"")</f>
        <v/>
      </c>
      <c r="J173">
        <f t="array" ref="J173">IFERROR(INDEX('Work Items'!$L$6:$L$5000,SMALL(IF('Work Items'!$A$6:$A$5000="Risk",ROW('Work Items'!$A$6:$A$5000)-ROW('Work Items'!$A$6)+1),169)),"")</f>
        <v/>
      </c>
      <c r="K173">
        <f t="array" ref="K173">IFERROR(IF(AND(INDEX('Work Items'!$R$6:$R$5000,SMALL(IF('Work Items'!$A$6:$A$5000="Risk",ROW('Work Items'!$A$6:$A$5000)-ROW('Work Items'!$A$6)+1),169))&lt;&gt;"",INDEX('Work Items'!$S$6:$S$5000,SMALL(IF('Work Items'!$A$6:$A$5000="Risk",ROW('Work Items'!$A$6:$A$5000)-ROW('Work Items'!$A$6)+1),169))&lt;&gt;""),INDEX('Work Items'!$R$6:$R$5000,SMALL(IF('Work Items'!$A$6:$A$5000="Risk",ROW('Work Items'!$A$6:$A$5000)-ROW('Work Items'!$A$6)+1),169))*INDEX('Work Items'!$S$6:$S$5000,SMALL(IF('Work Items'!$A$6:$A$5000="Risk",ROW('Work Items'!$A$6:$A$5000)-ROW('Work Items'!$A$6)+1),169)),INDEX('Work Items'!$U$6:$U$5000,SMALL(IF('Work Items'!$A$6:$A$5000="Risk",ROW('Work Items'!$A$6:$A$5000)-ROW('Work Items'!$A$6)+1),169))),"")</f>
        <v/>
      </c>
      <c r="L173" s="217">
        <f t="array" ref="L173">IFERROR(INDEX('Work Items'!$Q$6:$Q$5000,SMALL(IF('Work Items'!$A$6:$A$5000="Risk",ROW('Work Items'!$A$6:$A$5000)-ROW('Work Items'!$A$6)+1),169)),"")</f>
        <v/>
      </c>
      <c r="M173">
        <f t="array" ref="M173">IFERROR(INDEX('Work Items'!$T$6:$T$5000,SMALL(IF('Work Items'!$A$6:$A$5000="Risk",ROW('Work Items'!$A$6:$A$5000)-ROW('Work Items'!$A$6)+1),169)),"")</f>
        <v/>
      </c>
    </row>
    <row r="174">
      <c r="A174">
        <f t="array" ref="A174">IFERROR(INDEX('Work Items'!$A$6:$A$5000,SMALL(IF('Work Items'!$A$6:$A$5000="Risk",ROW('Work Items'!$A$6:$A$5000)-ROW('Work Items'!$A$6)+1),170)),"")</f>
        <v/>
      </c>
      <c r="B174">
        <f t="array" ref="B174">IFERROR(INDEX('Work Items'!$B$6:$B$5000,SMALL(IF('Work Items'!$A$6:$A$5000="Risk",ROW('Work Items'!$A$6:$A$5000)-ROW('Work Items'!$A$6)+1),170)),"")</f>
        <v/>
      </c>
      <c r="C174">
        <f>IF(E174="","",IFERROR(INDEX('Projects Master'!$A:$A,MATCH(E174,'Projects Master'!$B:$B,0)),"OrgRisk"))</f>
        <v/>
      </c>
      <c r="D174">
        <f t="array" ref="D174">IFERROR(INDEX('Work Items'!$C$6:$C$5000,SMALL(IF('Work Items'!$A$6:$A$5000="Risk",ROW('Work Items'!$A$6:$A$5000)-ROW('Work Items'!$A$6)+1),170)),"")</f>
        <v/>
      </c>
      <c r="E174">
        <f t="array" ref="E174">IFERROR(INDEX('Work Items'!$D$6:$D$5000,SMALL(IF('Work Items'!$A$6:$A$5000="Risk",ROW('Work Items'!$A$6:$A$5000)-ROW('Work Items'!$A$6)+1),170)),"")</f>
        <v/>
      </c>
      <c r="F174">
        <f t="array" ref="F174">IFERROR(INDEX('Work Items'!$E$6:$E$5000,SMALL(IF('Work Items'!$A$6:$A$5000="Risk",ROW('Work Items'!$A$6:$A$5000)-ROW('Work Items'!$A$6)+1),170)),"")</f>
        <v/>
      </c>
      <c r="G174">
        <f t="array" ref="G174">IFERROR(INDEX('Work Items'!$F$6:$F$5000,SMALL(IF('Work Items'!$A$6:$A$5000="Risk",ROW('Work Items'!$A$6:$A$5000)-ROW('Work Items'!$A$6)+1),170)),"")</f>
        <v/>
      </c>
      <c r="H174">
        <f t="array" ref="H174">IFERROR(INDEX('Work Items'!$J$6:$J$5000,SMALL(IF('Work Items'!$A$6:$A$5000="Risk",ROW('Work Items'!$A$6:$A$5000)-ROW('Work Items'!$A$6)+1),170)),"")</f>
        <v/>
      </c>
      <c r="I174">
        <f t="array" ref="I174">IFERROR(INDEX('Work Items'!$K$6:$K$5000,SMALL(IF('Work Items'!$A$6:$A$5000="Risk",ROW('Work Items'!$A$6:$A$5000)-ROW('Work Items'!$A$6)+1),170)),"")</f>
        <v/>
      </c>
      <c r="J174">
        <f t="array" ref="J174">IFERROR(INDEX('Work Items'!$L$6:$L$5000,SMALL(IF('Work Items'!$A$6:$A$5000="Risk",ROW('Work Items'!$A$6:$A$5000)-ROW('Work Items'!$A$6)+1),170)),"")</f>
        <v/>
      </c>
      <c r="K174">
        <f t="array" ref="K174">IFERROR(IF(AND(INDEX('Work Items'!$R$6:$R$5000,SMALL(IF('Work Items'!$A$6:$A$5000="Risk",ROW('Work Items'!$A$6:$A$5000)-ROW('Work Items'!$A$6)+1),170))&lt;&gt;"",INDEX('Work Items'!$S$6:$S$5000,SMALL(IF('Work Items'!$A$6:$A$5000="Risk",ROW('Work Items'!$A$6:$A$5000)-ROW('Work Items'!$A$6)+1),170))&lt;&gt;""),INDEX('Work Items'!$R$6:$R$5000,SMALL(IF('Work Items'!$A$6:$A$5000="Risk",ROW('Work Items'!$A$6:$A$5000)-ROW('Work Items'!$A$6)+1),170))*INDEX('Work Items'!$S$6:$S$5000,SMALL(IF('Work Items'!$A$6:$A$5000="Risk",ROW('Work Items'!$A$6:$A$5000)-ROW('Work Items'!$A$6)+1),170)),INDEX('Work Items'!$U$6:$U$5000,SMALL(IF('Work Items'!$A$6:$A$5000="Risk",ROW('Work Items'!$A$6:$A$5000)-ROW('Work Items'!$A$6)+1),170))),"")</f>
        <v/>
      </c>
      <c r="L174" s="217">
        <f t="array" ref="L174">IFERROR(INDEX('Work Items'!$Q$6:$Q$5000,SMALL(IF('Work Items'!$A$6:$A$5000="Risk",ROW('Work Items'!$A$6:$A$5000)-ROW('Work Items'!$A$6)+1),170)),"")</f>
        <v/>
      </c>
      <c r="M174">
        <f t="array" ref="M174">IFERROR(INDEX('Work Items'!$T$6:$T$5000,SMALL(IF('Work Items'!$A$6:$A$5000="Risk",ROW('Work Items'!$A$6:$A$5000)-ROW('Work Items'!$A$6)+1),170)),"")</f>
        <v/>
      </c>
    </row>
    <row r="175">
      <c r="A175">
        <f t="array" ref="A175">IFERROR(INDEX('Work Items'!$A$6:$A$5000,SMALL(IF('Work Items'!$A$6:$A$5000="Risk",ROW('Work Items'!$A$6:$A$5000)-ROW('Work Items'!$A$6)+1),171)),"")</f>
        <v/>
      </c>
      <c r="B175">
        <f t="array" ref="B175">IFERROR(INDEX('Work Items'!$B$6:$B$5000,SMALL(IF('Work Items'!$A$6:$A$5000="Risk",ROW('Work Items'!$A$6:$A$5000)-ROW('Work Items'!$A$6)+1),171)),"")</f>
        <v/>
      </c>
      <c r="C175">
        <f>IF(E175="","",IFERROR(INDEX('Projects Master'!$A:$A,MATCH(E175,'Projects Master'!$B:$B,0)),"OrgRisk"))</f>
        <v/>
      </c>
      <c r="D175">
        <f t="array" ref="D175">IFERROR(INDEX('Work Items'!$C$6:$C$5000,SMALL(IF('Work Items'!$A$6:$A$5000="Risk",ROW('Work Items'!$A$6:$A$5000)-ROW('Work Items'!$A$6)+1),171)),"")</f>
        <v/>
      </c>
      <c r="E175">
        <f t="array" ref="E175">IFERROR(INDEX('Work Items'!$D$6:$D$5000,SMALL(IF('Work Items'!$A$6:$A$5000="Risk",ROW('Work Items'!$A$6:$A$5000)-ROW('Work Items'!$A$6)+1),171)),"")</f>
        <v/>
      </c>
      <c r="F175">
        <f t="array" ref="F175">IFERROR(INDEX('Work Items'!$E$6:$E$5000,SMALL(IF('Work Items'!$A$6:$A$5000="Risk",ROW('Work Items'!$A$6:$A$5000)-ROW('Work Items'!$A$6)+1),171)),"")</f>
        <v/>
      </c>
      <c r="G175">
        <f t="array" ref="G175">IFERROR(INDEX('Work Items'!$F$6:$F$5000,SMALL(IF('Work Items'!$A$6:$A$5000="Risk",ROW('Work Items'!$A$6:$A$5000)-ROW('Work Items'!$A$6)+1),171)),"")</f>
        <v/>
      </c>
      <c r="H175">
        <f t="array" ref="H175">IFERROR(INDEX('Work Items'!$J$6:$J$5000,SMALL(IF('Work Items'!$A$6:$A$5000="Risk",ROW('Work Items'!$A$6:$A$5000)-ROW('Work Items'!$A$6)+1),171)),"")</f>
        <v/>
      </c>
      <c r="I175">
        <f t="array" ref="I175">IFERROR(INDEX('Work Items'!$K$6:$K$5000,SMALL(IF('Work Items'!$A$6:$A$5000="Risk",ROW('Work Items'!$A$6:$A$5000)-ROW('Work Items'!$A$6)+1),171)),"")</f>
        <v/>
      </c>
      <c r="J175">
        <f t="array" ref="J175">IFERROR(INDEX('Work Items'!$L$6:$L$5000,SMALL(IF('Work Items'!$A$6:$A$5000="Risk",ROW('Work Items'!$A$6:$A$5000)-ROW('Work Items'!$A$6)+1),171)),"")</f>
        <v/>
      </c>
      <c r="K175">
        <f t="array" ref="K175">IFERROR(IF(AND(INDEX('Work Items'!$R$6:$R$5000,SMALL(IF('Work Items'!$A$6:$A$5000="Risk",ROW('Work Items'!$A$6:$A$5000)-ROW('Work Items'!$A$6)+1),171))&lt;&gt;"",INDEX('Work Items'!$S$6:$S$5000,SMALL(IF('Work Items'!$A$6:$A$5000="Risk",ROW('Work Items'!$A$6:$A$5000)-ROW('Work Items'!$A$6)+1),171))&lt;&gt;""),INDEX('Work Items'!$R$6:$R$5000,SMALL(IF('Work Items'!$A$6:$A$5000="Risk",ROW('Work Items'!$A$6:$A$5000)-ROW('Work Items'!$A$6)+1),171))*INDEX('Work Items'!$S$6:$S$5000,SMALL(IF('Work Items'!$A$6:$A$5000="Risk",ROW('Work Items'!$A$6:$A$5000)-ROW('Work Items'!$A$6)+1),171)),INDEX('Work Items'!$U$6:$U$5000,SMALL(IF('Work Items'!$A$6:$A$5000="Risk",ROW('Work Items'!$A$6:$A$5000)-ROW('Work Items'!$A$6)+1),171))),"")</f>
        <v/>
      </c>
      <c r="L175" s="217">
        <f t="array" ref="L175">IFERROR(INDEX('Work Items'!$Q$6:$Q$5000,SMALL(IF('Work Items'!$A$6:$A$5000="Risk",ROW('Work Items'!$A$6:$A$5000)-ROW('Work Items'!$A$6)+1),171)),"")</f>
        <v/>
      </c>
      <c r="M175">
        <f t="array" ref="M175">IFERROR(INDEX('Work Items'!$T$6:$T$5000,SMALL(IF('Work Items'!$A$6:$A$5000="Risk",ROW('Work Items'!$A$6:$A$5000)-ROW('Work Items'!$A$6)+1),171)),"")</f>
        <v/>
      </c>
    </row>
    <row r="176">
      <c r="A176">
        <f t="array" ref="A176">IFERROR(INDEX('Work Items'!$A$6:$A$5000,SMALL(IF('Work Items'!$A$6:$A$5000="Risk",ROW('Work Items'!$A$6:$A$5000)-ROW('Work Items'!$A$6)+1),172)),"")</f>
        <v/>
      </c>
      <c r="B176">
        <f t="array" ref="B176">IFERROR(INDEX('Work Items'!$B$6:$B$5000,SMALL(IF('Work Items'!$A$6:$A$5000="Risk",ROW('Work Items'!$A$6:$A$5000)-ROW('Work Items'!$A$6)+1),172)),"")</f>
        <v/>
      </c>
      <c r="C176">
        <f>IF(E176="","",IFERROR(INDEX('Projects Master'!$A:$A,MATCH(E176,'Projects Master'!$B:$B,0)),"OrgRisk"))</f>
        <v/>
      </c>
      <c r="D176">
        <f t="array" ref="D176">IFERROR(INDEX('Work Items'!$C$6:$C$5000,SMALL(IF('Work Items'!$A$6:$A$5000="Risk",ROW('Work Items'!$A$6:$A$5000)-ROW('Work Items'!$A$6)+1),172)),"")</f>
        <v/>
      </c>
      <c r="E176">
        <f t="array" ref="E176">IFERROR(INDEX('Work Items'!$D$6:$D$5000,SMALL(IF('Work Items'!$A$6:$A$5000="Risk",ROW('Work Items'!$A$6:$A$5000)-ROW('Work Items'!$A$6)+1),172)),"")</f>
        <v/>
      </c>
      <c r="F176">
        <f t="array" ref="F176">IFERROR(INDEX('Work Items'!$E$6:$E$5000,SMALL(IF('Work Items'!$A$6:$A$5000="Risk",ROW('Work Items'!$A$6:$A$5000)-ROW('Work Items'!$A$6)+1),172)),"")</f>
        <v/>
      </c>
      <c r="G176">
        <f t="array" ref="G176">IFERROR(INDEX('Work Items'!$F$6:$F$5000,SMALL(IF('Work Items'!$A$6:$A$5000="Risk",ROW('Work Items'!$A$6:$A$5000)-ROW('Work Items'!$A$6)+1),172)),"")</f>
        <v/>
      </c>
      <c r="H176">
        <f t="array" ref="H176">IFERROR(INDEX('Work Items'!$J$6:$J$5000,SMALL(IF('Work Items'!$A$6:$A$5000="Risk",ROW('Work Items'!$A$6:$A$5000)-ROW('Work Items'!$A$6)+1),172)),"")</f>
        <v/>
      </c>
      <c r="I176">
        <f t="array" ref="I176">IFERROR(INDEX('Work Items'!$K$6:$K$5000,SMALL(IF('Work Items'!$A$6:$A$5000="Risk",ROW('Work Items'!$A$6:$A$5000)-ROW('Work Items'!$A$6)+1),172)),"")</f>
        <v/>
      </c>
      <c r="J176">
        <f t="array" ref="J176">IFERROR(INDEX('Work Items'!$L$6:$L$5000,SMALL(IF('Work Items'!$A$6:$A$5000="Risk",ROW('Work Items'!$A$6:$A$5000)-ROW('Work Items'!$A$6)+1),172)),"")</f>
        <v/>
      </c>
      <c r="K176">
        <f t="array" ref="K176">IFERROR(IF(AND(INDEX('Work Items'!$R$6:$R$5000,SMALL(IF('Work Items'!$A$6:$A$5000="Risk",ROW('Work Items'!$A$6:$A$5000)-ROW('Work Items'!$A$6)+1),172))&lt;&gt;"",INDEX('Work Items'!$S$6:$S$5000,SMALL(IF('Work Items'!$A$6:$A$5000="Risk",ROW('Work Items'!$A$6:$A$5000)-ROW('Work Items'!$A$6)+1),172))&lt;&gt;""),INDEX('Work Items'!$R$6:$R$5000,SMALL(IF('Work Items'!$A$6:$A$5000="Risk",ROW('Work Items'!$A$6:$A$5000)-ROW('Work Items'!$A$6)+1),172))*INDEX('Work Items'!$S$6:$S$5000,SMALL(IF('Work Items'!$A$6:$A$5000="Risk",ROW('Work Items'!$A$6:$A$5000)-ROW('Work Items'!$A$6)+1),172)),INDEX('Work Items'!$U$6:$U$5000,SMALL(IF('Work Items'!$A$6:$A$5000="Risk",ROW('Work Items'!$A$6:$A$5000)-ROW('Work Items'!$A$6)+1),172))),"")</f>
        <v/>
      </c>
      <c r="L176" s="217">
        <f t="array" ref="L176">IFERROR(INDEX('Work Items'!$Q$6:$Q$5000,SMALL(IF('Work Items'!$A$6:$A$5000="Risk",ROW('Work Items'!$A$6:$A$5000)-ROW('Work Items'!$A$6)+1),172)),"")</f>
        <v/>
      </c>
      <c r="M176">
        <f t="array" ref="M176">IFERROR(INDEX('Work Items'!$T$6:$T$5000,SMALL(IF('Work Items'!$A$6:$A$5000="Risk",ROW('Work Items'!$A$6:$A$5000)-ROW('Work Items'!$A$6)+1),172)),"")</f>
        <v/>
      </c>
    </row>
    <row r="177">
      <c r="A177">
        <f t="array" ref="A177">IFERROR(INDEX('Work Items'!$A$6:$A$5000,SMALL(IF('Work Items'!$A$6:$A$5000="Risk",ROW('Work Items'!$A$6:$A$5000)-ROW('Work Items'!$A$6)+1),173)),"")</f>
        <v/>
      </c>
      <c r="B177">
        <f t="array" ref="B177">IFERROR(INDEX('Work Items'!$B$6:$B$5000,SMALL(IF('Work Items'!$A$6:$A$5000="Risk",ROW('Work Items'!$A$6:$A$5000)-ROW('Work Items'!$A$6)+1),173)),"")</f>
        <v/>
      </c>
      <c r="C177">
        <f>IF(E177="","",IFERROR(INDEX('Projects Master'!$A:$A,MATCH(E177,'Projects Master'!$B:$B,0)),"OrgRisk"))</f>
        <v/>
      </c>
      <c r="D177">
        <f t="array" ref="D177">IFERROR(INDEX('Work Items'!$C$6:$C$5000,SMALL(IF('Work Items'!$A$6:$A$5000="Risk",ROW('Work Items'!$A$6:$A$5000)-ROW('Work Items'!$A$6)+1),173)),"")</f>
        <v/>
      </c>
      <c r="E177">
        <f t="array" ref="E177">IFERROR(INDEX('Work Items'!$D$6:$D$5000,SMALL(IF('Work Items'!$A$6:$A$5000="Risk",ROW('Work Items'!$A$6:$A$5000)-ROW('Work Items'!$A$6)+1),173)),"")</f>
        <v/>
      </c>
      <c r="F177">
        <f t="array" ref="F177">IFERROR(INDEX('Work Items'!$E$6:$E$5000,SMALL(IF('Work Items'!$A$6:$A$5000="Risk",ROW('Work Items'!$A$6:$A$5000)-ROW('Work Items'!$A$6)+1),173)),"")</f>
        <v/>
      </c>
      <c r="G177">
        <f t="array" ref="G177">IFERROR(INDEX('Work Items'!$F$6:$F$5000,SMALL(IF('Work Items'!$A$6:$A$5000="Risk",ROW('Work Items'!$A$6:$A$5000)-ROW('Work Items'!$A$6)+1),173)),"")</f>
        <v/>
      </c>
      <c r="H177">
        <f t="array" ref="H177">IFERROR(INDEX('Work Items'!$J$6:$J$5000,SMALL(IF('Work Items'!$A$6:$A$5000="Risk",ROW('Work Items'!$A$6:$A$5000)-ROW('Work Items'!$A$6)+1),173)),"")</f>
        <v/>
      </c>
      <c r="I177">
        <f t="array" ref="I177">IFERROR(INDEX('Work Items'!$K$6:$K$5000,SMALL(IF('Work Items'!$A$6:$A$5000="Risk",ROW('Work Items'!$A$6:$A$5000)-ROW('Work Items'!$A$6)+1),173)),"")</f>
        <v/>
      </c>
      <c r="J177">
        <f t="array" ref="J177">IFERROR(INDEX('Work Items'!$L$6:$L$5000,SMALL(IF('Work Items'!$A$6:$A$5000="Risk",ROW('Work Items'!$A$6:$A$5000)-ROW('Work Items'!$A$6)+1),173)),"")</f>
        <v/>
      </c>
      <c r="K177">
        <f t="array" ref="K177">IFERROR(IF(AND(INDEX('Work Items'!$R$6:$R$5000,SMALL(IF('Work Items'!$A$6:$A$5000="Risk",ROW('Work Items'!$A$6:$A$5000)-ROW('Work Items'!$A$6)+1),173))&lt;&gt;"",INDEX('Work Items'!$S$6:$S$5000,SMALL(IF('Work Items'!$A$6:$A$5000="Risk",ROW('Work Items'!$A$6:$A$5000)-ROW('Work Items'!$A$6)+1),173))&lt;&gt;""),INDEX('Work Items'!$R$6:$R$5000,SMALL(IF('Work Items'!$A$6:$A$5000="Risk",ROW('Work Items'!$A$6:$A$5000)-ROW('Work Items'!$A$6)+1),173))*INDEX('Work Items'!$S$6:$S$5000,SMALL(IF('Work Items'!$A$6:$A$5000="Risk",ROW('Work Items'!$A$6:$A$5000)-ROW('Work Items'!$A$6)+1),173)),INDEX('Work Items'!$U$6:$U$5000,SMALL(IF('Work Items'!$A$6:$A$5000="Risk",ROW('Work Items'!$A$6:$A$5000)-ROW('Work Items'!$A$6)+1),173))),"")</f>
        <v/>
      </c>
      <c r="L177" s="217">
        <f t="array" ref="L177">IFERROR(INDEX('Work Items'!$Q$6:$Q$5000,SMALL(IF('Work Items'!$A$6:$A$5000="Risk",ROW('Work Items'!$A$6:$A$5000)-ROW('Work Items'!$A$6)+1),173)),"")</f>
        <v/>
      </c>
      <c r="M177">
        <f t="array" ref="M177">IFERROR(INDEX('Work Items'!$T$6:$T$5000,SMALL(IF('Work Items'!$A$6:$A$5000="Risk",ROW('Work Items'!$A$6:$A$5000)-ROW('Work Items'!$A$6)+1),173)),"")</f>
        <v/>
      </c>
    </row>
    <row r="178">
      <c r="A178">
        <f t="array" ref="A178">IFERROR(INDEX('Work Items'!$A$6:$A$5000,SMALL(IF('Work Items'!$A$6:$A$5000="Risk",ROW('Work Items'!$A$6:$A$5000)-ROW('Work Items'!$A$6)+1),174)),"")</f>
        <v/>
      </c>
      <c r="B178">
        <f t="array" ref="B178">IFERROR(INDEX('Work Items'!$B$6:$B$5000,SMALL(IF('Work Items'!$A$6:$A$5000="Risk",ROW('Work Items'!$A$6:$A$5000)-ROW('Work Items'!$A$6)+1),174)),"")</f>
        <v/>
      </c>
      <c r="C178">
        <f>IF(E178="","",IFERROR(INDEX('Projects Master'!$A:$A,MATCH(E178,'Projects Master'!$B:$B,0)),"OrgRisk"))</f>
        <v/>
      </c>
      <c r="D178">
        <f t="array" ref="D178">IFERROR(INDEX('Work Items'!$C$6:$C$5000,SMALL(IF('Work Items'!$A$6:$A$5000="Risk",ROW('Work Items'!$A$6:$A$5000)-ROW('Work Items'!$A$6)+1),174)),"")</f>
        <v/>
      </c>
      <c r="E178">
        <f t="array" ref="E178">IFERROR(INDEX('Work Items'!$D$6:$D$5000,SMALL(IF('Work Items'!$A$6:$A$5000="Risk",ROW('Work Items'!$A$6:$A$5000)-ROW('Work Items'!$A$6)+1),174)),"")</f>
        <v/>
      </c>
      <c r="F178">
        <f t="array" ref="F178">IFERROR(INDEX('Work Items'!$E$6:$E$5000,SMALL(IF('Work Items'!$A$6:$A$5000="Risk",ROW('Work Items'!$A$6:$A$5000)-ROW('Work Items'!$A$6)+1),174)),"")</f>
        <v/>
      </c>
      <c r="G178">
        <f t="array" ref="G178">IFERROR(INDEX('Work Items'!$F$6:$F$5000,SMALL(IF('Work Items'!$A$6:$A$5000="Risk",ROW('Work Items'!$A$6:$A$5000)-ROW('Work Items'!$A$6)+1),174)),"")</f>
        <v/>
      </c>
      <c r="H178">
        <f t="array" ref="H178">IFERROR(INDEX('Work Items'!$J$6:$J$5000,SMALL(IF('Work Items'!$A$6:$A$5000="Risk",ROW('Work Items'!$A$6:$A$5000)-ROW('Work Items'!$A$6)+1),174)),"")</f>
        <v/>
      </c>
      <c r="I178">
        <f t="array" ref="I178">IFERROR(INDEX('Work Items'!$K$6:$K$5000,SMALL(IF('Work Items'!$A$6:$A$5000="Risk",ROW('Work Items'!$A$6:$A$5000)-ROW('Work Items'!$A$6)+1),174)),"")</f>
        <v/>
      </c>
      <c r="J178">
        <f t="array" ref="J178">IFERROR(INDEX('Work Items'!$L$6:$L$5000,SMALL(IF('Work Items'!$A$6:$A$5000="Risk",ROW('Work Items'!$A$6:$A$5000)-ROW('Work Items'!$A$6)+1),174)),"")</f>
        <v/>
      </c>
      <c r="K178">
        <f t="array" ref="K178">IFERROR(IF(AND(INDEX('Work Items'!$R$6:$R$5000,SMALL(IF('Work Items'!$A$6:$A$5000="Risk",ROW('Work Items'!$A$6:$A$5000)-ROW('Work Items'!$A$6)+1),174))&lt;&gt;"",INDEX('Work Items'!$S$6:$S$5000,SMALL(IF('Work Items'!$A$6:$A$5000="Risk",ROW('Work Items'!$A$6:$A$5000)-ROW('Work Items'!$A$6)+1),174))&lt;&gt;""),INDEX('Work Items'!$R$6:$R$5000,SMALL(IF('Work Items'!$A$6:$A$5000="Risk",ROW('Work Items'!$A$6:$A$5000)-ROW('Work Items'!$A$6)+1),174))*INDEX('Work Items'!$S$6:$S$5000,SMALL(IF('Work Items'!$A$6:$A$5000="Risk",ROW('Work Items'!$A$6:$A$5000)-ROW('Work Items'!$A$6)+1),174)),INDEX('Work Items'!$U$6:$U$5000,SMALL(IF('Work Items'!$A$6:$A$5000="Risk",ROW('Work Items'!$A$6:$A$5000)-ROW('Work Items'!$A$6)+1),174))),"")</f>
        <v/>
      </c>
      <c r="L178" s="217">
        <f t="array" ref="L178">IFERROR(INDEX('Work Items'!$Q$6:$Q$5000,SMALL(IF('Work Items'!$A$6:$A$5000="Risk",ROW('Work Items'!$A$6:$A$5000)-ROW('Work Items'!$A$6)+1),174)),"")</f>
        <v/>
      </c>
      <c r="M178">
        <f t="array" ref="M178">IFERROR(INDEX('Work Items'!$T$6:$T$5000,SMALL(IF('Work Items'!$A$6:$A$5000="Risk",ROW('Work Items'!$A$6:$A$5000)-ROW('Work Items'!$A$6)+1),174)),"")</f>
        <v/>
      </c>
    </row>
    <row r="179">
      <c r="A179">
        <f t="array" ref="A179">IFERROR(INDEX('Work Items'!$A$6:$A$5000,SMALL(IF('Work Items'!$A$6:$A$5000="Risk",ROW('Work Items'!$A$6:$A$5000)-ROW('Work Items'!$A$6)+1),175)),"")</f>
        <v/>
      </c>
      <c r="B179">
        <f t="array" ref="B179">IFERROR(INDEX('Work Items'!$B$6:$B$5000,SMALL(IF('Work Items'!$A$6:$A$5000="Risk",ROW('Work Items'!$A$6:$A$5000)-ROW('Work Items'!$A$6)+1),175)),"")</f>
        <v/>
      </c>
      <c r="C179">
        <f>IF(E179="","",IFERROR(INDEX('Projects Master'!$A:$A,MATCH(E179,'Projects Master'!$B:$B,0)),"OrgRisk"))</f>
        <v/>
      </c>
      <c r="D179">
        <f t="array" ref="D179">IFERROR(INDEX('Work Items'!$C$6:$C$5000,SMALL(IF('Work Items'!$A$6:$A$5000="Risk",ROW('Work Items'!$A$6:$A$5000)-ROW('Work Items'!$A$6)+1),175)),"")</f>
        <v/>
      </c>
      <c r="E179">
        <f t="array" ref="E179">IFERROR(INDEX('Work Items'!$D$6:$D$5000,SMALL(IF('Work Items'!$A$6:$A$5000="Risk",ROW('Work Items'!$A$6:$A$5000)-ROW('Work Items'!$A$6)+1),175)),"")</f>
        <v/>
      </c>
      <c r="F179">
        <f t="array" ref="F179">IFERROR(INDEX('Work Items'!$E$6:$E$5000,SMALL(IF('Work Items'!$A$6:$A$5000="Risk",ROW('Work Items'!$A$6:$A$5000)-ROW('Work Items'!$A$6)+1),175)),"")</f>
        <v/>
      </c>
      <c r="G179">
        <f t="array" ref="G179">IFERROR(INDEX('Work Items'!$F$6:$F$5000,SMALL(IF('Work Items'!$A$6:$A$5000="Risk",ROW('Work Items'!$A$6:$A$5000)-ROW('Work Items'!$A$6)+1),175)),"")</f>
        <v/>
      </c>
      <c r="H179">
        <f t="array" ref="H179">IFERROR(INDEX('Work Items'!$J$6:$J$5000,SMALL(IF('Work Items'!$A$6:$A$5000="Risk",ROW('Work Items'!$A$6:$A$5000)-ROW('Work Items'!$A$6)+1),175)),"")</f>
        <v/>
      </c>
      <c r="I179">
        <f t="array" ref="I179">IFERROR(INDEX('Work Items'!$K$6:$K$5000,SMALL(IF('Work Items'!$A$6:$A$5000="Risk",ROW('Work Items'!$A$6:$A$5000)-ROW('Work Items'!$A$6)+1),175)),"")</f>
        <v/>
      </c>
      <c r="J179">
        <f t="array" ref="J179">IFERROR(INDEX('Work Items'!$L$6:$L$5000,SMALL(IF('Work Items'!$A$6:$A$5000="Risk",ROW('Work Items'!$A$6:$A$5000)-ROW('Work Items'!$A$6)+1),175)),"")</f>
        <v/>
      </c>
      <c r="K179">
        <f t="array" ref="K179">IFERROR(IF(AND(INDEX('Work Items'!$R$6:$R$5000,SMALL(IF('Work Items'!$A$6:$A$5000="Risk",ROW('Work Items'!$A$6:$A$5000)-ROW('Work Items'!$A$6)+1),175))&lt;&gt;"",INDEX('Work Items'!$S$6:$S$5000,SMALL(IF('Work Items'!$A$6:$A$5000="Risk",ROW('Work Items'!$A$6:$A$5000)-ROW('Work Items'!$A$6)+1),175))&lt;&gt;""),INDEX('Work Items'!$R$6:$R$5000,SMALL(IF('Work Items'!$A$6:$A$5000="Risk",ROW('Work Items'!$A$6:$A$5000)-ROW('Work Items'!$A$6)+1),175))*INDEX('Work Items'!$S$6:$S$5000,SMALL(IF('Work Items'!$A$6:$A$5000="Risk",ROW('Work Items'!$A$6:$A$5000)-ROW('Work Items'!$A$6)+1),175)),INDEX('Work Items'!$U$6:$U$5000,SMALL(IF('Work Items'!$A$6:$A$5000="Risk",ROW('Work Items'!$A$6:$A$5000)-ROW('Work Items'!$A$6)+1),175))),"")</f>
        <v/>
      </c>
      <c r="L179" s="217">
        <f t="array" ref="L179">IFERROR(INDEX('Work Items'!$Q$6:$Q$5000,SMALL(IF('Work Items'!$A$6:$A$5000="Risk",ROW('Work Items'!$A$6:$A$5000)-ROW('Work Items'!$A$6)+1),175)),"")</f>
        <v/>
      </c>
      <c r="M179">
        <f t="array" ref="M179">IFERROR(INDEX('Work Items'!$T$6:$T$5000,SMALL(IF('Work Items'!$A$6:$A$5000="Risk",ROW('Work Items'!$A$6:$A$5000)-ROW('Work Items'!$A$6)+1),175)),"")</f>
        <v/>
      </c>
    </row>
    <row r="180">
      <c r="A180">
        <f t="array" ref="A180">IFERROR(INDEX('Work Items'!$A$6:$A$5000,SMALL(IF('Work Items'!$A$6:$A$5000="Risk",ROW('Work Items'!$A$6:$A$5000)-ROW('Work Items'!$A$6)+1),176)),"")</f>
        <v/>
      </c>
      <c r="B180">
        <f t="array" ref="B180">IFERROR(INDEX('Work Items'!$B$6:$B$5000,SMALL(IF('Work Items'!$A$6:$A$5000="Risk",ROW('Work Items'!$A$6:$A$5000)-ROW('Work Items'!$A$6)+1),176)),"")</f>
        <v/>
      </c>
      <c r="C180">
        <f>IF(E180="","",IFERROR(INDEX('Projects Master'!$A:$A,MATCH(E180,'Projects Master'!$B:$B,0)),"OrgRisk"))</f>
        <v/>
      </c>
      <c r="D180">
        <f t="array" ref="D180">IFERROR(INDEX('Work Items'!$C$6:$C$5000,SMALL(IF('Work Items'!$A$6:$A$5000="Risk",ROW('Work Items'!$A$6:$A$5000)-ROW('Work Items'!$A$6)+1),176)),"")</f>
        <v/>
      </c>
      <c r="E180">
        <f t="array" ref="E180">IFERROR(INDEX('Work Items'!$D$6:$D$5000,SMALL(IF('Work Items'!$A$6:$A$5000="Risk",ROW('Work Items'!$A$6:$A$5000)-ROW('Work Items'!$A$6)+1),176)),"")</f>
        <v/>
      </c>
      <c r="F180">
        <f t="array" ref="F180">IFERROR(INDEX('Work Items'!$E$6:$E$5000,SMALL(IF('Work Items'!$A$6:$A$5000="Risk",ROW('Work Items'!$A$6:$A$5000)-ROW('Work Items'!$A$6)+1),176)),"")</f>
        <v/>
      </c>
      <c r="G180">
        <f t="array" ref="G180">IFERROR(INDEX('Work Items'!$F$6:$F$5000,SMALL(IF('Work Items'!$A$6:$A$5000="Risk",ROW('Work Items'!$A$6:$A$5000)-ROW('Work Items'!$A$6)+1),176)),"")</f>
        <v/>
      </c>
      <c r="H180">
        <f t="array" ref="H180">IFERROR(INDEX('Work Items'!$J$6:$J$5000,SMALL(IF('Work Items'!$A$6:$A$5000="Risk",ROW('Work Items'!$A$6:$A$5000)-ROW('Work Items'!$A$6)+1),176)),"")</f>
        <v/>
      </c>
      <c r="I180">
        <f t="array" ref="I180">IFERROR(INDEX('Work Items'!$K$6:$K$5000,SMALL(IF('Work Items'!$A$6:$A$5000="Risk",ROW('Work Items'!$A$6:$A$5000)-ROW('Work Items'!$A$6)+1),176)),"")</f>
        <v/>
      </c>
      <c r="J180">
        <f t="array" ref="J180">IFERROR(INDEX('Work Items'!$L$6:$L$5000,SMALL(IF('Work Items'!$A$6:$A$5000="Risk",ROW('Work Items'!$A$6:$A$5000)-ROW('Work Items'!$A$6)+1),176)),"")</f>
        <v/>
      </c>
      <c r="K180">
        <f t="array" ref="K180">IFERROR(IF(AND(INDEX('Work Items'!$R$6:$R$5000,SMALL(IF('Work Items'!$A$6:$A$5000="Risk",ROW('Work Items'!$A$6:$A$5000)-ROW('Work Items'!$A$6)+1),176))&lt;&gt;"",INDEX('Work Items'!$S$6:$S$5000,SMALL(IF('Work Items'!$A$6:$A$5000="Risk",ROW('Work Items'!$A$6:$A$5000)-ROW('Work Items'!$A$6)+1),176))&lt;&gt;""),INDEX('Work Items'!$R$6:$R$5000,SMALL(IF('Work Items'!$A$6:$A$5000="Risk",ROW('Work Items'!$A$6:$A$5000)-ROW('Work Items'!$A$6)+1),176))*INDEX('Work Items'!$S$6:$S$5000,SMALL(IF('Work Items'!$A$6:$A$5000="Risk",ROW('Work Items'!$A$6:$A$5000)-ROW('Work Items'!$A$6)+1),176)),INDEX('Work Items'!$U$6:$U$5000,SMALL(IF('Work Items'!$A$6:$A$5000="Risk",ROW('Work Items'!$A$6:$A$5000)-ROW('Work Items'!$A$6)+1),176))),"")</f>
        <v/>
      </c>
      <c r="L180" s="217">
        <f t="array" ref="L180">IFERROR(INDEX('Work Items'!$Q$6:$Q$5000,SMALL(IF('Work Items'!$A$6:$A$5000="Risk",ROW('Work Items'!$A$6:$A$5000)-ROW('Work Items'!$A$6)+1),176)),"")</f>
        <v/>
      </c>
      <c r="M180">
        <f t="array" ref="M180">IFERROR(INDEX('Work Items'!$T$6:$T$5000,SMALL(IF('Work Items'!$A$6:$A$5000="Risk",ROW('Work Items'!$A$6:$A$5000)-ROW('Work Items'!$A$6)+1),176)),"")</f>
        <v/>
      </c>
    </row>
    <row r="181">
      <c r="A181">
        <f t="array" ref="A181">IFERROR(INDEX('Work Items'!$A$6:$A$5000,SMALL(IF('Work Items'!$A$6:$A$5000="Risk",ROW('Work Items'!$A$6:$A$5000)-ROW('Work Items'!$A$6)+1),177)),"")</f>
        <v/>
      </c>
      <c r="B181">
        <f t="array" ref="B181">IFERROR(INDEX('Work Items'!$B$6:$B$5000,SMALL(IF('Work Items'!$A$6:$A$5000="Risk",ROW('Work Items'!$A$6:$A$5000)-ROW('Work Items'!$A$6)+1),177)),"")</f>
        <v/>
      </c>
      <c r="C181">
        <f>IF(E181="","",IFERROR(INDEX('Projects Master'!$A:$A,MATCH(E181,'Projects Master'!$B:$B,0)),"OrgRisk"))</f>
        <v/>
      </c>
      <c r="D181">
        <f t="array" ref="D181">IFERROR(INDEX('Work Items'!$C$6:$C$5000,SMALL(IF('Work Items'!$A$6:$A$5000="Risk",ROW('Work Items'!$A$6:$A$5000)-ROW('Work Items'!$A$6)+1),177)),"")</f>
        <v/>
      </c>
      <c r="E181">
        <f t="array" ref="E181">IFERROR(INDEX('Work Items'!$D$6:$D$5000,SMALL(IF('Work Items'!$A$6:$A$5000="Risk",ROW('Work Items'!$A$6:$A$5000)-ROW('Work Items'!$A$6)+1),177)),"")</f>
        <v/>
      </c>
      <c r="F181">
        <f t="array" ref="F181">IFERROR(INDEX('Work Items'!$E$6:$E$5000,SMALL(IF('Work Items'!$A$6:$A$5000="Risk",ROW('Work Items'!$A$6:$A$5000)-ROW('Work Items'!$A$6)+1),177)),"")</f>
        <v/>
      </c>
      <c r="G181">
        <f t="array" ref="G181">IFERROR(INDEX('Work Items'!$F$6:$F$5000,SMALL(IF('Work Items'!$A$6:$A$5000="Risk",ROW('Work Items'!$A$6:$A$5000)-ROW('Work Items'!$A$6)+1),177)),"")</f>
        <v/>
      </c>
      <c r="H181">
        <f t="array" ref="H181">IFERROR(INDEX('Work Items'!$J$6:$J$5000,SMALL(IF('Work Items'!$A$6:$A$5000="Risk",ROW('Work Items'!$A$6:$A$5000)-ROW('Work Items'!$A$6)+1),177)),"")</f>
        <v/>
      </c>
      <c r="I181">
        <f t="array" ref="I181">IFERROR(INDEX('Work Items'!$K$6:$K$5000,SMALL(IF('Work Items'!$A$6:$A$5000="Risk",ROW('Work Items'!$A$6:$A$5000)-ROW('Work Items'!$A$6)+1),177)),"")</f>
        <v/>
      </c>
      <c r="J181">
        <f t="array" ref="J181">IFERROR(INDEX('Work Items'!$L$6:$L$5000,SMALL(IF('Work Items'!$A$6:$A$5000="Risk",ROW('Work Items'!$A$6:$A$5000)-ROW('Work Items'!$A$6)+1),177)),"")</f>
        <v/>
      </c>
      <c r="K181">
        <f t="array" ref="K181">IFERROR(IF(AND(INDEX('Work Items'!$R$6:$R$5000,SMALL(IF('Work Items'!$A$6:$A$5000="Risk",ROW('Work Items'!$A$6:$A$5000)-ROW('Work Items'!$A$6)+1),177))&lt;&gt;"",INDEX('Work Items'!$S$6:$S$5000,SMALL(IF('Work Items'!$A$6:$A$5000="Risk",ROW('Work Items'!$A$6:$A$5000)-ROW('Work Items'!$A$6)+1),177))&lt;&gt;""),INDEX('Work Items'!$R$6:$R$5000,SMALL(IF('Work Items'!$A$6:$A$5000="Risk",ROW('Work Items'!$A$6:$A$5000)-ROW('Work Items'!$A$6)+1),177))*INDEX('Work Items'!$S$6:$S$5000,SMALL(IF('Work Items'!$A$6:$A$5000="Risk",ROW('Work Items'!$A$6:$A$5000)-ROW('Work Items'!$A$6)+1),177)),INDEX('Work Items'!$U$6:$U$5000,SMALL(IF('Work Items'!$A$6:$A$5000="Risk",ROW('Work Items'!$A$6:$A$5000)-ROW('Work Items'!$A$6)+1),177))),"")</f>
        <v/>
      </c>
      <c r="L181" s="217">
        <f t="array" ref="L181">IFERROR(INDEX('Work Items'!$Q$6:$Q$5000,SMALL(IF('Work Items'!$A$6:$A$5000="Risk",ROW('Work Items'!$A$6:$A$5000)-ROW('Work Items'!$A$6)+1),177)),"")</f>
        <v/>
      </c>
      <c r="M181">
        <f t="array" ref="M181">IFERROR(INDEX('Work Items'!$T$6:$T$5000,SMALL(IF('Work Items'!$A$6:$A$5000="Risk",ROW('Work Items'!$A$6:$A$5000)-ROW('Work Items'!$A$6)+1),177)),"")</f>
        <v/>
      </c>
    </row>
    <row r="182">
      <c r="A182">
        <f t="array" ref="A182">IFERROR(INDEX('Work Items'!$A$6:$A$5000,SMALL(IF('Work Items'!$A$6:$A$5000="Risk",ROW('Work Items'!$A$6:$A$5000)-ROW('Work Items'!$A$6)+1),178)),"")</f>
        <v/>
      </c>
      <c r="B182">
        <f t="array" ref="B182">IFERROR(INDEX('Work Items'!$B$6:$B$5000,SMALL(IF('Work Items'!$A$6:$A$5000="Risk",ROW('Work Items'!$A$6:$A$5000)-ROW('Work Items'!$A$6)+1),178)),"")</f>
        <v/>
      </c>
      <c r="C182">
        <f>IF(E182="","",IFERROR(INDEX('Projects Master'!$A:$A,MATCH(E182,'Projects Master'!$B:$B,0)),"OrgRisk"))</f>
        <v/>
      </c>
      <c r="D182">
        <f t="array" ref="D182">IFERROR(INDEX('Work Items'!$C$6:$C$5000,SMALL(IF('Work Items'!$A$6:$A$5000="Risk",ROW('Work Items'!$A$6:$A$5000)-ROW('Work Items'!$A$6)+1),178)),"")</f>
        <v/>
      </c>
      <c r="E182">
        <f t="array" ref="E182">IFERROR(INDEX('Work Items'!$D$6:$D$5000,SMALL(IF('Work Items'!$A$6:$A$5000="Risk",ROW('Work Items'!$A$6:$A$5000)-ROW('Work Items'!$A$6)+1),178)),"")</f>
        <v/>
      </c>
      <c r="F182">
        <f t="array" ref="F182">IFERROR(INDEX('Work Items'!$E$6:$E$5000,SMALL(IF('Work Items'!$A$6:$A$5000="Risk",ROW('Work Items'!$A$6:$A$5000)-ROW('Work Items'!$A$6)+1),178)),"")</f>
        <v/>
      </c>
      <c r="G182">
        <f t="array" ref="G182">IFERROR(INDEX('Work Items'!$F$6:$F$5000,SMALL(IF('Work Items'!$A$6:$A$5000="Risk",ROW('Work Items'!$A$6:$A$5000)-ROW('Work Items'!$A$6)+1),178)),"")</f>
        <v/>
      </c>
      <c r="H182">
        <f t="array" ref="H182">IFERROR(INDEX('Work Items'!$J$6:$J$5000,SMALL(IF('Work Items'!$A$6:$A$5000="Risk",ROW('Work Items'!$A$6:$A$5000)-ROW('Work Items'!$A$6)+1),178)),"")</f>
        <v/>
      </c>
      <c r="I182">
        <f t="array" ref="I182">IFERROR(INDEX('Work Items'!$K$6:$K$5000,SMALL(IF('Work Items'!$A$6:$A$5000="Risk",ROW('Work Items'!$A$6:$A$5000)-ROW('Work Items'!$A$6)+1),178)),"")</f>
        <v/>
      </c>
      <c r="J182">
        <f t="array" ref="J182">IFERROR(INDEX('Work Items'!$L$6:$L$5000,SMALL(IF('Work Items'!$A$6:$A$5000="Risk",ROW('Work Items'!$A$6:$A$5000)-ROW('Work Items'!$A$6)+1),178)),"")</f>
        <v/>
      </c>
      <c r="K182">
        <f t="array" ref="K182">IFERROR(IF(AND(INDEX('Work Items'!$R$6:$R$5000,SMALL(IF('Work Items'!$A$6:$A$5000="Risk",ROW('Work Items'!$A$6:$A$5000)-ROW('Work Items'!$A$6)+1),178))&lt;&gt;"",INDEX('Work Items'!$S$6:$S$5000,SMALL(IF('Work Items'!$A$6:$A$5000="Risk",ROW('Work Items'!$A$6:$A$5000)-ROW('Work Items'!$A$6)+1),178))&lt;&gt;""),INDEX('Work Items'!$R$6:$R$5000,SMALL(IF('Work Items'!$A$6:$A$5000="Risk",ROW('Work Items'!$A$6:$A$5000)-ROW('Work Items'!$A$6)+1),178))*INDEX('Work Items'!$S$6:$S$5000,SMALL(IF('Work Items'!$A$6:$A$5000="Risk",ROW('Work Items'!$A$6:$A$5000)-ROW('Work Items'!$A$6)+1),178)),INDEX('Work Items'!$U$6:$U$5000,SMALL(IF('Work Items'!$A$6:$A$5000="Risk",ROW('Work Items'!$A$6:$A$5000)-ROW('Work Items'!$A$6)+1),178))),"")</f>
        <v/>
      </c>
      <c r="L182" s="217">
        <f t="array" ref="L182">IFERROR(INDEX('Work Items'!$Q$6:$Q$5000,SMALL(IF('Work Items'!$A$6:$A$5000="Risk",ROW('Work Items'!$A$6:$A$5000)-ROW('Work Items'!$A$6)+1),178)),"")</f>
        <v/>
      </c>
      <c r="M182">
        <f t="array" ref="M182">IFERROR(INDEX('Work Items'!$T$6:$T$5000,SMALL(IF('Work Items'!$A$6:$A$5000="Risk",ROW('Work Items'!$A$6:$A$5000)-ROW('Work Items'!$A$6)+1),178)),"")</f>
        <v/>
      </c>
    </row>
    <row r="183">
      <c r="A183">
        <f t="array" ref="A183">IFERROR(INDEX('Work Items'!$A$6:$A$5000,SMALL(IF('Work Items'!$A$6:$A$5000="Risk",ROW('Work Items'!$A$6:$A$5000)-ROW('Work Items'!$A$6)+1),179)),"")</f>
        <v/>
      </c>
      <c r="B183">
        <f t="array" ref="B183">IFERROR(INDEX('Work Items'!$B$6:$B$5000,SMALL(IF('Work Items'!$A$6:$A$5000="Risk",ROW('Work Items'!$A$6:$A$5000)-ROW('Work Items'!$A$6)+1),179)),"")</f>
        <v/>
      </c>
      <c r="C183">
        <f>IF(E183="","",IFERROR(INDEX('Projects Master'!$A:$A,MATCH(E183,'Projects Master'!$B:$B,0)),"OrgRisk"))</f>
        <v/>
      </c>
      <c r="D183">
        <f t="array" ref="D183">IFERROR(INDEX('Work Items'!$C$6:$C$5000,SMALL(IF('Work Items'!$A$6:$A$5000="Risk",ROW('Work Items'!$A$6:$A$5000)-ROW('Work Items'!$A$6)+1),179)),"")</f>
        <v/>
      </c>
      <c r="E183">
        <f t="array" ref="E183">IFERROR(INDEX('Work Items'!$D$6:$D$5000,SMALL(IF('Work Items'!$A$6:$A$5000="Risk",ROW('Work Items'!$A$6:$A$5000)-ROW('Work Items'!$A$6)+1),179)),"")</f>
        <v/>
      </c>
      <c r="F183">
        <f t="array" ref="F183">IFERROR(INDEX('Work Items'!$E$6:$E$5000,SMALL(IF('Work Items'!$A$6:$A$5000="Risk",ROW('Work Items'!$A$6:$A$5000)-ROW('Work Items'!$A$6)+1),179)),"")</f>
        <v/>
      </c>
      <c r="G183">
        <f t="array" ref="G183">IFERROR(INDEX('Work Items'!$F$6:$F$5000,SMALL(IF('Work Items'!$A$6:$A$5000="Risk",ROW('Work Items'!$A$6:$A$5000)-ROW('Work Items'!$A$6)+1),179)),"")</f>
        <v/>
      </c>
      <c r="H183">
        <f t="array" ref="H183">IFERROR(INDEX('Work Items'!$J$6:$J$5000,SMALL(IF('Work Items'!$A$6:$A$5000="Risk",ROW('Work Items'!$A$6:$A$5000)-ROW('Work Items'!$A$6)+1),179)),"")</f>
        <v/>
      </c>
      <c r="I183">
        <f t="array" ref="I183">IFERROR(INDEX('Work Items'!$K$6:$K$5000,SMALL(IF('Work Items'!$A$6:$A$5000="Risk",ROW('Work Items'!$A$6:$A$5000)-ROW('Work Items'!$A$6)+1),179)),"")</f>
        <v/>
      </c>
      <c r="J183">
        <f t="array" ref="J183">IFERROR(INDEX('Work Items'!$L$6:$L$5000,SMALL(IF('Work Items'!$A$6:$A$5000="Risk",ROW('Work Items'!$A$6:$A$5000)-ROW('Work Items'!$A$6)+1),179)),"")</f>
        <v/>
      </c>
      <c r="K183">
        <f t="array" ref="K183">IFERROR(IF(AND(INDEX('Work Items'!$R$6:$R$5000,SMALL(IF('Work Items'!$A$6:$A$5000="Risk",ROW('Work Items'!$A$6:$A$5000)-ROW('Work Items'!$A$6)+1),179))&lt;&gt;"",INDEX('Work Items'!$S$6:$S$5000,SMALL(IF('Work Items'!$A$6:$A$5000="Risk",ROW('Work Items'!$A$6:$A$5000)-ROW('Work Items'!$A$6)+1),179))&lt;&gt;""),INDEX('Work Items'!$R$6:$R$5000,SMALL(IF('Work Items'!$A$6:$A$5000="Risk",ROW('Work Items'!$A$6:$A$5000)-ROW('Work Items'!$A$6)+1),179))*INDEX('Work Items'!$S$6:$S$5000,SMALL(IF('Work Items'!$A$6:$A$5000="Risk",ROW('Work Items'!$A$6:$A$5000)-ROW('Work Items'!$A$6)+1),179)),INDEX('Work Items'!$U$6:$U$5000,SMALL(IF('Work Items'!$A$6:$A$5000="Risk",ROW('Work Items'!$A$6:$A$5000)-ROW('Work Items'!$A$6)+1),179))),"")</f>
        <v/>
      </c>
      <c r="L183" s="217">
        <f t="array" ref="L183">IFERROR(INDEX('Work Items'!$Q$6:$Q$5000,SMALL(IF('Work Items'!$A$6:$A$5000="Risk",ROW('Work Items'!$A$6:$A$5000)-ROW('Work Items'!$A$6)+1),179)),"")</f>
        <v/>
      </c>
      <c r="M183">
        <f t="array" ref="M183">IFERROR(INDEX('Work Items'!$T$6:$T$5000,SMALL(IF('Work Items'!$A$6:$A$5000="Risk",ROW('Work Items'!$A$6:$A$5000)-ROW('Work Items'!$A$6)+1),179)),"")</f>
        <v/>
      </c>
    </row>
    <row r="184">
      <c r="A184">
        <f t="array" ref="A184">IFERROR(INDEX('Work Items'!$A$6:$A$5000,SMALL(IF('Work Items'!$A$6:$A$5000="Risk",ROW('Work Items'!$A$6:$A$5000)-ROW('Work Items'!$A$6)+1),180)),"")</f>
        <v/>
      </c>
      <c r="B184">
        <f t="array" ref="B184">IFERROR(INDEX('Work Items'!$B$6:$B$5000,SMALL(IF('Work Items'!$A$6:$A$5000="Risk",ROW('Work Items'!$A$6:$A$5000)-ROW('Work Items'!$A$6)+1),180)),"")</f>
        <v/>
      </c>
      <c r="C184">
        <f>IF(E184="","",IFERROR(INDEX('Projects Master'!$A:$A,MATCH(E184,'Projects Master'!$B:$B,0)),"OrgRisk"))</f>
        <v/>
      </c>
      <c r="D184">
        <f t="array" ref="D184">IFERROR(INDEX('Work Items'!$C$6:$C$5000,SMALL(IF('Work Items'!$A$6:$A$5000="Risk",ROW('Work Items'!$A$6:$A$5000)-ROW('Work Items'!$A$6)+1),180)),"")</f>
        <v/>
      </c>
      <c r="E184">
        <f t="array" ref="E184">IFERROR(INDEX('Work Items'!$D$6:$D$5000,SMALL(IF('Work Items'!$A$6:$A$5000="Risk",ROW('Work Items'!$A$6:$A$5000)-ROW('Work Items'!$A$6)+1),180)),"")</f>
        <v/>
      </c>
      <c r="F184">
        <f t="array" ref="F184">IFERROR(INDEX('Work Items'!$E$6:$E$5000,SMALL(IF('Work Items'!$A$6:$A$5000="Risk",ROW('Work Items'!$A$6:$A$5000)-ROW('Work Items'!$A$6)+1),180)),"")</f>
        <v/>
      </c>
      <c r="G184">
        <f t="array" ref="G184">IFERROR(INDEX('Work Items'!$F$6:$F$5000,SMALL(IF('Work Items'!$A$6:$A$5000="Risk",ROW('Work Items'!$A$6:$A$5000)-ROW('Work Items'!$A$6)+1),180)),"")</f>
        <v/>
      </c>
      <c r="H184">
        <f t="array" ref="H184">IFERROR(INDEX('Work Items'!$J$6:$J$5000,SMALL(IF('Work Items'!$A$6:$A$5000="Risk",ROW('Work Items'!$A$6:$A$5000)-ROW('Work Items'!$A$6)+1),180)),"")</f>
        <v/>
      </c>
      <c r="I184">
        <f t="array" ref="I184">IFERROR(INDEX('Work Items'!$K$6:$K$5000,SMALL(IF('Work Items'!$A$6:$A$5000="Risk",ROW('Work Items'!$A$6:$A$5000)-ROW('Work Items'!$A$6)+1),180)),"")</f>
        <v/>
      </c>
      <c r="J184">
        <f t="array" ref="J184">IFERROR(INDEX('Work Items'!$L$6:$L$5000,SMALL(IF('Work Items'!$A$6:$A$5000="Risk",ROW('Work Items'!$A$6:$A$5000)-ROW('Work Items'!$A$6)+1),180)),"")</f>
        <v/>
      </c>
      <c r="K184">
        <f t="array" ref="K184">IFERROR(IF(AND(INDEX('Work Items'!$R$6:$R$5000,SMALL(IF('Work Items'!$A$6:$A$5000="Risk",ROW('Work Items'!$A$6:$A$5000)-ROW('Work Items'!$A$6)+1),180))&lt;&gt;"",INDEX('Work Items'!$S$6:$S$5000,SMALL(IF('Work Items'!$A$6:$A$5000="Risk",ROW('Work Items'!$A$6:$A$5000)-ROW('Work Items'!$A$6)+1),180))&lt;&gt;""),INDEX('Work Items'!$R$6:$R$5000,SMALL(IF('Work Items'!$A$6:$A$5000="Risk",ROW('Work Items'!$A$6:$A$5000)-ROW('Work Items'!$A$6)+1),180))*INDEX('Work Items'!$S$6:$S$5000,SMALL(IF('Work Items'!$A$6:$A$5000="Risk",ROW('Work Items'!$A$6:$A$5000)-ROW('Work Items'!$A$6)+1),180)),INDEX('Work Items'!$U$6:$U$5000,SMALL(IF('Work Items'!$A$6:$A$5000="Risk",ROW('Work Items'!$A$6:$A$5000)-ROW('Work Items'!$A$6)+1),180))),"")</f>
        <v/>
      </c>
      <c r="L184" s="217">
        <f t="array" ref="L184">IFERROR(INDEX('Work Items'!$Q$6:$Q$5000,SMALL(IF('Work Items'!$A$6:$A$5000="Risk",ROW('Work Items'!$A$6:$A$5000)-ROW('Work Items'!$A$6)+1),180)),"")</f>
        <v/>
      </c>
      <c r="M184">
        <f t="array" ref="M184">IFERROR(INDEX('Work Items'!$T$6:$T$5000,SMALL(IF('Work Items'!$A$6:$A$5000="Risk",ROW('Work Items'!$A$6:$A$5000)-ROW('Work Items'!$A$6)+1),180)),"")</f>
        <v/>
      </c>
    </row>
    <row r="185">
      <c r="A185">
        <f t="array" ref="A185">IFERROR(INDEX('Work Items'!$A$6:$A$5000,SMALL(IF('Work Items'!$A$6:$A$5000="Risk",ROW('Work Items'!$A$6:$A$5000)-ROW('Work Items'!$A$6)+1),181)),"")</f>
        <v/>
      </c>
      <c r="B185">
        <f t="array" ref="B185">IFERROR(INDEX('Work Items'!$B$6:$B$5000,SMALL(IF('Work Items'!$A$6:$A$5000="Risk",ROW('Work Items'!$A$6:$A$5000)-ROW('Work Items'!$A$6)+1),181)),"")</f>
        <v/>
      </c>
      <c r="C185">
        <f>IF(E185="","",IFERROR(INDEX('Projects Master'!$A:$A,MATCH(E185,'Projects Master'!$B:$B,0)),"OrgRisk"))</f>
        <v/>
      </c>
      <c r="D185">
        <f t="array" ref="D185">IFERROR(INDEX('Work Items'!$C$6:$C$5000,SMALL(IF('Work Items'!$A$6:$A$5000="Risk",ROW('Work Items'!$A$6:$A$5000)-ROW('Work Items'!$A$6)+1),181)),"")</f>
        <v/>
      </c>
      <c r="E185">
        <f t="array" ref="E185">IFERROR(INDEX('Work Items'!$D$6:$D$5000,SMALL(IF('Work Items'!$A$6:$A$5000="Risk",ROW('Work Items'!$A$6:$A$5000)-ROW('Work Items'!$A$6)+1),181)),"")</f>
        <v/>
      </c>
      <c r="F185">
        <f t="array" ref="F185">IFERROR(INDEX('Work Items'!$E$6:$E$5000,SMALL(IF('Work Items'!$A$6:$A$5000="Risk",ROW('Work Items'!$A$6:$A$5000)-ROW('Work Items'!$A$6)+1),181)),"")</f>
        <v/>
      </c>
      <c r="G185">
        <f t="array" ref="G185">IFERROR(INDEX('Work Items'!$F$6:$F$5000,SMALL(IF('Work Items'!$A$6:$A$5000="Risk",ROW('Work Items'!$A$6:$A$5000)-ROW('Work Items'!$A$6)+1),181)),"")</f>
        <v/>
      </c>
      <c r="H185">
        <f t="array" ref="H185">IFERROR(INDEX('Work Items'!$J$6:$J$5000,SMALL(IF('Work Items'!$A$6:$A$5000="Risk",ROW('Work Items'!$A$6:$A$5000)-ROW('Work Items'!$A$6)+1),181)),"")</f>
        <v/>
      </c>
      <c r="I185">
        <f t="array" ref="I185">IFERROR(INDEX('Work Items'!$K$6:$K$5000,SMALL(IF('Work Items'!$A$6:$A$5000="Risk",ROW('Work Items'!$A$6:$A$5000)-ROW('Work Items'!$A$6)+1),181)),"")</f>
        <v/>
      </c>
      <c r="J185">
        <f t="array" ref="J185">IFERROR(INDEX('Work Items'!$L$6:$L$5000,SMALL(IF('Work Items'!$A$6:$A$5000="Risk",ROW('Work Items'!$A$6:$A$5000)-ROW('Work Items'!$A$6)+1),181)),"")</f>
        <v/>
      </c>
      <c r="K185">
        <f t="array" ref="K185">IFERROR(IF(AND(INDEX('Work Items'!$R$6:$R$5000,SMALL(IF('Work Items'!$A$6:$A$5000="Risk",ROW('Work Items'!$A$6:$A$5000)-ROW('Work Items'!$A$6)+1),181))&lt;&gt;"",INDEX('Work Items'!$S$6:$S$5000,SMALL(IF('Work Items'!$A$6:$A$5000="Risk",ROW('Work Items'!$A$6:$A$5000)-ROW('Work Items'!$A$6)+1),181))&lt;&gt;""),INDEX('Work Items'!$R$6:$R$5000,SMALL(IF('Work Items'!$A$6:$A$5000="Risk",ROW('Work Items'!$A$6:$A$5000)-ROW('Work Items'!$A$6)+1),181))*INDEX('Work Items'!$S$6:$S$5000,SMALL(IF('Work Items'!$A$6:$A$5000="Risk",ROW('Work Items'!$A$6:$A$5000)-ROW('Work Items'!$A$6)+1),181)),INDEX('Work Items'!$U$6:$U$5000,SMALL(IF('Work Items'!$A$6:$A$5000="Risk",ROW('Work Items'!$A$6:$A$5000)-ROW('Work Items'!$A$6)+1),181))),"")</f>
        <v/>
      </c>
      <c r="L185" s="217">
        <f t="array" ref="L185">IFERROR(INDEX('Work Items'!$Q$6:$Q$5000,SMALL(IF('Work Items'!$A$6:$A$5000="Risk",ROW('Work Items'!$A$6:$A$5000)-ROW('Work Items'!$A$6)+1),181)),"")</f>
        <v/>
      </c>
      <c r="M185">
        <f t="array" ref="M185">IFERROR(INDEX('Work Items'!$T$6:$T$5000,SMALL(IF('Work Items'!$A$6:$A$5000="Risk",ROW('Work Items'!$A$6:$A$5000)-ROW('Work Items'!$A$6)+1),181)),"")</f>
        <v/>
      </c>
    </row>
    <row r="186">
      <c r="A186">
        <f t="array" ref="A186">IFERROR(INDEX('Work Items'!$A$6:$A$5000,SMALL(IF('Work Items'!$A$6:$A$5000="Risk",ROW('Work Items'!$A$6:$A$5000)-ROW('Work Items'!$A$6)+1),182)),"")</f>
        <v/>
      </c>
      <c r="B186">
        <f t="array" ref="B186">IFERROR(INDEX('Work Items'!$B$6:$B$5000,SMALL(IF('Work Items'!$A$6:$A$5000="Risk",ROW('Work Items'!$A$6:$A$5000)-ROW('Work Items'!$A$6)+1),182)),"")</f>
        <v/>
      </c>
      <c r="C186">
        <f>IF(E186="","",IFERROR(INDEX('Projects Master'!$A:$A,MATCH(E186,'Projects Master'!$B:$B,0)),"OrgRisk"))</f>
        <v/>
      </c>
      <c r="D186">
        <f t="array" ref="D186">IFERROR(INDEX('Work Items'!$C$6:$C$5000,SMALL(IF('Work Items'!$A$6:$A$5000="Risk",ROW('Work Items'!$A$6:$A$5000)-ROW('Work Items'!$A$6)+1),182)),"")</f>
        <v/>
      </c>
      <c r="E186">
        <f t="array" ref="E186">IFERROR(INDEX('Work Items'!$D$6:$D$5000,SMALL(IF('Work Items'!$A$6:$A$5000="Risk",ROW('Work Items'!$A$6:$A$5000)-ROW('Work Items'!$A$6)+1),182)),"")</f>
        <v/>
      </c>
      <c r="F186">
        <f t="array" ref="F186">IFERROR(INDEX('Work Items'!$E$6:$E$5000,SMALL(IF('Work Items'!$A$6:$A$5000="Risk",ROW('Work Items'!$A$6:$A$5000)-ROW('Work Items'!$A$6)+1),182)),"")</f>
        <v/>
      </c>
      <c r="G186">
        <f t="array" ref="G186">IFERROR(INDEX('Work Items'!$F$6:$F$5000,SMALL(IF('Work Items'!$A$6:$A$5000="Risk",ROW('Work Items'!$A$6:$A$5000)-ROW('Work Items'!$A$6)+1),182)),"")</f>
        <v/>
      </c>
      <c r="H186">
        <f t="array" ref="H186">IFERROR(INDEX('Work Items'!$J$6:$J$5000,SMALL(IF('Work Items'!$A$6:$A$5000="Risk",ROW('Work Items'!$A$6:$A$5000)-ROW('Work Items'!$A$6)+1),182)),"")</f>
        <v/>
      </c>
      <c r="I186">
        <f t="array" ref="I186">IFERROR(INDEX('Work Items'!$K$6:$K$5000,SMALL(IF('Work Items'!$A$6:$A$5000="Risk",ROW('Work Items'!$A$6:$A$5000)-ROW('Work Items'!$A$6)+1),182)),"")</f>
        <v/>
      </c>
      <c r="J186">
        <f t="array" ref="J186">IFERROR(INDEX('Work Items'!$L$6:$L$5000,SMALL(IF('Work Items'!$A$6:$A$5000="Risk",ROW('Work Items'!$A$6:$A$5000)-ROW('Work Items'!$A$6)+1),182)),"")</f>
        <v/>
      </c>
      <c r="K186">
        <f t="array" ref="K186">IFERROR(IF(AND(INDEX('Work Items'!$R$6:$R$5000,SMALL(IF('Work Items'!$A$6:$A$5000="Risk",ROW('Work Items'!$A$6:$A$5000)-ROW('Work Items'!$A$6)+1),182))&lt;&gt;"",INDEX('Work Items'!$S$6:$S$5000,SMALL(IF('Work Items'!$A$6:$A$5000="Risk",ROW('Work Items'!$A$6:$A$5000)-ROW('Work Items'!$A$6)+1),182))&lt;&gt;""),INDEX('Work Items'!$R$6:$R$5000,SMALL(IF('Work Items'!$A$6:$A$5000="Risk",ROW('Work Items'!$A$6:$A$5000)-ROW('Work Items'!$A$6)+1),182))*INDEX('Work Items'!$S$6:$S$5000,SMALL(IF('Work Items'!$A$6:$A$5000="Risk",ROW('Work Items'!$A$6:$A$5000)-ROW('Work Items'!$A$6)+1),182)),INDEX('Work Items'!$U$6:$U$5000,SMALL(IF('Work Items'!$A$6:$A$5000="Risk",ROW('Work Items'!$A$6:$A$5000)-ROW('Work Items'!$A$6)+1),182))),"")</f>
        <v/>
      </c>
      <c r="L186" s="217">
        <f t="array" ref="L186">IFERROR(INDEX('Work Items'!$Q$6:$Q$5000,SMALL(IF('Work Items'!$A$6:$A$5000="Risk",ROW('Work Items'!$A$6:$A$5000)-ROW('Work Items'!$A$6)+1),182)),"")</f>
        <v/>
      </c>
      <c r="M186">
        <f t="array" ref="M186">IFERROR(INDEX('Work Items'!$T$6:$T$5000,SMALL(IF('Work Items'!$A$6:$A$5000="Risk",ROW('Work Items'!$A$6:$A$5000)-ROW('Work Items'!$A$6)+1),182)),"")</f>
        <v/>
      </c>
    </row>
    <row r="187">
      <c r="A187">
        <f t="array" ref="A187">IFERROR(INDEX('Work Items'!$A$6:$A$5000,SMALL(IF('Work Items'!$A$6:$A$5000="Risk",ROW('Work Items'!$A$6:$A$5000)-ROW('Work Items'!$A$6)+1),183)),"")</f>
        <v/>
      </c>
      <c r="B187">
        <f t="array" ref="B187">IFERROR(INDEX('Work Items'!$B$6:$B$5000,SMALL(IF('Work Items'!$A$6:$A$5000="Risk",ROW('Work Items'!$A$6:$A$5000)-ROW('Work Items'!$A$6)+1),183)),"")</f>
        <v/>
      </c>
      <c r="C187">
        <f>IF(E187="","",IFERROR(INDEX('Projects Master'!$A:$A,MATCH(E187,'Projects Master'!$B:$B,0)),"OrgRisk"))</f>
        <v/>
      </c>
      <c r="D187">
        <f t="array" ref="D187">IFERROR(INDEX('Work Items'!$C$6:$C$5000,SMALL(IF('Work Items'!$A$6:$A$5000="Risk",ROW('Work Items'!$A$6:$A$5000)-ROW('Work Items'!$A$6)+1),183)),"")</f>
        <v/>
      </c>
      <c r="E187">
        <f t="array" ref="E187">IFERROR(INDEX('Work Items'!$D$6:$D$5000,SMALL(IF('Work Items'!$A$6:$A$5000="Risk",ROW('Work Items'!$A$6:$A$5000)-ROW('Work Items'!$A$6)+1),183)),"")</f>
        <v/>
      </c>
      <c r="F187">
        <f t="array" ref="F187">IFERROR(INDEX('Work Items'!$E$6:$E$5000,SMALL(IF('Work Items'!$A$6:$A$5000="Risk",ROW('Work Items'!$A$6:$A$5000)-ROW('Work Items'!$A$6)+1),183)),"")</f>
        <v/>
      </c>
      <c r="G187">
        <f t="array" ref="G187">IFERROR(INDEX('Work Items'!$F$6:$F$5000,SMALL(IF('Work Items'!$A$6:$A$5000="Risk",ROW('Work Items'!$A$6:$A$5000)-ROW('Work Items'!$A$6)+1),183)),"")</f>
        <v/>
      </c>
      <c r="H187">
        <f t="array" ref="H187">IFERROR(INDEX('Work Items'!$J$6:$J$5000,SMALL(IF('Work Items'!$A$6:$A$5000="Risk",ROW('Work Items'!$A$6:$A$5000)-ROW('Work Items'!$A$6)+1),183)),"")</f>
        <v/>
      </c>
      <c r="I187">
        <f t="array" ref="I187">IFERROR(INDEX('Work Items'!$K$6:$K$5000,SMALL(IF('Work Items'!$A$6:$A$5000="Risk",ROW('Work Items'!$A$6:$A$5000)-ROW('Work Items'!$A$6)+1),183)),"")</f>
        <v/>
      </c>
      <c r="J187">
        <f t="array" ref="J187">IFERROR(INDEX('Work Items'!$L$6:$L$5000,SMALL(IF('Work Items'!$A$6:$A$5000="Risk",ROW('Work Items'!$A$6:$A$5000)-ROW('Work Items'!$A$6)+1),183)),"")</f>
        <v/>
      </c>
      <c r="K187">
        <f t="array" ref="K187">IFERROR(IF(AND(INDEX('Work Items'!$R$6:$R$5000,SMALL(IF('Work Items'!$A$6:$A$5000="Risk",ROW('Work Items'!$A$6:$A$5000)-ROW('Work Items'!$A$6)+1),183))&lt;&gt;"",INDEX('Work Items'!$S$6:$S$5000,SMALL(IF('Work Items'!$A$6:$A$5000="Risk",ROW('Work Items'!$A$6:$A$5000)-ROW('Work Items'!$A$6)+1),183))&lt;&gt;""),INDEX('Work Items'!$R$6:$R$5000,SMALL(IF('Work Items'!$A$6:$A$5000="Risk",ROW('Work Items'!$A$6:$A$5000)-ROW('Work Items'!$A$6)+1),183))*INDEX('Work Items'!$S$6:$S$5000,SMALL(IF('Work Items'!$A$6:$A$5000="Risk",ROW('Work Items'!$A$6:$A$5000)-ROW('Work Items'!$A$6)+1),183)),INDEX('Work Items'!$U$6:$U$5000,SMALL(IF('Work Items'!$A$6:$A$5000="Risk",ROW('Work Items'!$A$6:$A$5000)-ROW('Work Items'!$A$6)+1),183))),"")</f>
        <v/>
      </c>
      <c r="L187" s="217">
        <f t="array" ref="L187">IFERROR(INDEX('Work Items'!$Q$6:$Q$5000,SMALL(IF('Work Items'!$A$6:$A$5000="Risk",ROW('Work Items'!$A$6:$A$5000)-ROW('Work Items'!$A$6)+1),183)),"")</f>
        <v/>
      </c>
      <c r="M187">
        <f t="array" ref="M187">IFERROR(INDEX('Work Items'!$T$6:$T$5000,SMALL(IF('Work Items'!$A$6:$A$5000="Risk",ROW('Work Items'!$A$6:$A$5000)-ROW('Work Items'!$A$6)+1),183)),"")</f>
        <v/>
      </c>
    </row>
    <row r="188">
      <c r="A188">
        <f t="array" ref="A188">IFERROR(INDEX('Work Items'!$A$6:$A$5000,SMALL(IF('Work Items'!$A$6:$A$5000="Risk",ROW('Work Items'!$A$6:$A$5000)-ROW('Work Items'!$A$6)+1),184)),"")</f>
        <v/>
      </c>
      <c r="B188">
        <f t="array" ref="B188">IFERROR(INDEX('Work Items'!$B$6:$B$5000,SMALL(IF('Work Items'!$A$6:$A$5000="Risk",ROW('Work Items'!$A$6:$A$5000)-ROW('Work Items'!$A$6)+1),184)),"")</f>
        <v/>
      </c>
      <c r="C188">
        <f>IF(E188="","",IFERROR(INDEX('Projects Master'!$A:$A,MATCH(E188,'Projects Master'!$B:$B,0)),"OrgRisk"))</f>
        <v/>
      </c>
      <c r="D188">
        <f t="array" ref="D188">IFERROR(INDEX('Work Items'!$C$6:$C$5000,SMALL(IF('Work Items'!$A$6:$A$5000="Risk",ROW('Work Items'!$A$6:$A$5000)-ROW('Work Items'!$A$6)+1),184)),"")</f>
        <v/>
      </c>
      <c r="E188">
        <f t="array" ref="E188">IFERROR(INDEX('Work Items'!$D$6:$D$5000,SMALL(IF('Work Items'!$A$6:$A$5000="Risk",ROW('Work Items'!$A$6:$A$5000)-ROW('Work Items'!$A$6)+1),184)),"")</f>
        <v/>
      </c>
      <c r="F188">
        <f t="array" ref="F188">IFERROR(INDEX('Work Items'!$E$6:$E$5000,SMALL(IF('Work Items'!$A$6:$A$5000="Risk",ROW('Work Items'!$A$6:$A$5000)-ROW('Work Items'!$A$6)+1),184)),"")</f>
        <v/>
      </c>
      <c r="G188">
        <f t="array" ref="G188">IFERROR(INDEX('Work Items'!$F$6:$F$5000,SMALL(IF('Work Items'!$A$6:$A$5000="Risk",ROW('Work Items'!$A$6:$A$5000)-ROW('Work Items'!$A$6)+1),184)),"")</f>
        <v/>
      </c>
      <c r="H188">
        <f t="array" ref="H188">IFERROR(INDEX('Work Items'!$J$6:$J$5000,SMALL(IF('Work Items'!$A$6:$A$5000="Risk",ROW('Work Items'!$A$6:$A$5000)-ROW('Work Items'!$A$6)+1),184)),"")</f>
        <v/>
      </c>
      <c r="I188">
        <f t="array" ref="I188">IFERROR(INDEX('Work Items'!$K$6:$K$5000,SMALL(IF('Work Items'!$A$6:$A$5000="Risk",ROW('Work Items'!$A$6:$A$5000)-ROW('Work Items'!$A$6)+1),184)),"")</f>
        <v/>
      </c>
      <c r="J188">
        <f t="array" ref="J188">IFERROR(INDEX('Work Items'!$L$6:$L$5000,SMALL(IF('Work Items'!$A$6:$A$5000="Risk",ROW('Work Items'!$A$6:$A$5000)-ROW('Work Items'!$A$6)+1),184)),"")</f>
        <v/>
      </c>
      <c r="K188">
        <f t="array" ref="K188">IFERROR(IF(AND(INDEX('Work Items'!$R$6:$R$5000,SMALL(IF('Work Items'!$A$6:$A$5000="Risk",ROW('Work Items'!$A$6:$A$5000)-ROW('Work Items'!$A$6)+1),184))&lt;&gt;"",INDEX('Work Items'!$S$6:$S$5000,SMALL(IF('Work Items'!$A$6:$A$5000="Risk",ROW('Work Items'!$A$6:$A$5000)-ROW('Work Items'!$A$6)+1),184))&lt;&gt;""),INDEX('Work Items'!$R$6:$R$5000,SMALL(IF('Work Items'!$A$6:$A$5000="Risk",ROW('Work Items'!$A$6:$A$5000)-ROW('Work Items'!$A$6)+1),184))*INDEX('Work Items'!$S$6:$S$5000,SMALL(IF('Work Items'!$A$6:$A$5000="Risk",ROW('Work Items'!$A$6:$A$5000)-ROW('Work Items'!$A$6)+1),184)),INDEX('Work Items'!$U$6:$U$5000,SMALL(IF('Work Items'!$A$6:$A$5000="Risk",ROW('Work Items'!$A$6:$A$5000)-ROW('Work Items'!$A$6)+1),184))),"")</f>
        <v/>
      </c>
      <c r="L188" s="217">
        <f t="array" ref="L188">IFERROR(INDEX('Work Items'!$Q$6:$Q$5000,SMALL(IF('Work Items'!$A$6:$A$5000="Risk",ROW('Work Items'!$A$6:$A$5000)-ROW('Work Items'!$A$6)+1),184)),"")</f>
        <v/>
      </c>
      <c r="M188">
        <f t="array" ref="M188">IFERROR(INDEX('Work Items'!$T$6:$T$5000,SMALL(IF('Work Items'!$A$6:$A$5000="Risk",ROW('Work Items'!$A$6:$A$5000)-ROW('Work Items'!$A$6)+1),184)),"")</f>
        <v/>
      </c>
    </row>
    <row r="189">
      <c r="A189">
        <f t="array" ref="A189">IFERROR(INDEX('Work Items'!$A$6:$A$5000,SMALL(IF('Work Items'!$A$6:$A$5000="Risk",ROW('Work Items'!$A$6:$A$5000)-ROW('Work Items'!$A$6)+1),185)),"")</f>
        <v/>
      </c>
      <c r="B189">
        <f t="array" ref="B189">IFERROR(INDEX('Work Items'!$B$6:$B$5000,SMALL(IF('Work Items'!$A$6:$A$5000="Risk",ROW('Work Items'!$A$6:$A$5000)-ROW('Work Items'!$A$6)+1),185)),"")</f>
        <v/>
      </c>
      <c r="C189">
        <f>IF(E189="","",IFERROR(INDEX('Projects Master'!$A:$A,MATCH(E189,'Projects Master'!$B:$B,0)),"OrgRisk"))</f>
        <v/>
      </c>
      <c r="D189">
        <f t="array" ref="D189">IFERROR(INDEX('Work Items'!$C$6:$C$5000,SMALL(IF('Work Items'!$A$6:$A$5000="Risk",ROW('Work Items'!$A$6:$A$5000)-ROW('Work Items'!$A$6)+1),185)),"")</f>
        <v/>
      </c>
      <c r="E189">
        <f t="array" ref="E189">IFERROR(INDEX('Work Items'!$D$6:$D$5000,SMALL(IF('Work Items'!$A$6:$A$5000="Risk",ROW('Work Items'!$A$6:$A$5000)-ROW('Work Items'!$A$6)+1),185)),"")</f>
        <v/>
      </c>
      <c r="F189">
        <f t="array" ref="F189">IFERROR(INDEX('Work Items'!$E$6:$E$5000,SMALL(IF('Work Items'!$A$6:$A$5000="Risk",ROW('Work Items'!$A$6:$A$5000)-ROW('Work Items'!$A$6)+1),185)),"")</f>
        <v/>
      </c>
      <c r="G189">
        <f t="array" ref="G189">IFERROR(INDEX('Work Items'!$F$6:$F$5000,SMALL(IF('Work Items'!$A$6:$A$5000="Risk",ROW('Work Items'!$A$6:$A$5000)-ROW('Work Items'!$A$6)+1),185)),"")</f>
        <v/>
      </c>
      <c r="H189">
        <f t="array" ref="H189">IFERROR(INDEX('Work Items'!$J$6:$J$5000,SMALL(IF('Work Items'!$A$6:$A$5000="Risk",ROW('Work Items'!$A$6:$A$5000)-ROW('Work Items'!$A$6)+1),185)),"")</f>
        <v/>
      </c>
      <c r="I189">
        <f t="array" ref="I189">IFERROR(INDEX('Work Items'!$K$6:$K$5000,SMALL(IF('Work Items'!$A$6:$A$5000="Risk",ROW('Work Items'!$A$6:$A$5000)-ROW('Work Items'!$A$6)+1),185)),"")</f>
        <v/>
      </c>
      <c r="J189">
        <f t="array" ref="J189">IFERROR(INDEX('Work Items'!$L$6:$L$5000,SMALL(IF('Work Items'!$A$6:$A$5000="Risk",ROW('Work Items'!$A$6:$A$5000)-ROW('Work Items'!$A$6)+1),185)),"")</f>
        <v/>
      </c>
      <c r="K189">
        <f t="array" ref="K189">IFERROR(IF(AND(INDEX('Work Items'!$R$6:$R$5000,SMALL(IF('Work Items'!$A$6:$A$5000="Risk",ROW('Work Items'!$A$6:$A$5000)-ROW('Work Items'!$A$6)+1),185))&lt;&gt;"",INDEX('Work Items'!$S$6:$S$5000,SMALL(IF('Work Items'!$A$6:$A$5000="Risk",ROW('Work Items'!$A$6:$A$5000)-ROW('Work Items'!$A$6)+1),185))&lt;&gt;""),INDEX('Work Items'!$R$6:$R$5000,SMALL(IF('Work Items'!$A$6:$A$5000="Risk",ROW('Work Items'!$A$6:$A$5000)-ROW('Work Items'!$A$6)+1),185))*INDEX('Work Items'!$S$6:$S$5000,SMALL(IF('Work Items'!$A$6:$A$5000="Risk",ROW('Work Items'!$A$6:$A$5000)-ROW('Work Items'!$A$6)+1),185)),INDEX('Work Items'!$U$6:$U$5000,SMALL(IF('Work Items'!$A$6:$A$5000="Risk",ROW('Work Items'!$A$6:$A$5000)-ROW('Work Items'!$A$6)+1),185))),"")</f>
        <v/>
      </c>
      <c r="L189" s="217">
        <f t="array" ref="L189">IFERROR(INDEX('Work Items'!$Q$6:$Q$5000,SMALL(IF('Work Items'!$A$6:$A$5000="Risk",ROW('Work Items'!$A$6:$A$5000)-ROW('Work Items'!$A$6)+1),185)),"")</f>
        <v/>
      </c>
      <c r="M189">
        <f t="array" ref="M189">IFERROR(INDEX('Work Items'!$T$6:$T$5000,SMALL(IF('Work Items'!$A$6:$A$5000="Risk",ROW('Work Items'!$A$6:$A$5000)-ROW('Work Items'!$A$6)+1),185)),"")</f>
        <v/>
      </c>
    </row>
    <row r="190">
      <c r="A190">
        <f t="array" ref="A190">IFERROR(INDEX('Work Items'!$A$6:$A$5000,SMALL(IF('Work Items'!$A$6:$A$5000="Risk",ROW('Work Items'!$A$6:$A$5000)-ROW('Work Items'!$A$6)+1),186)),"")</f>
        <v/>
      </c>
      <c r="B190">
        <f t="array" ref="B190">IFERROR(INDEX('Work Items'!$B$6:$B$5000,SMALL(IF('Work Items'!$A$6:$A$5000="Risk",ROW('Work Items'!$A$6:$A$5000)-ROW('Work Items'!$A$6)+1),186)),"")</f>
        <v/>
      </c>
      <c r="C190">
        <f>IF(E190="","",IFERROR(INDEX('Projects Master'!$A:$A,MATCH(E190,'Projects Master'!$B:$B,0)),"OrgRisk"))</f>
        <v/>
      </c>
      <c r="D190">
        <f t="array" ref="D190">IFERROR(INDEX('Work Items'!$C$6:$C$5000,SMALL(IF('Work Items'!$A$6:$A$5000="Risk",ROW('Work Items'!$A$6:$A$5000)-ROW('Work Items'!$A$6)+1),186)),"")</f>
        <v/>
      </c>
      <c r="E190">
        <f t="array" ref="E190">IFERROR(INDEX('Work Items'!$D$6:$D$5000,SMALL(IF('Work Items'!$A$6:$A$5000="Risk",ROW('Work Items'!$A$6:$A$5000)-ROW('Work Items'!$A$6)+1),186)),"")</f>
        <v/>
      </c>
      <c r="F190">
        <f t="array" ref="F190">IFERROR(INDEX('Work Items'!$E$6:$E$5000,SMALL(IF('Work Items'!$A$6:$A$5000="Risk",ROW('Work Items'!$A$6:$A$5000)-ROW('Work Items'!$A$6)+1),186)),"")</f>
        <v/>
      </c>
      <c r="G190">
        <f t="array" ref="G190">IFERROR(INDEX('Work Items'!$F$6:$F$5000,SMALL(IF('Work Items'!$A$6:$A$5000="Risk",ROW('Work Items'!$A$6:$A$5000)-ROW('Work Items'!$A$6)+1),186)),"")</f>
        <v/>
      </c>
      <c r="H190">
        <f t="array" ref="H190">IFERROR(INDEX('Work Items'!$J$6:$J$5000,SMALL(IF('Work Items'!$A$6:$A$5000="Risk",ROW('Work Items'!$A$6:$A$5000)-ROW('Work Items'!$A$6)+1),186)),"")</f>
        <v/>
      </c>
      <c r="I190">
        <f t="array" ref="I190">IFERROR(INDEX('Work Items'!$K$6:$K$5000,SMALL(IF('Work Items'!$A$6:$A$5000="Risk",ROW('Work Items'!$A$6:$A$5000)-ROW('Work Items'!$A$6)+1),186)),"")</f>
        <v/>
      </c>
      <c r="J190">
        <f t="array" ref="J190">IFERROR(INDEX('Work Items'!$L$6:$L$5000,SMALL(IF('Work Items'!$A$6:$A$5000="Risk",ROW('Work Items'!$A$6:$A$5000)-ROW('Work Items'!$A$6)+1),186)),"")</f>
        <v/>
      </c>
      <c r="K190">
        <f t="array" ref="K190">IFERROR(IF(AND(INDEX('Work Items'!$R$6:$R$5000,SMALL(IF('Work Items'!$A$6:$A$5000="Risk",ROW('Work Items'!$A$6:$A$5000)-ROW('Work Items'!$A$6)+1),186))&lt;&gt;"",INDEX('Work Items'!$S$6:$S$5000,SMALL(IF('Work Items'!$A$6:$A$5000="Risk",ROW('Work Items'!$A$6:$A$5000)-ROW('Work Items'!$A$6)+1),186))&lt;&gt;""),INDEX('Work Items'!$R$6:$R$5000,SMALL(IF('Work Items'!$A$6:$A$5000="Risk",ROW('Work Items'!$A$6:$A$5000)-ROW('Work Items'!$A$6)+1),186))*INDEX('Work Items'!$S$6:$S$5000,SMALL(IF('Work Items'!$A$6:$A$5000="Risk",ROW('Work Items'!$A$6:$A$5000)-ROW('Work Items'!$A$6)+1),186)),INDEX('Work Items'!$U$6:$U$5000,SMALL(IF('Work Items'!$A$6:$A$5000="Risk",ROW('Work Items'!$A$6:$A$5000)-ROW('Work Items'!$A$6)+1),186))),"")</f>
        <v/>
      </c>
      <c r="L190" s="217">
        <f t="array" ref="L190">IFERROR(INDEX('Work Items'!$Q$6:$Q$5000,SMALL(IF('Work Items'!$A$6:$A$5000="Risk",ROW('Work Items'!$A$6:$A$5000)-ROW('Work Items'!$A$6)+1),186)),"")</f>
        <v/>
      </c>
      <c r="M190">
        <f t="array" ref="M190">IFERROR(INDEX('Work Items'!$T$6:$T$5000,SMALL(IF('Work Items'!$A$6:$A$5000="Risk",ROW('Work Items'!$A$6:$A$5000)-ROW('Work Items'!$A$6)+1),186)),"")</f>
        <v/>
      </c>
    </row>
    <row r="191">
      <c r="A191">
        <f t="array" ref="A191">IFERROR(INDEX('Work Items'!$A$6:$A$5000,SMALL(IF('Work Items'!$A$6:$A$5000="Risk",ROW('Work Items'!$A$6:$A$5000)-ROW('Work Items'!$A$6)+1),187)),"")</f>
        <v/>
      </c>
      <c r="B191">
        <f t="array" ref="B191">IFERROR(INDEX('Work Items'!$B$6:$B$5000,SMALL(IF('Work Items'!$A$6:$A$5000="Risk",ROW('Work Items'!$A$6:$A$5000)-ROW('Work Items'!$A$6)+1),187)),"")</f>
        <v/>
      </c>
      <c r="C191">
        <f>IF(E191="","",IFERROR(INDEX('Projects Master'!$A:$A,MATCH(E191,'Projects Master'!$B:$B,0)),"OrgRisk"))</f>
        <v/>
      </c>
      <c r="D191">
        <f t="array" ref="D191">IFERROR(INDEX('Work Items'!$C$6:$C$5000,SMALL(IF('Work Items'!$A$6:$A$5000="Risk",ROW('Work Items'!$A$6:$A$5000)-ROW('Work Items'!$A$6)+1),187)),"")</f>
        <v/>
      </c>
      <c r="E191">
        <f t="array" ref="E191">IFERROR(INDEX('Work Items'!$D$6:$D$5000,SMALL(IF('Work Items'!$A$6:$A$5000="Risk",ROW('Work Items'!$A$6:$A$5000)-ROW('Work Items'!$A$6)+1),187)),"")</f>
        <v/>
      </c>
      <c r="F191">
        <f t="array" ref="F191">IFERROR(INDEX('Work Items'!$E$6:$E$5000,SMALL(IF('Work Items'!$A$6:$A$5000="Risk",ROW('Work Items'!$A$6:$A$5000)-ROW('Work Items'!$A$6)+1),187)),"")</f>
        <v/>
      </c>
      <c r="G191">
        <f t="array" ref="G191">IFERROR(INDEX('Work Items'!$F$6:$F$5000,SMALL(IF('Work Items'!$A$6:$A$5000="Risk",ROW('Work Items'!$A$6:$A$5000)-ROW('Work Items'!$A$6)+1),187)),"")</f>
        <v/>
      </c>
      <c r="H191">
        <f t="array" ref="H191">IFERROR(INDEX('Work Items'!$J$6:$J$5000,SMALL(IF('Work Items'!$A$6:$A$5000="Risk",ROW('Work Items'!$A$6:$A$5000)-ROW('Work Items'!$A$6)+1),187)),"")</f>
        <v/>
      </c>
      <c r="I191">
        <f t="array" ref="I191">IFERROR(INDEX('Work Items'!$K$6:$K$5000,SMALL(IF('Work Items'!$A$6:$A$5000="Risk",ROW('Work Items'!$A$6:$A$5000)-ROW('Work Items'!$A$6)+1),187)),"")</f>
        <v/>
      </c>
      <c r="J191">
        <f t="array" ref="J191">IFERROR(INDEX('Work Items'!$L$6:$L$5000,SMALL(IF('Work Items'!$A$6:$A$5000="Risk",ROW('Work Items'!$A$6:$A$5000)-ROW('Work Items'!$A$6)+1),187)),"")</f>
        <v/>
      </c>
      <c r="K191">
        <f t="array" ref="K191">IFERROR(IF(AND(INDEX('Work Items'!$R$6:$R$5000,SMALL(IF('Work Items'!$A$6:$A$5000="Risk",ROW('Work Items'!$A$6:$A$5000)-ROW('Work Items'!$A$6)+1),187))&lt;&gt;"",INDEX('Work Items'!$S$6:$S$5000,SMALL(IF('Work Items'!$A$6:$A$5000="Risk",ROW('Work Items'!$A$6:$A$5000)-ROW('Work Items'!$A$6)+1),187))&lt;&gt;""),INDEX('Work Items'!$R$6:$R$5000,SMALL(IF('Work Items'!$A$6:$A$5000="Risk",ROW('Work Items'!$A$6:$A$5000)-ROW('Work Items'!$A$6)+1),187))*INDEX('Work Items'!$S$6:$S$5000,SMALL(IF('Work Items'!$A$6:$A$5000="Risk",ROW('Work Items'!$A$6:$A$5000)-ROW('Work Items'!$A$6)+1),187)),INDEX('Work Items'!$U$6:$U$5000,SMALL(IF('Work Items'!$A$6:$A$5000="Risk",ROW('Work Items'!$A$6:$A$5000)-ROW('Work Items'!$A$6)+1),187))),"")</f>
        <v/>
      </c>
      <c r="L191" s="217">
        <f t="array" ref="L191">IFERROR(INDEX('Work Items'!$Q$6:$Q$5000,SMALL(IF('Work Items'!$A$6:$A$5000="Risk",ROW('Work Items'!$A$6:$A$5000)-ROW('Work Items'!$A$6)+1),187)),"")</f>
        <v/>
      </c>
      <c r="M191">
        <f t="array" ref="M191">IFERROR(INDEX('Work Items'!$T$6:$T$5000,SMALL(IF('Work Items'!$A$6:$A$5000="Risk",ROW('Work Items'!$A$6:$A$5000)-ROW('Work Items'!$A$6)+1),187)),"")</f>
        <v/>
      </c>
    </row>
    <row r="192">
      <c r="A192">
        <f t="array" ref="A192">IFERROR(INDEX('Work Items'!$A$6:$A$5000,SMALL(IF('Work Items'!$A$6:$A$5000="Risk",ROW('Work Items'!$A$6:$A$5000)-ROW('Work Items'!$A$6)+1),188)),"")</f>
        <v/>
      </c>
      <c r="B192">
        <f t="array" ref="B192">IFERROR(INDEX('Work Items'!$B$6:$B$5000,SMALL(IF('Work Items'!$A$6:$A$5000="Risk",ROW('Work Items'!$A$6:$A$5000)-ROW('Work Items'!$A$6)+1),188)),"")</f>
        <v/>
      </c>
      <c r="C192">
        <f>IF(E192="","",IFERROR(INDEX('Projects Master'!$A:$A,MATCH(E192,'Projects Master'!$B:$B,0)),"OrgRisk"))</f>
        <v/>
      </c>
      <c r="D192">
        <f t="array" ref="D192">IFERROR(INDEX('Work Items'!$C$6:$C$5000,SMALL(IF('Work Items'!$A$6:$A$5000="Risk",ROW('Work Items'!$A$6:$A$5000)-ROW('Work Items'!$A$6)+1),188)),"")</f>
        <v/>
      </c>
      <c r="E192">
        <f t="array" ref="E192">IFERROR(INDEX('Work Items'!$D$6:$D$5000,SMALL(IF('Work Items'!$A$6:$A$5000="Risk",ROW('Work Items'!$A$6:$A$5000)-ROW('Work Items'!$A$6)+1),188)),"")</f>
        <v/>
      </c>
      <c r="F192">
        <f t="array" ref="F192">IFERROR(INDEX('Work Items'!$E$6:$E$5000,SMALL(IF('Work Items'!$A$6:$A$5000="Risk",ROW('Work Items'!$A$6:$A$5000)-ROW('Work Items'!$A$6)+1),188)),"")</f>
        <v/>
      </c>
      <c r="G192">
        <f t="array" ref="G192">IFERROR(INDEX('Work Items'!$F$6:$F$5000,SMALL(IF('Work Items'!$A$6:$A$5000="Risk",ROW('Work Items'!$A$6:$A$5000)-ROW('Work Items'!$A$6)+1),188)),"")</f>
        <v/>
      </c>
      <c r="H192">
        <f t="array" ref="H192">IFERROR(INDEX('Work Items'!$J$6:$J$5000,SMALL(IF('Work Items'!$A$6:$A$5000="Risk",ROW('Work Items'!$A$6:$A$5000)-ROW('Work Items'!$A$6)+1),188)),"")</f>
        <v/>
      </c>
      <c r="I192">
        <f t="array" ref="I192">IFERROR(INDEX('Work Items'!$K$6:$K$5000,SMALL(IF('Work Items'!$A$6:$A$5000="Risk",ROW('Work Items'!$A$6:$A$5000)-ROW('Work Items'!$A$6)+1),188)),"")</f>
        <v/>
      </c>
      <c r="J192">
        <f t="array" ref="J192">IFERROR(INDEX('Work Items'!$L$6:$L$5000,SMALL(IF('Work Items'!$A$6:$A$5000="Risk",ROW('Work Items'!$A$6:$A$5000)-ROW('Work Items'!$A$6)+1),188)),"")</f>
        <v/>
      </c>
      <c r="K192">
        <f t="array" ref="K192">IFERROR(IF(AND(INDEX('Work Items'!$R$6:$R$5000,SMALL(IF('Work Items'!$A$6:$A$5000="Risk",ROW('Work Items'!$A$6:$A$5000)-ROW('Work Items'!$A$6)+1),188))&lt;&gt;"",INDEX('Work Items'!$S$6:$S$5000,SMALL(IF('Work Items'!$A$6:$A$5000="Risk",ROW('Work Items'!$A$6:$A$5000)-ROW('Work Items'!$A$6)+1),188))&lt;&gt;""),INDEX('Work Items'!$R$6:$R$5000,SMALL(IF('Work Items'!$A$6:$A$5000="Risk",ROW('Work Items'!$A$6:$A$5000)-ROW('Work Items'!$A$6)+1),188))*INDEX('Work Items'!$S$6:$S$5000,SMALL(IF('Work Items'!$A$6:$A$5000="Risk",ROW('Work Items'!$A$6:$A$5000)-ROW('Work Items'!$A$6)+1),188)),INDEX('Work Items'!$U$6:$U$5000,SMALL(IF('Work Items'!$A$6:$A$5000="Risk",ROW('Work Items'!$A$6:$A$5000)-ROW('Work Items'!$A$6)+1),188))),"")</f>
        <v/>
      </c>
      <c r="L192" s="217">
        <f t="array" ref="L192">IFERROR(INDEX('Work Items'!$Q$6:$Q$5000,SMALL(IF('Work Items'!$A$6:$A$5000="Risk",ROW('Work Items'!$A$6:$A$5000)-ROW('Work Items'!$A$6)+1),188)),"")</f>
        <v/>
      </c>
      <c r="M192">
        <f t="array" ref="M192">IFERROR(INDEX('Work Items'!$T$6:$T$5000,SMALL(IF('Work Items'!$A$6:$A$5000="Risk",ROW('Work Items'!$A$6:$A$5000)-ROW('Work Items'!$A$6)+1),188)),"")</f>
        <v/>
      </c>
    </row>
    <row r="193">
      <c r="A193">
        <f t="array" ref="A193">IFERROR(INDEX('Work Items'!$A$6:$A$5000,SMALL(IF('Work Items'!$A$6:$A$5000="Risk",ROW('Work Items'!$A$6:$A$5000)-ROW('Work Items'!$A$6)+1),189)),"")</f>
        <v/>
      </c>
      <c r="B193">
        <f t="array" ref="B193">IFERROR(INDEX('Work Items'!$B$6:$B$5000,SMALL(IF('Work Items'!$A$6:$A$5000="Risk",ROW('Work Items'!$A$6:$A$5000)-ROW('Work Items'!$A$6)+1),189)),"")</f>
        <v/>
      </c>
      <c r="C193">
        <f>IF(E193="","",IFERROR(INDEX('Projects Master'!$A:$A,MATCH(E193,'Projects Master'!$B:$B,0)),"OrgRisk"))</f>
        <v/>
      </c>
      <c r="D193">
        <f t="array" ref="D193">IFERROR(INDEX('Work Items'!$C$6:$C$5000,SMALL(IF('Work Items'!$A$6:$A$5000="Risk",ROW('Work Items'!$A$6:$A$5000)-ROW('Work Items'!$A$6)+1),189)),"")</f>
        <v/>
      </c>
      <c r="E193">
        <f t="array" ref="E193">IFERROR(INDEX('Work Items'!$D$6:$D$5000,SMALL(IF('Work Items'!$A$6:$A$5000="Risk",ROW('Work Items'!$A$6:$A$5000)-ROW('Work Items'!$A$6)+1),189)),"")</f>
        <v/>
      </c>
      <c r="F193">
        <f t="array" ref="F193">IFERROR(INDEX('Work Items'!$E$6:$E$5000,SMALL(IF('Work Items'!$A$6:$A$5000="Risk",ROW('Work Items'!$A$6:$A$5000)-ROW('Work Items'!$A$6)+1),189)),"")</f>
        <v/>
      </c>
      <c r="G193">
        <f t="array" ref="G193">IFERROR(INDEX('Work Items'!$F$6:$F$5000,SMALL(IF('Work Items'!$A$6:$A$5000="Risk",ROW('Work Items'!$A$6:$A$5000)-ROW('Work Items'!$A$6)+1),189)),"")</f>
        <v/>
      </c>
      <c r="H193">
        <f t="array" ref="H193">IFERROR(INDEX('Work Items'!$J$6:$J$5000,SMALL(IF('Work Items'!$A$6:$A$5000="Risk",ROW('Work Items'!$A$6:$A$5000)-ROW('Work Items'!$A$6)+1),189)),"")</f>
        <v/>
      </c>
      <c r="I193">
        <f t="array" ref="I193">IFERROR(INDEX('Work Items'!$K$6:$K$5000,SMALL(IF('Work Items'!$A$6:$A$5000="Risk",ROW('Work Items'!$A$6:$A$5000)-ROW('Work Items'!$A$6)+1),189)),"")</f>
        <v/>
      </c>
      <c r="J193">
        <f t="array" ref="J193">IFERROR(INDEX('Work Items'!$L$6:$L$5000,SMALL(IF('Work Items'!$A$6:$A$5000="Risk",ROW('Work Items'!$A$6:$A$5000)-ROW('Work Items'!$A$6)+1),189)),"")</f>
        <v/>
      </c>
      <c r="K193">
        <f t="array" ref="K193">IFERROR(IF(AND(INDEX('Work Items'!$R$6:$R$5000,SMALL(IF('Work Items'!$A$6:$A$5000="Risk",ROW('Work Items'!$A$6:$A$5000)-ROW('Work Items'!$A$6)+1),189))&lt;&gt;"",INDEX('Work Items'!$S$6:$S$5000,SMALL(IF('Work Items'!$A$6:$A$5000="Risk",ROW('Work Items'!$A$6:$A$5000)-ROW('Work Items'!$A$6)+1),189))&lt;&gt;""),INDEX('Work Items'!$R$6:$R$5000,SMALL(IF('Work Items'!$A$6:$A$5000="Risk",ROW('Work Items'!$A$6:$A$5000)-ROW('Work Items'!$A$6)+1),189))*INDEX('Work Items'!$S$6:$S$5000,SMALL(IF('Work Items'!$A$6:$A$5000="Risk",ROW('Work Items'!$A$6:$A$5000)-ROW('Work Items'!$A$6)+1),189)),INDEX('Work Items'!$U$6:$U$5000,SMALL(IF('Work Items'!$A$6:$A$5000="Risk",ROW('Work Items'!$A$6:$A$5000)-ROW('Work Items'!$A$6)+1),189))),"")</f>
        <v/>
      </c>
      <c r="L193" s="217">
        <f t="array" ref="L193">IFERROR(INDEX('Work Items'!$Q$6:$Q$5000,SMALL(IF('Work Items'!$A$6:$A$5000="Risk",ROW('Work Items'!$A$6:$A$5000)-ROW('Work Items'!$A$6)+1),189)),"")</f>
        <v/>
      </c>
      <c r="M193">
        <f t="array" ref="M193">IFERROR(INDEX('Work Items'!$T$6:$T$5000,SMALL(IF('Work Items'!$A$6:$A$5000="Risk",ROW('Work Items'!$A$6:$A$5000)-ROW('Work Items'!$A$6)+1),189)),"")</f>
        <v/>
      </c>
    </row>
    <row r="194">
      <c r="A194">
        <f t="array" ref="A194">IFERROR(INDEX('Work Items'!$A$6:$A$5000,SMALL(IF('Work Items'!$A$6:$A$5000="Risk",ROW('Work Items'!$A$6:$A$5000)-ROW('Work Items'!$A$6)+1),190)),"")</f>
        <v/>
      </c>
      <c r="B194">
        <f t="array" ref="B194">IFERROR(INDEX('Work Items'!$B$6:$B$5000,SMALL(IF('Work Items'!$A$6:$A$5000="Risk",ROW('Work Items'!$A$6:$A$5000)-ROW('Work Items'!$A$6)+1),190)),"")</f>
        <v/>
      </c>
      <c r="C194">
        <f>IF(E194="","",IFERROR(INDEX('Projects Master'!$A:$A,MATCH(E194,'Projects Master'!$B:$B,0)),"OrgRisk"))</f>
        <v/>
      </c>
      <c r="D194">
        <f t="array" ref="D194">IFERROR(INDEX('Work Items'!$C$6:$C$5000,SMALL(IF('Work Items'!$A$6:$A$5000="Risk",ROW('Work Items'!$A$6:$A$5000)-ROW('Work Items'!$A$6)+1),190)),"")</f>
        <v/>
      </c>
      <c r="E194">
        <f t="array" ref="E194">IFERROR(INDEX('Work Items'!$D$6:$D$5000,SMALL(IF('Work Items'!$A$6:$A$5000="Risk",ROW('Work Items'!$A$6:$A$5000)-ROW('Work Items'!$A$6)+1),190)),"")</f>
        <v/>
      </c>
      <c r="F194">
        <f t="array" ref="F194">IFERROR(INDEX('Work Items'!$E$6:$E$5000,SMALL(IF('Work Items'!$A$6:$A$5000="Risk",ROW('Work Items'!$A$6:$A$5000)-ROW('Work Items'!$A$6)+1),190)),"")</f>
        <v/>
      </c>
      <c r="G194">
        <f t="array" ref="G194">IFERROR(INDEX('Work Items'!$F$6:$F$5000,SMALL(IF('Work Items'!$A$6:$A$5000="Risk",ROW('Work Items'!$A$6:$A$5000)-ROW('Work Items'!$A$6)+1),190)),"")</f>
        <v/>
      </c>
      <c r="H194">
        <f t="array" ref="H194">IFERROR(INDEX('Work Items'!$J$6:$J$5000,SMALL(IF('Work Items'!$A$6:$A$5000="Risk",ROW('Work Items'!$A$6:$A$5000)-ROW('Work Items'!$A$6)+1),190)),"")</f>
        <v/>
      </c>
      <c r="I194">
        <f t="array" ref="I194">IFERROR(INDEX('Work Items'!$K$6:$K$5000,SMALL(IF('Work Items'!$A$6:$A$5000="Risk",ROW('Work Items'!$A$6:$A$5000)-ROW('Work Items'!$A$6)+1),190)),"")</f>
        <v/>
      </c>
      <c r="J194">
        <f t="array" ref="J194">IFERROR(INDEX('Work Items'!$L$6:$L$5000,SMALL(IF('Work Items'!$A$6:$A$5000="Risk",ROW('Work Items'!$A$6:$A$5000)-ROW('Work Items'!$A$6)+1),190)),"")</f>
        <v/>
      </c>
      <c r="K194">
        <f t="array" ref="K194">IFERROR(IF(AND(INDEX('Work Items'!$R$6:$R$5000,SMALL(IF('Work Items'!$A$6:$A$5000="Risk",ROW('Work Items'!$A$6:$A$5000)-ROW('Work Items'!$A$6)+1),190))&lt;&gt;"",INDEX('Work Items'!$S$6:$S$5000,SMALL(IF('Work Items'!$A$6:$A$5000="Risk",ROW('Work Items'!$A$6:$A$5000)-ROW('Work Items'!$A$6)+1),190))&lt;&gt;""),INDEX('Work Items'!$R$6:$R$5000,SMALL(IF('Work Items'!$A$6:$A$5000="Risk",ROW('Work Items'!$A$6:$A$5000)-ROW('Work Items'!$A$6)+1),190))*INDEX('Work Items'!$S$6:$S$5000,SMALL(IF('Work Items'!$A$6:$A$5000="Risk",ROW('Work Items'!$A$6:$A$5000)-ROW('Work Items'!$A$6)+1),190)),INDEX('Work Items'!$U$6:$U$5000,SMALL(IF('Work Items'!$A$6:$A$5000="Risk",ROW('Work Items'!$A$6:$A$5000)-ROW('Work Items'!$A$6)+1),190))),"")</f>
        <v/>
      </c>
      <c r="L194" s="217">
        <f t="array" ref="L194">IFERROR(INDEX('Work Items'!$Q$6:$Q$5000,SMALL(IF('Work Items'!$A$6:$A$5000="Risk",ROW('Work Items'!$A$6:$A$5000)-ROW('Work Items'!$A$6)+1),190)),"")</f>
        <v/>
      </c>
      <c r="M194">
        <f t="array" ref="M194">IFERROR(INDEX('Work Items'!$T$6:$T$5000,SMALL(IF('Work Items'!$A$6:$A$5000="Risk",ROW('Work Items'!$A$6:$A$5000)-ROW('Work Items'!$A$6)+1),190)),"")</f>
        <v/>
      </c>
    </row>
    <row r="195">
      <c r="A195">
        <f t="array" ref="A195">IFERROR(INDEX('Work Items'!$A$6:$A$5000,SMALL(IF('Work Items'!$A$6:$A$5000="Risk",ROW('Work Items'!$A$6:$A$5000)-ROW('Work Items'!$A$6)+1),191)),"")</f>
        <v/>
      </c>
      <c r="B195">
        <f t="array" ref="B195">IFERROR(INDEX('Work Items'!$B$6:$B$5000,SMALL(IF('Work Items'!$A$6:$A$5000="Risk",ROW('Work Items'!$A$6:$A$5000)-ROW('Work Items'!$A$6)+1),191)),"")</f>
        <v/>
      </c>
      <c r="C195">
        <f>IF(E195="","",IFERROR(INDEX('Projects Master'!$A:$A,MATCH(E195,'Projects Master'!$B:$B,0)),"OrgRisk"))</f>
        <v/>
      </c>
      <c r="D195">
        <f t="array" ref="D195">IFERROR(INDEX('Work Items'!$C$6:$C$5000,SMALL(IF('Work Items'!$A$6:$A$5000="Risk",ROW('Work Items'!$A$6:$A$5000)-ROW('Work Items'!$A$6)+1),191)),"")</f>
        <v/>
      </c>
      <c r="E195">
        <f t="array" ref="E195">IFERROR(INDEX('Work Items'!$D$6:$D$5000,SMALL(IF('Work Items'!$A$6:$A$5000="Risk",ROW('Work Items'!$A$6:$A$5000)-ROW('Work Items'!$A$6)+1),191)),"")</f>
        <v/>
      </c>
      <c r="F195">
        <f t="array" ref="F195">IFERROR(INDEX('Work Items'!$E$6:$E$5000,SMALL(IF('Work Items'!$A$6:$A$5000="Risk",ROW('Work Items'!$A$6:$A$5000)-ROW('Work Items'!$A$6)+1),191)),"")</f>
        <v/>
      </c>
      <c r="G195">
        <f t="array" ref="G195">IFERROR(INDEX('Work Items'!$F$6:$F$5000,SMALL(IF('Work Items'!$A$6:$A$5000="Risk",ROW('Work Items'!$A$6:$A$5000)-ROW('Work Items'!$A$6)+1),191)),"")</f>
        <v/>
      </c>
      <c r="H195">
        <f t="array" ref="H195">IFERROR(INDEX('Work Items'!$J$6:$J$5000,SMALL(IF('Work Items'!$A$6:$A$5000="Risk",ROW('Work Items'!$A$6:$A$5000)-ROW('Work Items'!$A$6)+1),191)),"")</f>
        <v/>
      </c>
      <c r="I195">
        <f t="array" ref="I195">IFERROR(INDEX('Work Items'!$K$6:$K$5000,SMALL(IF('Work Items'!$A$6:$A$5000="Risk",ROW('Work Items'!$A$6:$A$5000)-ROW('Work Items'!$A$6)+1),191)),"")</f>
        <v/>
      </c>
      <c r="J195">
        <f t="array" ref="J195">IFERROR(INDEX('Work Items'!$L$6:$L$5000,SMALL(IF('Work Items'!$A$6:$A$5000="Risk",ROW('Work Items'!$A$6:$A$5000)-ROW('Work Items'!$A$6)+1),191)),"")</f>
        <v/>
      </c>
      <c r="K195">
        <f t="array" ref="K195">IFERROR(IF(AND(INDEX('Work Items'!$R$6:$R$5000,SMALL(IF('Work Items'!$A$6:$A$5000="Risk",ROW('Work Items'!$A$6:$A$5000)-ROW('Work Items'!$A$6)+1),191))&lt;&gt;"",INDEX('Work Items'!$S$6:$S$5000,SMALL(IF('Work Items'!$A$6:$A$5000="Risk",ROW('Work Items'!$A$6:$A$5000)-ROW('Work Items'!$A$6)+1),191))&lt;&gt;""),INDEX('Work Items'!$R$6:$R$5000,SMALL(IF('Work Items'!$A$6:$A$5000="Risk",ROW('Work Items'!$A$6:$A$5000)-ROW('Work Items'!$A$6)+1),191))*INDEX('Work Items'!$S$6:$S$5000,SMALL(IF('Work Items'!$A$6:$A$5000="Risk",ROW('Work Items'!$A$6:$A$5000)-ROW('Work Items'!$A$6)+1),191)),INDEX('Work Items'!$U$6:$U$5000,SMALL(IF('Work Items'!$A$6:$A$5000="Risk",ROW('Work Items'!$A$6:$A$5000)-ROW('Work Items'!$A$6)+1),191))),"")</f>
        <v/>
      </c>
      <c r="L195" s="217">
        <f t="array" ref="L195">IFERROR(INDEX('Work Items'!$Q$6:$Q$5000,SMALL(IF('Work Items'!$A$6:$A$5000="Risk",ROW('Work Items'!$A$6:$A$5000)-ROW('Work Items'!$A$6)+1),191)),"")</f>
        <v/>
      </c>
      <c r="M195">
        <f t="array" ref="M195">IFERROR(INDEX('Work Items'!$T$6:$T$5000,SMALL(IF('Work Items'!$A$6:$A$5000="Risk",ROW('Work Items'!$A$6:$A$5000)-ROW('Work Items'!$A$6)+1),191)),"")</f>
        <v/>
      </c>
    </row>
    <row r="196">
      <c r="A196">
        <f t="array" ref="A196">IFERROR(INDEX('Work Items'!$A$6:$A$5000,SMALL(IF('Work Items'!$A$6:$A$5000="Risk",ROW('Work Items'!$A$6:$A$5000)-ROW('Work Items'!$A$6)+1),192)),"")</f>
        <v/>
      </c>
      <c r="B196">
        <f t="array" ref="B196">IFERROR(INDEX('Work Items'!$B$6:$B$5000,SMALL(IF('Work Items'!$A$6:$A$5000="Risk",ROW('Work Items'!$A$6:$A$5000)-ROW('Work Items'!$A$6)+1),192)),"")</f>
        <v/>
      </c>
      <c r="C196">
        <f>IF(E196="","",IFERROR(INDEX('Projects Master'!$A:$A,MATCH(E196,'Projects Master'!$B:$B,0)),"OrgRisk"))</f>
        <v/>
      </c>
      <c r="D196">
        <f t="array" ref="D196">IFERROR(INDEX('Work Items'!$C$6:$C$5000,SMALL(IF('Work Items'!$A$6:$A$5000="Risk",ROW('Work Items'!$A$6:$A$5000)-ROW('Work Items'!$A$6)+1),192)),"")</f>
        <v/>
      </c>
      <c r="E196">
        <f t="array" ref="E196">IFERROR(INDEX('Work Items'!$D$6:$D$5000,SMALL(IF('Work Items'!$A$6:$A$5000="Risk",ROW('Work Items'!$A$6:$A$5000)-ROW('Work Items'!$A$6)+1),192)),"")</f>
        <v/>
      </c>
      <c r="F196">
        <f t="array" ref="F196">IFERROR(INDEX('Work Items'!$E$6:$E$5000,SMALL(IF('Work Items'!$A$6:$A$5000="Risk",ROW('Work Items'!$A$6:$A$5000)-ROW('Work Items'!$A$6)+1),192)),"")</f>
        <v/>
      </c>
      <c r="G196">
        <f t="array" ref="G196">IFERROR(INDEX('Work Items'!$F$6:$F$5000,SMALL(IF('Work Items'!$A$6:$A$5000="Risk",ROW('Work Items'!$A$6:$A$5000)-ROW('Work Items'!$A$6)+1),192)),"")</f>
        <v/>
      </c>
      <c r="H196">
        <f t="array" ref="H196">IFERROR(INDEX('Work Items'!$J$6:$J$5000,SMALL(IF('Work Items'!$A$6:$A$5000="Risk",ROW('Work Items'!$A$6:$A$5000)-ROW('Work Items'!$A$6)+1),192)),"")</f>
        <v/>
      </c>
      <c r="I196">
        <f t="array" ref="I196">IFERROR(INDEX('Work Items'!$K$6:$K$5000,SMALL(IF('Work Items'!$A$6:$A$5000="Risk",ROW('Work Items'!$A$6:$A$5000)-ROW('Work Items'!$A$6)+1),192)),"")</f>
        <v/>
      </c>
      <c r="J196">
        <f t="array" ref="J196">IFERROR(INDEX('Work Items'!$L$6:$L$5000,SMALL(IF('Work Items'!$A$6:$A$5000="Risk",ROW('Work Items'!$A$6:$A$5000)-ROW('Work Items'!$A$6)+1),192)),"")</f>
        <v/>
      </c>
      <c r="K196">
        <f t="array" ref="K196">IFERROR(IF(AND(INDEX('Work Items'!$R$6:$R$5000,SMALL(IF('Work Items'!$A$6:$A$5000="Risk",ROW('Work Items'!$A$6:$A$5000)-ROW('Work Items'!$A$6)+1),192))&lt;&gt;"",INDEX('Work Items'!$S$6:$S$5000,SMALL(IF('Work Items'!$A$6:$A$5000="Risk",ROW('Work Items'!$A$6:$A$5000)-ROW('Work Items'!$A$6)+1),192))&lt;&gt;""),INDEX('Work Items'!$R$6:$R$5000,SMALL(IF('Work Items'!$A$6:$A$5000="Risk",ROW('Work Items'!$A$6:$A$5000)-ROW('Work Items'!$A$6)+1),192))*INDEX('Work Items'!$S$6:$S$5000,SMALL(IF('Work Items'!$A$6:$A$5000="Risk",ROW('Work Items'!$A$6:$A$5000)-ROW('Work Items'!$A$6)+1),192)),INDEX('Work Items'!$U$6:$U$5000,SMALL(IF('Work Items'!$A$6:$A$5000="Risk",ROW('Work Items'!$A$6:$A$5000)-ROW('Work Items'!$A$6)+1),192))),"")</f>
        <v/>
      </c>
      <c r="L196" s="217">
        <f t="array" ref="L196">IFERROR(INDEX('Work Items'!$Q$6:$Q$5000,SMALL(IF('Work Items'!$A$6:$A$5000="Risk",ROW('Work Items'!$A$6:$A$5000)-ROW('Work Items'!$A$6)+1),192)),"")</f>
        <v/>
      </c>
      <c r="M196">
        <f t="array" ref="M196">IFERROR(INDEX('Work Items'!$T$6:$T$5000,SMALL(IF('Work Items'!$A$6:$A$5000="Risk",ROW('Work Items'!$A$6:$A$5000)-ROW('Work Items'!$A$6)+1),192)),"")</f>
        <v/>
      </c>
    </row>
    <row r="197">
      <c r="A197">
        <f t="array" ref="A197">IFERROR(INDEX('Work Items'!$A$6:$A$5000,SMALL(IF('Work Items'!$A$6:$A$5000="Risk",ROW('Work Items'!$A$6:$A$5000)-ROW('Work Items'!$A$6)+1),193)),"")</f>
        <v/>
      </c>
      <c r="B197">
        <f t="array" ref="B197">IFERROR(INDEX('Work Items'!$B$6:$B$5000,SMALL(IF('Work Items'!$A$6:$A$5000="Risk",ROW('Work Items'!$A$6:$A$5000)-ROW('Work Items'!$A$6)+1),193)),"")</f>
        <v/>
      </c>
      <c r="C197">
        <f>IF(E197="","",IFERROR(INDEX('Projects Master'!$A:$A,MATCH(E197,'Projects Master'!$B:$B,0)),"OrgRisk"))</f>
        <v/>
      </c>
      <c r="D197">
        <f t="array" ref="D197">IFERROR(INDEX('Work Items'!$C$6:$C$5000,SMALL(IF('Work Items'!$A$6:$A$5000="Risk",ROW('Work Items'!$A$6:$A$5000)-ROW('Work Items'!$A$6)+1),193)),"")</f>
        <v/>
      </c>
      <c r="E197">
        <f t="array" ref="E197">IFERROR(INDEX('Work Items'!$D$6:$D$5000,SMALL(IF('Work Items'!$A$6:$A$5000="Risk",ROW('Work Items'!$A$6:$A$5000)-ROW('Work Items'!$A$6)+1),193)),"")</f>
        <v/>
      </c>
      <c r="F197">
        <f t="array" ref="F197">IFERROR(INDEX('Work Items'!$E$6:$E$5000,SMALL(IF('Work Items'!$A$6:$A$5000="Risk",ROW('Work Items'!$A$6:$A$5000)-ROW('Work Items'!$A$6)+1),193)),"")</f>
        <v/>
      </c>
      <c r="G197">
        <f t="array" ref="G197">IFERROR(INDEX('Work Items'!$F$6:$F$5000,SMALL(IF('Work Items'!$A$6:$A$5000="Risk",ROW('Work Items'!$A$6:$A$5000)-ROW('Work Items'!$A$6)+1),193)),"")</f>
        <v/>
      </c>
      <c r="H197">
        <f t="array" ref="H197">IFERROR(INDEX('Work Items'!$J$6:$J$5000,SMALL(IF('Work Items'!$A$6:$A$5000="Risk",ROW('Work Items'!$A$6:$A$5000)-ROW('Work Items'!$A$6)+1),193)),"")</f>
        <v/>
      </c>
      <c r="I197">
        <f t="array" ref="I197">IFERROR(INDEX('Work Items'!$K$6:$K$5000,SMALL(IF('Work Items'!$A$6:$A$5000="Risk",ROW('Work Items'!$A$6:$A$5000)-ROW('Work Items'!$A$6)+1),193)),"")</f>
        <v/>
      </c>
      <c r="J197">
        <f t="array" ref="J197">IFERROR(INDEX('Work Items'!$L$6:$L$5000,SMALL(IF('Work Items'!$A$6:$A$5000="Risk",ROW('Work Items'!$A$6:$A$5000)-ROW('Work Items'!$A$6)+1),193)),"")</f>
        <v/>
      </c>
      <c r="K197">
        <f t="array" ref="K197">IFERROR(IF(AND(INDEX('Work Items'!$R$6:$R$5000,SMALL(IF('Work Items'!$A$6:$A$5000="Risk",ROW('Work Items'!$A$6:$A$5000)-ROW('Work Items'!$A$6)+1),193))&lt;&gt;"",INDEX('Work Items'!$S$6:$S$5000,SMALL(IF('Work Items'!$A$6:$A$5000="Risk",ROW('Work Items'!$A$6:$A$5000)-ROW('Work Items'!$A$6)+1),193))&lt;&gt;""),INDEX('Work Items'!$R$6:$R$5000,SMALL(IF('Work Items'!$A$6:$A$5000="Risk",ROW('Work Items'!$A$6:$A$5000)-ROW('Work Items'!$A$6)+1),193))*INDEX('Work Items'!$S$6:$S$5000,SMALL(IF('Work Items'!$A$6:$A$5000="Risk",ROW('Work Items'!$A$6:$A$5000)-ROW('Work Items'!$A$6)+1),193)),INDEX('Work Items'!$U$6:$U$5000,SMALL(IF('Work Items'!$A$6:$A$5000="Risk",ROW('Work Items'!$A$6:$A$5000)-ROW('Work Items'!$A$6)+1),193))),"")</f>
        <v/>
      </c>
      <c r="L197" s="217">
        <f t="array" ref="L197">IFERROR(INDEX('Work Items'!$Q$6:$Q$5000,SMALL(IF('Work Items'!$A$6:$A$5000="Risk",ROW('Work Items'!$A$6:$A$5000)-ROW('Work Items'!$A$6)+1),193)),"")</f>
        <v/>
      </c>
      <c r="M197">
        <f t="array" ref="M197">IFERROR(INDEX('Work Items'!$T$6:$T$5000,SMALL(IF('Work Items'!$A$6:$A$5000="Risk",ROW('Work Items'!$A$6:$A$5000)-ROW('Work Items'!$A$6)+1),193)),"")</f>
        <v/>
      </c>
    </row>
    <row r="198">
      <c r="A198">
        <f t="array" ref="A198">IFERROR(INDEX('Work Items'!$A$6:$A$5000,SMALL(IF('Work Items'!$A$6:$A$5000="Risk",ROW('Work Items'!$A$6:$A$5000)-ROW('Work Items'!$A$6)+1),194)),"")</f>
        <v/>
      </c>
      <c r="B198">
        <f t="array" ref="B198">IFERROR(INDEX('Work Items'!$B$6:$B$5000,SMALL(IF('Work Items'!$A$6:$A$5000="Risk",ROW('Work Items'!$A$6:$A$5000)-ROW('Work Items'!$A$6)+1),194)),"")</f>
        <v/>
      </c>
      <c r="C198">
        <f>IF(E198="","",IFERROR(INDEX('Projects Master'!$A:$A,MATCH(E198,'Projects Master'!$B:$B,0)),"OrgRisk"))</f>
        <v/>
      </c>
      <c r="D198">
        <f t="array" ref="D198">IFERROR(INDEX('Work Items'!$C$6:$C$5000,SMALL(IF('Work Items'!$A$6:$A$5000="Risk",ROW('Work Items'!$A$6:$A$5000)-ROW('Work Items'!$A$6)+1),194)),"")</f>
        <v/>
      </c>
      <c r="E198">
        <f t="array" ref="E198">IFERROR(INDEX('Work Items'!$D$6:$D$5000,SMALL(IF('Work Items'!$A$6:$A$5000="Risk",ROW('Work Items'!$A$6:$A$5000)-ROW('Work Items'!$A$6)+1),194)),"")</f>
        <v/>
      </c>
      <c r="F198">
        <f t="array" ref="F198">IFERROR(INDEX('Work Items'!$E$6:$E$5000,SMALL(IF('Work Items'!$A$6:$A$5000="Risk",ROW('Work Items'!$A$6:$A$5000)-ROW('Work Items'!$A$6)+1),194)),"")</f>
        <v/>
      </c>
      <c r="G198">
        <f t="array" ref="G198">IFERROR(INDEX('Work Items'!$F$6:$F$5000,SMALL(IF('Work Items'!$A$6:$A$5000="Risk",ROW('Work Items'!$A$6:$A$5000)-ROW('Work Items'!$A$6)+1),194)),"")</f>
        <v/>
      </c>
      <c r="H198">
        <f t="array" ref="H198">IFERROR(INDEX('Work Items'!$J$6:$J$5000,SMALL(IF('Work Items'!$A$6:$A$5000="Risk",ROW('Work Items'!$A$6:$A$5000)-ROW('Work Items'!$A$6)+1),194)),"")</f>
        <v/>
      </c>
      <c r="I198">
        <f t="array" ref="I198">IFERROR(INDEX('Work Items'!$K$6:$K$5000,SMALL(IF('Work Items'!$A$6:$A$5000="Risk",ROW('Work Items'!$A$6:$A$5000)-ROW('Work Items'!$A$6)+1),194)),"")</f>
        <v/>
      </c>
      <c r="J198">
        <f t="array" ref="J198">IFERROR(INDEX('Work Items'!$L$6:$L$5000,SMALL(IF('Work Items'!$A$6:$A$5000="Risk",ROW('Work Items'!$A$6:$A$5000)-ROW('Work Items'!$A$6)+1),194)),"")</f>
        <v/>
      </c>
      <c r="K198">
        <f t="array" ref="K198">IFERROR(IF(AND(INDEX('Work Items'!$R$6:$R$5000,SMALL(IF('Work Items'!$A$6:$A$5000="Risk",ROW('Work Items'!$A$6:$A$5000)-ROW('Work Items'!$A$6)+1),194))&lt;&gt;"",INDEX('Work Items'!$S$6:$S$5000,SMALL(IF('Work Items'!$A$6:$A$5000="Risk",ROW('Work Items'!$A$6:$A$5000)-ROW('Work Items'!$A$6)+1),194))&lt;&gt;""),INDEX('Work Items'!$R$6:$R$5000,SMALL(IF('Work Items'!$A$6:$A$5000="Risk",ROW('Work Items'!$A$6:$A$5000)-ROW('Work Items'!$A$6)+1),194))*INDEX('Work Items'!$S$6:$S$5000,SMALL(IF('Work Items'!$A$6:$A$5000="Risk",ROW('Work Items'!$A$6:$A$5000)-ROW('Work Items'!$A$6)+1),194)),INDEX('Work Items'!$U$6:$U$5000,SMALL(IF('Work Items'!$A$6:$A$5000="Risk",ROW('Work Items'!$A$6:$A$5000)-ROW('Work Items'!$A$6)+1),194))),"")</f>
        <v/>
      </c>
      <c r="L198" s="217">
        <f t="array" ref="L198">IFERROR(INDEX('Work Items'!$Q$6:$Q$5000,SMALL(IF('Work Items'!$A$6:$A$5000="Risk",ROW('Work Items'!$A$6:$A$5000)-ROW('Work Items'!$A$6)+1),194)),"")</f>
        <v/>
      </c>
      <c r="M198">
        <f t="array" ref="M198">IFERROR(INDEX('Work Items'!$T$6:$T$5000,SMALL(IF('Work Items'!$A$6:$A$5000="Risk",ROW('Work Items'!$A$6:$A$5000)-ROW('Work Items'!$A$6)+1),194)),"")</f>
        <v/>
      </c>
    </row>
    <row r="199">
      <c r="A199">
        <f t="array" ref="A199">IFERROR(INDEX('Work Items'!$A$6:$A$5000,SMALL(IF('Work Items'!$A$6:$A$5000="Risk",ROW('Work Items'!$A$6:$A$5000)-ROW('Work Items'!$A$6)+1),195)),"")</f>
        <v/>
      </c>
      <c r="B199">
        <f t="array" ref="B199">IFERROR(INDEX('Work Items'!$B$6:$B$5000,SMALL(IF('Work Items'!$A$6:$A$5000="Risk",ROW('Work Items'!$A$6:$A$5000)-ROW('Work Items'!$A$6)+1),195)),"")</f>
        <v/>
      </c>
      <c r="C199">
        <f>IF(E199="","",IFERROR(INDEX('Projects Master'!$A:$A,MATCH(E199,'Projects Master'!$B:$B,0)),"OrgRisk"))</f>
        <v/>
      </c>
      <c r="D199">
        <f t="array" ref="D199">IFERROR(INDEX('Work Items'!$C$6:$C$5000,SMALL(IF('Work Items'!$A$6:$A$5000="Risk",ROW('Work Items'!$A$6:$A$5000)-ROW('Work Items'!$A$6)+1),195)),"")</f>
        <v/>
      </c>
      <c r="E199">
        <f t="array" ref="E199">IFERROR(INDEX('Work Items'!$D$6:$D$5000,SMALL(IF('Work Items'!$A$6:$A$5000="Risk",ROW('Work Items'!$A$6:$A$5000)-ROW('Work Items'!$A$6)+1),195)),"")</f>
        <v/>
      </c>
      <c r="F199">
        <f t="array" ref="F199">IFERROR(INDEX('Work Items'!$E$6:$E$5000,SMALL(IF('Work Items'!$A$6:$A$5000="Risk",ROW('Work Items'!$A$6:$A$5000)-ROW('Work Items'!$A$6)+1),195)),"")</f>
        <v/>
      </c>
      <c r="G199">
        <f t="array" ref="G199">IFERROR(INDEX('Work Items'!$F$6:$F$5000,SMALL(IF('Work Items'!$A$6:$A$5000="Risk",ROW('Work Items'!$A$6:$A$5000)-ROW('Work Items'!$A$6)+1),195)),"")</f>
        <v/>
      </c>
      <c r="H199">
        <f t="array" ref="H199">IFERROR(INDEX('Work Items'!$J$6:$J$5000,SMALL(IF('Work Items'!$A$6:$A$5000="Risk",ROW('Work Items'!$A$6:$A$5000)-ROW('Work Items'!$A$6)+1),195)),"")</f>
        <v/>
      </c>
      <c r="I199">
        <f t="array" ref="I199">IFERROR(INDEX('Work Items'!$K$6:$K$5000,SMALL(IF('Work Items'!$A$6:$A$5000="Risk",ROW('Work Items'!$A$6:$A$5000)-ROW('Work Items'!$A$6)+1),195)),"")</f>
        <v/>
      </c>
      <c r="J199">
        <f t="array" ref="J199">IFERROR(INDEX('Work Items'!$L$6:$L$5000,SMALL(IF('Work Items'!$A$6:$A$5000="Risk",ROW('Work Items'!$A$6:$A$5000)-ROW('Work Items'!$A$6)+1),195)),"")</f>
        <v/>
      </c>
      <c r="K199">
        <f t="array" ref="K199">IFERROR(IF(AND(INDEX('Work Items'!$R$6:$R$5000,SMALL(IF('Work Items'!$A$6:$A$5000="Risk",ROW('Work Items'!$A$6:$A$5000)-ROW('Work Items'!$A$6)+1),195))&lt;&gt;"",INDEX('Work Items'!$S$6:$S$5000,SMALL(IF('Work Items'!$A$6:$A$5000="Risk",ROW('Work Items'!$A$6:$A$5000)-ROW('Work Items'!$A$6)+1),195))&lt;&gt;""),INDEX('Work Items'!$R$6:$R$5000,SMALL(IF('Work Items'!$A$6:$A$5000="Risk",ROW('Work Items'!$A$6:$A$5000)-ROW('Work Items'!$A$6)+1),195))*INDEX('Work Items'!$S$6:$S$5000,SMALL(IF('Work Items'!$A$6:$A$5000="Risk",ROW('Work Items'!$A$6:$A$5000)-ROW('Work Items'!$A$6)+1),195)),INDEX('Work Items'!$U$6:$U$5000,SMALL(IF('Work Items'!$A$6:$A$5000="Risk",ROW('Work Items'!$A$6:$A$5000)-ROW('Work Items'!$A$6)+1),195))),"")</f>
        <v/>
      </c>
      <c r="L199" s="217">
        <f t="array" ref="L199">IFERROR(INDEX('Work Items'!$Q$6:$Q$5000,SMALL(IF('Work Items'!$A$6:$A$5000="Risk",ROW('Work Items'!$A$6:$A$5000)-ROW('Work Items'!$A$6)+1),195)),"")</f>
        <v/>
      </c>
      <c r="M199">
        <f t="array" ref="M199">IFERROR(INDEX('Work Items'!$T$6:$T$5000,SMALL(IF('Work Items'!$A$6:$A$5000="Risk",ROW('Work Items'!$A$6:$A$5000)-ROW('Work Items'!$A$6)+1),195)),"")</f>
        <v/>
      </c>
    </row>
    <row r="200">
      <c r="A200">
        <f t="array" ref="A200">IFERROR(INDEX('Work Items'!$A$6:$A$5000,SMALL(IF('Work Items'!$A$6:$A$5000="Risk",ROW('Work Items'!$A$6:$A$5000)-ROW('Work Items'!$A$6)+1),196)),"")</f>
        <v/>
      </c>
      <c r="B200">
        <f t="array" ref="B200">IFERROR(INDEX('Work Items'!$B$6:$B$5000,SMALL(IF('Work Items'!$A$6:$A$5000="Risk",ROW('Work Items'!$A$6:$A$5000)-ROW('Work Items'!$A$6)+1),196)),"")</f>
        <v/>
      </c>
      <c r="C200">
        <f>IF(E200="","",IFERROR(INDEX('Projects Master'!$A:$A,MATCH(E200,'Projects Master'!$B:$B,0)),"OrgRisk"))</f>
        <v/>
      </c>
      <c r="D200">
        <f t="array" ref="D200">IFERROR(INDEX('Work Items'!$C$6:$C$5000,SMALL(IF('Work Items'!$A$6:$A$5000="Risk",ROW('Work Items'!$A$6:$A$5000)-ROW('Work Items'!$A$6)+1),196)),"")</f>
        <v/>
      </c>
      <c r="E200">
        <f t="array" ref="E200">IFERROR(INDEX('Work Items'!$D$6:$D$5000,SMALL(IF('Work Items'!$A$6:$A$5000="Risk",ROW('Work Items'!$A$6:$A$5000)-ROW('Work Items'!$A$6)+1),196)),"")</f>
        <v/>
      </c>
      <c r="F200">
        <f t="array" ref="F200">IFERROR(INDEX('Work Items'!$E$6:$E$5000,SMALL(IF('Work Items'!$A$6:$A$5000="Risk",ROW('Work Items'!$A$6:$A$5000)-ROW('Work Items'!$A$6)+1),196)),"")</f>
        <v/>
      </c>
      <c r="G200">
        <f t="array" ref="G200">IFERROR(INDEX('Work Items'!$F$6:$F$5000,SMALL(IF('Work Items'!$A$6:$A$5000="Risk",ROW('Work Items'!$A$6:$A$5000)-ROW('Work Items'!$A$6)+1),196)),"")</f>
        <v/>
      </c>
      <c r="H200">
        <f t="array" ref="H200">IFERROR(INDEX('Work Items'!$J$6:$J$5000,SMALL(IF('Work Items'!$A$6:$A$5000="Risk",ROW('Work Items'!$A$6:$A$5000)-ROW('Work Items'!$A$6)+1),196)),"")</f>
        <v/>
      </c>
      <c r="I200">
        <f t="array" ref="I200">IFERROR(INDEX('Work Items'!$K$6:$K$5000,SMALL(IF('Work Items'!$A$6:$A$5000="Risk",ROW('Work Items'!$A$6:$A$5000)-ROW('Work Items'!$A$6)+1),196)),"")</f>
        <v/>
      </c>
      <c r="J200">
        <f t="array" ref="J200">IFERROR(INDEX('Work Items'!$L$6:$L$5000,SMALL(IF('Work Items'!$A$6:$A$5000="Risk",ROW('Work Items'!$A$6:$A$5000)-ROW('Work Items'!$A$6)+1),196)),"")</f>
        <v/>
      </c>
      <c r="K200">
        <f t="array" ref="K200">IFERROR(IF(AND(INDEX('Work Items'!$R$6:$R$5000,SMALL(IF('Work Items'!$A$6:$A$5000="Risk",ROW('Work Items'!$A$6:$A$5000)-ROW('Work Items'!$A$6)+1),196))&lt;&gt;"",INDEX('Work Items'!$S$6:$S$5000,SMALL(IF('Work Items'!$A$6:$A$5000="Risk",ROW('Work Items'!$A$6:$A$5000)-ROW('Work Items'!$A$6)+1),196))&lt;&gt;""),INDEX('Work Items'!$R$6:$R$5000,SMALL(IF('Work Items'!$A$6:$A$5000="Risk",ROW('Work Items'!$A$6:$A$5000)-ROW('Work Items'!$A$6)+1),196))*INDEX('Work Items'!$S$6:$S$5000,SMALL(IF('Work Items'!$A$6:$A$5000="Risk",ROW('Work Items'!$A$6:$A$5000)-ROW('Work Items'!$A$6)+1),196)),INDEX('Work Items'!$U$6:$U$5000,SMALL(IF('Work Items'!$A$6:$A$5000="Risk",ROW('Work Items'!$A$6:$A$5000)-ROW('Work Items'!$A$6)+1),196))),"")</f>
        <v/>
      </c>
      <c r="L200" s="217">
        <f t="array" ref="L200">IFERROR(INDEX('Work Items'!$Q$6:$Q$5000,SMALL(IF('Work Items'!$A$6:$A$5000="Risk",ROW('Work Items'!$A$6:$A$5000)-ROW('Work Items'!$A$6)+1),196)),"")</f>
        <v/>
      </c>
      <c r="M200">
        <f t="array" ref="M200">IFERROR(INDEX('Work Items'!$T$6:$T$5000,SMALL(IF('Work Items'!$A$6:$A$5000="Risk",ROW('Work Items'!$A$6:$A$5000)-ROW('Work Items'!$A$6)+1),196)),"")</f>
        <v/>
      </c>
    </row>
    <row r="201">
      <c r="A201">
        <f t="array" ref="A201">IFERROR(INDEX('Work Items'!$A$6:$A$5000,SMALL(IF('Work Items'!$A$6:$A$5000="Risk",ROW('Work Items'!$A$6:$A$5000)-ROW('Work Items'!$A$6)+1),197)),"")</f>
        <v/>
      </c>
      <c r="B201">
        <f t="array" ref="B201">IFERROR(INDEX('Work Items'!$B$6:$B$5000,SMALL(IF('Work Items'!$A$6:$A$5000="Risk",ROW('Work Items'!$A$6:$A$5000)-ROW('Work Items'!$A$6)+1),197)),"")</f>
        <v/>
      </c>
      <c r="C201">
        <f>IF(E201="","",IFERROR(INDEX('Projects Master'!$A:$A,MATCH(E201,'Projects Master'!$B:$B,0)),"OrgRisk"))</f>
        <v/>
      </c>
      <c r="D201">
        <f t="array" ref="D201">IFERROR(INDEX('Work Items'!$C$6:$C$5000,SMALL(IF('Work Items'!$A$6:$A$5000="Risk",ROW('Work Items'!$A$6:$A$5000)-ROW('Work Items'!$A$6)+1),197)),"")</f>
        <v/>
      </c>
      <c r="E201">
        <f t="array" ref="E201">IFERROR(INDEX('Work Items'!$D$6:$D$5000,SMALL(IF('Work Items'!$A$6:$A$5000="Risk",ROW('Work Items'!$A$6:$A$5000)-ROW('Work Items'!$A$6)+1),197)),"")</f>
        <v/>
      </c>
      <c r="F201">
        <f t="array" ref="F201">IFERROR(INDEX('Work Items'!$E$6:$E$5000,SMALL(IF('Work Items'!$A$6:$A$5000="Risk",ROW('Work Items'!$A$6:$A$5000)-ROW('Work Items'!$A$6)+1),197)),"")</f>
        <v/>
      </c>
      <c r="G201">
        <f t="array" ref="G201">IFERROR(INDEX('Work Items'!$F$6:$F$5000,SMALL(IF('Work Items'!$A$6:$A$5000="Risk",ROW('Work Items'!$A$6:$A$5000)-ROW('Work Items'!$A$6)+1),197)),"")</f>
        <v/>
      </c>
      <c r="H201">
        <f t="array" ref="H201">IFERROR(INDEX('Work Items'!$J$6:$J$5000,SMALL(IF('Work Items'!$A$6:$A$5000="Risk",ROW('Work Items'!$A$6:$A$5000)-ROW('Work Items'!$A$6)+1),197)),"")</f>
        <v/>
      </c>
      <c r="I201">
        <f t="array" ref="I201">IFERROR(INDEX('Work Items'!$K$6:$K$5000,SMALL(IF('Work Items'!$A$6:$A$5000="Risk",ROW('Work Items'!$A$6:$A$5000)-ROW('Work Items'!$A$6)+1),197)),"")</f>
        <v/>
      </c>
      <c r="J201">
        <f t="array" ref="J201">IFERROR(INDEX('Work Items'!$L$6:$L$5000,SMALL(IF('Work Items'!$A$6:$A$5000="Risk",ROW('Work Items'!$A$6:$A$5000)-ROW('Work Items'!$A$6)+1),197)),"")</f>
        <v/>
      </c>
      <c r="K201">
        <f t="array" ref="K201">IFERROR(IF(AND(INDEX('Work Items'!$R$6:$R$5000,SMALL(IF('Work Items'!$A$6:$A$5000="Risk",ROW('Work Items'!$A$6:$A$5000)-ROW('Work Items'!$A$6)+1),197))&lt;&gt;"",INDEX('Work Items'!$S$6:$S$5000,SMALL(IF('Work Items'!$A$6:$A$5000="Risk",ROW('Work Items'!$A$6:$A$5000)-ROW('Work Items'!$A$6)+1),197))&lt;&gt;""),INDEX('Work Items'!$R$6:$R$5000,SMALL(IF('Work Items'!$A$6:$A$5000="Risk",ROW('Work Items'!$A$6:$A$5000)-ROW('Work Items'!$A$6)+1),197))*INDEX('Work Items'!$S$6:$S$5000,SMALL(IF('Work Items'!$A$6:$A$5000="Risk",ROW('Work Items'!$A$6:$A$5000)-ROW('Work Items'!$A$6)+1),197)),INDEX('Work Items'!$U$6:$U$5000,SMALL(IF('Work Items'!$A$6:$A$5000="Risk",ROW('Work Items'!$A$6:$A$5000)-ROW('Work Items'!$A$6)+1),197))),"")</f>
        <v/>
      </c>
      <c r="L201" s="217">
        <f t="array" ref="L201">IFERROR(INDEX('Work Items'!$Q$6:$Q$5000,SMALL(IF('Work Items'!$A$6:$A$5000="Risk",ROW('Work Items'!$A$6:$A$5000)-ROW('Work Items'!$A$6)+1),197)),"")</f>
        <v/>
      </c>
      <c r="M201">
        <f t="array" ref="M201">IFERROR(INDEX('Work Items'!$T$6:$T$5000,SMALL(IF('Work Items'!$A$6:$A$5000="Risk",ROW('Work Items'!$A$6:$A$5000)-ROW('Work Items'!$A$6)+1),197)),"")</f>
        <v/>
      </c>
    </row>
    <row r="202">
      <c r="A202">
        <f t="array" ref="A202">IFERROR(INDEX('Work Items'!$A$6:$A$5000,SMALL(IF('Work Items'!$A$6:$A$5000="Risk",ROW('Work Items'!$A$6:$A$5000)-ROW('Work Items'!$A$6)+1),198)),"")</f>
        <v/>
      </c>
      <c r="B202">
        <f t="array" ref="B202">IFERROR(INDEX('Work Items'!$B$6:$B$5000,SMALL(IF('Work Items'!$A$6:$A$5000="Risk",ROW('Work Items'!$A$6:$A$5000)-ROW('Work Items'!$A$6)+1),198)),"")</f>
        <v/>
      </c>
      <c r="C202">
        <f>IF(E202="","",IFERROR(INDEX('Projects Master'!$A:$A,MATCH(E202,'Projects Master'!$B:$B,0)),"OrgRisk"))</f>
        <v/>
      </c>
      <c r="D202">
        <f t="array" ref="D202">IFERROR(INDEX('Work Items'!$C$6:$C$5000,SMALL(IF('Work Items'!$A$6:$A$5000="Risk",ROW('Work Items'!$A$6:$A$5000)-ROW('Work Items'!$A$6)+1),198)),"")</f>
        <v/>
      </c>
      <c r="E202">
        <f t="array" ref="E202">IFERROR(INDEX('Work Items'!$D$6:$D$5000,SMALL(IF('Work Items'!$A$6:$A$5000="Risk",ROW('Work Items'!$A$6:$A$5000)-ROW('Work Items'!$A$6)+1),198)),"")</f>
        <v/>
      </c>
      <c r="F202">
        <f t="array" ref="F202">IFERROR(INDEX('Work Items'!$E$6:$E$5000,SMALL(IF('Work Items'!$A$6:$A$5000="Risk",ROW('Work Items'!$A$6:$A$5000)-ROW('Work Items'!$A$6)+1),198)),"")</f>
        <v/>
      </c>
      <c r="G202">
        <f t="array" ref="G202">IFERROR(INDEX('Work Items'!$F$6:$F$5000,SMALL(IF('Work Items'!$A$6:$A$5000="Risk",ROW('Work Items'!$A$6:$A$5000)-ROW('Work Items'!$A$6)+1),198)),"")</f>
        <v/>
      </c>
      <c r="H202">
        <f t="array" ref="H202">IFERROR(INDEX('Work Items'!$J$6:$J$5000,SMALL(IF('Work Items'!$A$6:$A$5000="Risk",ROW('Work Items'!$A$6:$A$5000)-ROW('Work Items'!$A$6)+1),198)),"")</f>
        <v/>
      </c>
      <c r="I202">
        <f t="array" ref="I202">IFERROR(INDEX('Work Items'!$K$6:$K$5000,SMALL(IF('Work Items'!$A$6:$A$5000="Risk",ROW('Work Items'!$A$6:$A$5000)-ROW('Work Items'!$A$6)+1),198)),"")</f>
        <v/>
      </c>
      <c r="J202">
        <f t="array" ref="J202">IFERROR(INDEX('Work Items'!$L$6:$L$5000,SMALL(IF('Work Items'!$A$6:$A$5000="Risk",ROW('Work Items'!$A$6:$A$5000)-ROW('Work Items'!$A$6)+1),198)),"")</f>
        <v/>
      </c>
      <c r="K202">
        <f t="array" ref="K202">IFERROR(IF(AND(INDEX('Work Items'!$R$6:$R$5000,SMALL(IF('Work Items'!$A$6:$A$5000="Risk",ROW('Work Items'!$A$6:$A$5000)-ROW('Work Items'!$A$6)+1),198))&lt;&gt;"",INDEX('Work Items'!$S$6:$S$5000,SMALL(IF('Work Items'!$A$6:$A$5000="Risk",ROW('Work Items'!$A$6:$A$5000)-ROW('Work Items'!$A$6)+1),198))&lt;&gt;""),INDEX('Work Items'!$R$6:$R$5000,SMALL(IF('Work Items'!$A$6:$A$5000="Risk",ROW('Work Items'!$A$6:$A$5000)-ROW('Work Items'!$A$6)+1),198))*INDEX('Work Items'!$S$6:$S$5000,SMALL(IF('Work Items'!$A$6:$A$5000="Risk",ROW('Work Items'!$A$6:$A$5000)-ROW('Work Items'!$A$6)+1),198)),INDEX('Work Items'!$U$6:$U$5000,SMALL(IF('Work Items'!$A$6:$A$5000="Risk",ROW('Work Items'!$A$6:$A$5000)-ROW('Work Items'!$A$6)+1),198))),"")</f>
        <v/>
      </c>
      <c r="L202" s="217">
        <f t="array" ref="L202">IFERROR(INDEX('Work Items'!$Q$6:$Q$5000,SMALL(IF('Work Items'!$A$6:$A$5000="Risk",ROW('Work Items'!$A$6:$A$5000)-ROW('Work Items'!$A$6)+1),198)),"")</f>
        <v/>
      </c>
      <c r="M202">
        <f t="array" ref="M202">IFERROR(INDEX('Work Items'!$T$6:$T$5000,SMALL(IF('Work Items'!$A$6:$A$5000="Risk",ROW('Work Items'!$A$6:$A$5000)-ROW('Work Items'!$A$6)+1),198)),"")</f>
        <v/>
      </c>
    </row>
    <row r="203">
      <c r="A203">
        <f t="array" ref="A203">IFERROR(INDEX('Work Items'!$A$6:$A$5000,SMALL(IF('Work Items'!$A$6:$A$5000="Risk",ROW('Work Items'!$A$6:$A$5000)-ROW('Work Items'!$A$6)+1),199)),"")</f>
        <v/>
      </c>
      <c r="B203">
        <f t="array" ref="B203">IFERROR(INDEX('Work Items'!$B$6:$B$5000,SMALL(IF('Work Items'!$A$6:$A$5000="Risk",ROW('Work Items'!$A$6:$A$5000)-ROW('Work Items'!$A$6)+1),199)),"")</f>
        <v/>
      </c>
      <c r="C203">
        <f>IF(E203="","",IFERROR(INDEX('Projects Master'!$A:$A,MATCH(E203,'Projects Master'!$B:$B,0)),"OrgRisk"))</f>
        <v/>
      </c>
      <c r="D203">
        <f t="array" ref="D203">IFERROR(INDEX('Work Items'!$C$6:$C$5000,SMALL(IF('Work Items'!$A$6:$A$5000="Risk",ROW('Work Items'!$A$6:$A$5000)-ROW('Work Items'!$A$6)+1),199)),"")</f>
        <v/>
      </c>
      <c r="E203">
        <f t="array" ref="E203">IFERROR(INDEX('Work Items'!$D$6:$D$5000,SMALL(IF('Work Items'!$A$6:$A$5000="Risk",ROW('Work Items'!$A$6:$A$5000)-ROW('Work Items'!$A$6)+1),199)),"")</f>
        <v/>
      </c>
      <c r="F203">
        <f t="array" ref="F203">IFERROR(INDEX('Work Items'!$E$6:$E$5000,SMALL(IF('Work Items'!$A$6:$A$5000="Risk",ROW('Work Items'!$A$6:$A$5000)-ROW('Work Items'!$A$6)+1),199)),"")</f>
        <v/>
      </c>
      <c r="G203">
        <f t="array" ref="G203">IFERROR(INDEX('Work Items'!$F$6:$F$5000,SMALL(IF('Work Items'!$A$6:$A$5000="Risk",ROW('Work Items'!$A$6:$A$5000)-ROW('Work Items'!$A$6)+1),199)),"")</f>
        <v/>
      </c>
      <c r="H203">
        <f t="array" ref="H203">IFERROR(INDEX('Work Items'!$J$6:$J$5000,SMALL(IF('Work Items'!$A$6:$A$5000="Risk",ROW('Work Items'!$A$6:$A$5000)-ROW('Work Items'!$A$6)+1),199)),"")</f>
        <v/>
      </c>
      <c r="I203">
        <f t="array" ref="I203">IFERROR(INDEX('Work Items'!$K$6:$K$5000,SMALL(IF('Work Items'!$A$6:$A$5000="Risk",ROW('Work Items'!$A$6:$A$5000)-ROW('Work Items'!$A$6)+1),199)),"")</f>
        <v/>
      </c>
      <c r="J203">
        <f t="array" ref="J203">IFERROR(INDEX('Work Items'!$L$6:$L$5000,SMALL(IF('Work Items'!$A$6:$A$5000="Risk",ROW('Work Items'!$A$6:$A$5000)-ROW('Work Items'!$A$6)+1),199)),"")</f>
        <v/>
      </c>
      <c r="K203">
        <f t="array" ref="K203">IFERROR(IF(AND(INDEX('Work Items'!$R$6:$R$5000,SMALL(IF('Work Items'!$A$6:$A$5000="Risk",ROW('Work Items'!$A$6:$A$5000)-ROW('Work Items'!$A$6)+1),199))&lt;&gt;"",INDEX('Work Items'!$S$6:$S$5000,SMALL(IF('Work Items'!$A$6:$A$5000="Risk",ROW('Work Items'!$A$6:$A$5000)-ROW('Work Items'!$A$6)+1),199))&lt;&gt;""),INDEX('Work Items'!$R$6:$R$5000,SMALL(IF('Work Items'!$A$6:$A$5000="Risk",ROW('Work Items'!$A$6:$A$5000)-ROW('Work Items'!$A$6)+1),199))*INDEX('Work Items'!$S$6:$S$5000,SMALL(IF('Work Items'!$A$6:$A$5000="Risk",ROW('Work Items'!$A$6:$A$5000)-ROW('Work Items'!$A$6)+1),199)),INDEX('Work Items'!$U$6:$U$5000,SMALL(IF('Work Items'!$A$6:$A$5000="Risk",ROW('Work Items'!$A$6:$A$5000)-ROW('Work Items'!$A$6)+1),199))),"")</f>
        <v/>
      </c>
      <c r="L203" s="217">
        <f t="array" ref="L203">IFERROR(INDEX('Work Items'!$Q$6:$Q$5000,SMALL(IF('Work Items'!$A$6:$A$5000="Risk",ROW('Work Items'!$A$6:$A$5000)-ROW('Work Items'!$A$6)+1),199)),"")</f>
        <v/>
      </c>
      <c r="M203">
        <f t="array" ref="M203">IFERROR(INDEX('Work Items'!$T$6:$T$5000,SMALL(IF('Work Items'!$A$6:$A$5000="Risk",ROW('Work Items'!$A$6:$A$5000)-ROW('Work Items'!$A$6)+1),199)),"")</f>
        <v/>
      </c>
    </row>
    <row r="204">
      <c r="A204">
        <f t="array" ref="A204">IFERROR(INDEX('Work Items'!$A$6:$A$5000,SMALL(IF('Work Items'!$A$6:$A$5000="Risk",ROW('Work Items'!$A$6:$A$5000)-ROW('Work Items'!$A$6)+1),200)),"")</f>
        <v/>
      </c>
      <c r="B204">
        <f t="array" ref="B204">IFERROR(INDEX('Work Items'!$B$6:$B$5000,SMALL(IF('Work Items'!$A$6:$A$5000="Risk",ROW('Work Items'!$A$6:$A$5000)-ROW('Work Items'!$A$6)+1),200)),"")</f>
        <v/>
      </c>
      <c r="C204">
        <f>IF(E204="","",IFERROR(INDEX('Projects Master'!$A:$A,MATCH(E204,'Projects Master'!$B:$B,0)),"OrgRisk"))</f>
        <v/>
      </c>
      <c r="D204">
        <f t="array" ref="D204">IFERROR(INDEX('Work Items'!$C$6:$C$5000,SMALL(IF('Work Items'!$A$6:$A$5000="Risk",ROW('Work Items'!$A$6:$A$5000)-ROW('Work Items'!$A$6)+1),200)),"")</f>
        <v/>
      </c>
      <c r="E204">
        <f t="array" ref="E204">IFERROR(INDEX('Work Items'!$D$6:$D$5000,SMALL(IF('Work Items'!$A$6:$A$5000="Risk",ROW('Work Items'!$A$6:$A$5000)-ROW('Work Items'!$A$6)+1),200)),"")</f>
        <v/>
      </c>
      <c r="F204">
        <f t="array" ref="F204">IFERROR(INDEX('Work Items'!$E$6:$E$5000,SMALL(IF('Work Items'!$A$6:$A$5000="Risk",ROW('Work Items'!$A$6:$A$5000)-ROW('Work Items'!$A$6)+1),200)),"")</f>
        <v/>
      </c>
      <c r="G204">
        <f t="array" ref="G204">IFERROR(INDEX('Work Items'!$F$6:$F$5000,SMALL(IF('Work Items'!$A$6:$A$5000="Risk",ROW('Work Items'!$A$6:$A$5000)-ROW('Work Items'!$A$6)+1),200)),"")</f>
        <v/>
      </c>
      <c r="H204">
        <f t="array" ref="H204">IFERROR(INDEX('Work Items'!$J$6:$J$5000,SMALL(IF('Work Items'!$A$6:$A$5000="Risk",ROW('Work Items'!$A$6:$A$5000)-ROW('Work Items'!$A$6)+1),200)),"")</f>
        <v/>
      </c>
      <c r="I204">
        <f t="array" ref="I204">IFERROR(INDEX('Work Items'!$K$6:$K$5000,SMALL(IF('Work Items'!$A$6:$A$5000="Risk",ROW('Work Items'!$A$6:$A$5000)-ROW('Work Items'!$A$6)+1),200)),"")</f>
        <v/>
      </c>
      <c r="J204">
        <f t="array" ref="J204">IFERROR(INDEX('Work Items'!$L$6:$L$5000,SMALL(IF('Work Items'!$A$6:$A$5000="Risk",ROW('Work Items'!$A$6:$A$5000)-ROW('Work Items'!$A$6)+1),200)),"")</f>
        <v/>
      </c>
      <c r="K204">
        <f t="array" ref="K204">IFERROR(IF(AND(INDEX('Work Items'!$R$6:$R$5000,SMALL(IF('Work Items'!$A$6:$A$5000="Risk",ROW('Work Items'!$A$6:$A$5000)-ROW('Work Items'!$A$6)+1),200))&lt;&gt;"",INDEX('Work Items'!$S$6:$S$5000,SMALL(IF('Work Items'!$A$6:$A$5000="Risk",ROW('Work Items'!$A$6:$A$5000)-ROW('Work Items'!$A$6)+1),200))&lt;&gt;""),INDEX('Work Items'!$R$6:$R$5000,SMALL(IF('Work Items'!$A$6:$A$5000="Risk",ROW('Work Items'!$A$6:$A$5000)-ROW('Work Items'!$A$6)+1),200))*INDEX('Work Items'!$S$6:$S$5000,SMALL(IF('Work Items'!$A$6:$A$5000="Risk",ROW('Work Items'!$A$6:$A$5000)-ROW('Work Items'!$A$6)+1),200)),INDEX('Work Items'!$U$6:$U$5000,SMALL(IF('Work Items'!$A$6:$A$5000="Risk",ROW('Work Items'!$A$6:$A$5000)-ROW('Work Items'!$A$6)+1),200))),"")</f>
        <v/>
      </c>
      <c r="L204" s="217">
        <f t="array" ref="L204">IFERROR(INDEX('Work Items'!$Q$6:$Q$5000,SMALL(IF('Work Items'!$A$6:$A$5000="Risk",ROW('Work Items'!$A$6:$A$5000)-ROW('Work Items'!$A$6)+1),200)),"")</f>
        <v/>
      </c>
      <c r="M204">
        <f t="array" ref="M204">IFERROR(INDEX('Work Items'!$T$6:$T$5000,SMALL(IF('Work Items'!$A$6:$A$5000="Risk",ROW('Work Items'!$A$6:$A$5000)-ROW('Work Items'!$A$6)+1),200)),"")</f>
        <v/>
      </c>
    </row>
    <row r="205">
      <c r="A205">
        <f t="array" ref="A205">IFERROR(INDEX('Work Items'!$A$6:$A$5000,SMALL(IF('Work Items'!$A$6:$A$5000="Risk",ROW('Work Items'!$A$6:$A$5000)-ROW('Work Items'!$A$6)+1),201)),"")</f>
        <v/>
      </c>
      <c r="B205">
        <f t="array" ref="B205">IFERROR(INDEX('Work Items'!$B$6:$B$5000,SMALL(IF('Work Items'!$A$6:$A$5000="Risk",ROW('Work Items'!$A$6:$A$5000)-ROW('Work Items'!$A$6)+1),201)),"")</f>
        <v/>
      </c>
      <c r="C205">
        <f>IF(E205="","",IFERROR(INDEX('Projects Master'!$A:$A,MATCH(E205,'Projects Master'!$B:$B,0)),"OrgRisk"))</f>
        <v/>
      </c>
      <c r="D205">
        <f t="array" ref="D205">IFERROR(INDEX('Work Items'!$C$6:$C$5000,SMALL(IF('Work Items'!$A$6:$A$5000="Risk",ROW('Work Items'!$A$6:$A$5000)-ROW('Work Items'!$A$6)+1),201)),"")</f>
        <v/>
      </c>
      <c r="E205">
        <f t="array" ref="E205">IFERROR(INDEX('Work Items'!$D$6:$D$5000,SMALL(IF('Work Items'!$A$6:$A$5000="Risk",ROW('Work Items'!$A$6:$A$5000)-ROW('Work Items'!$A$6)+1),201)),"")</f>
        <v/>
      </c>
      <c r="F205">
        <f t="array" ref="F205">IFERROR(INDEX('Work Items'!$E$6:$E$5000,SMALL(IF('Work Items'!$A$6:$A$5000="Risk",ROW('Work Items'!$A$6:$A$5000)-ROW('Work Items'!$A$6)+1),201)),"")</f>
        <v/>
      </c>
      <c r="G205">
        <f t="array" ref="G205">IFERROR(INDEX('Work Items'!$F$6:$F$5000,SMALL(IF('Work Items'!$A$6:$A$5000="Risk",ROW('Work Items'!$A$6:$A$5000)-ROW('Work Items'!$A$6)+1),201)),"")</f>
        <v/>
      </c>
      <c r="H205">
        <f t="array" ref="H205">IFERROR(INDEX('Work Items'!$J$6:$J$5000,SMALL(IF('Work Items'!$A$6:$A$5000="Risk",ROW('Work Items'!$A$6:$A$5000)-ROW('Work Items'!$A$6)+1),201)),"")</f>
        <v/>
      </c>
      <c r="I205">
        <f t="array" ref="I205">IFERROR(INDEX('Work Items'!$K$6:$K$5000,SMALL(IF('Work Items'!$A$6:$A$5000="Risk",ROW('Work Items'!$A$6:$A$5000)-ROW('Work Items'!$A$6)+1),201)),"")</f>
        <v/>
      </c>
      <c r="J205">
        <f t="array" ref="J205">IFERROR(INDEX('Work Items'!$L$6:$L$5000,SMALL(IF('Work Items'!$A$6:$A$5000="Risk",ROW('Work Items'!$A$6:$A$5000)-ROW('Work Items'!$A$6)+1),201)),"")</f>
        <v/>
      </c>
      <c r="K205">
        <f t="array" ref="K205">IFERROR(IF(AND(INDEX('Work Items'!$R$6:$R$5000,SMALL(IF('Work Items'!$A$6:$A$5000="Risk",ROW('Work Items'!$A$6:$A$5000)-ROW('Work Items'!$A$6)+1),201))&lt;&gt;"",INDEX('Work Items'!$S$6:$S$5000,SMALL(IF('Work Items'!$A$6:$A$5000="Risk",ROW('Work Items'!$A$6:$A$5000)-ROW('Work Items'!$A$6)+1),201))&lt;&gt;""),INDEX('Work Items'!$R$6:$R$5000,SMALL(IF('Work Items'!$A$6:$A$5000="Risk",ROW('Work Items'!$A$6:$A$5000)-ROW('Work Items'!$A$6)+1),201))*INDEX('Work Items'!$S$6:$S$5000,SMALL(IF('Work Items'!$A$6:$A$5000="Risk",ROW('Work Items'!$A$6:$A$5000)-ROW('Work Items'!$A$6)+1),201)),INDEX('Work Items'!$U$6:$U$5000,SMALL(IF('Work Items'!$A$6:$A$5000="Risk",ROW('Work Items'!$A$6:$A$5000)-ROW('Work Items'!$A$6)+1),201))),"")</f>
        <v/>
      </c>
      <c r="L205" s="217">
        <f t="array" ref="L205">IFERROR(INDEX('Work Items'!$Q$6:$Q$5000,SMALL(IF('Work Items'!$A$6:$A$5000="Risk",ROW('Work Items'!$A$6:$A$5000)-ROW('Work Items'!$A$6)+1),201)),"")</f>
        <v/>
      </c>
      <c r="M205">
        <f t="array" ref="M205">IFERROR(INDEX('Work Items'!$T$6:$T$5000,SMALL(IF('Work Items'!$A$6:$A$5000="Risk",ROW('Work Items'!$A$6:$A$5000)-ROW('Work Items'!$A$6)+1),201)),"")</f>
        <v/>
      </c>
    </row>
    <row r="206">
      <c r="A206">
        <f t="array" ref="A206">IFERROR(INDEX('Work Items'!$A$6:$A$5000,SMALL(IF('Work Items'!$A$6:$A$5000="Risk",ROW('Work Items'!$A$6:$A$5000)-ROW('Work Items'!$A$6)+1),202)),"")</f>
        <v/>
      </c>
      <c r="B206">
        <f t="array" ref="B206">IFERROR(INDEX('Work Items'!$B$6:$B$5000,SMALL(IF('Work Items'!$A$6:$A$5000="Risk",ROW('Work Items'!$A$6:$A$5000)-ROW('Work Items'!$A$6)+1),202)),"")</f>
        <v/>
      </c>
      <c r="C206">
        <f>IF(E206="","",IFERROR(INDEX('Projects Master'!$A:$A,MATCH(E206,'Projects Master'!$B:$B,0)),"OrgRisk"))</f>
        <v/>
      </c>
      <c r="D206">
        <f t="array" ref="D206">IFERROR(INDEX('Work Items'!$C$6:$C$5000,SMALL(IF('Work Items'!$A$6:$A$5000="Risk",ROW('Work Items'!$A$6:$A$5000)-ROW('Work Items'!$A$6)+1),202)),"")</f>
        <v/>
      </c>
      <c r="E206">
        <f t="array" ref="E206">IFERROR(INDEX('Work Items'!$D$6:$D$5000,SMALL(IF('Work Items'!$A$6:$A$5000="Risk",ROW('Work Items'!$A$6:$A$5000)-ROW('Work Items'!$A$6)+1),202)),"")</f>
        <v/>
      </c>
      <c r="F206">
        <f t="array" ref="F206">IFERROR(INDEX('Work Items'!$E$6:$E$5000,SMALL(IF('Work Items'!$A$6:$A$5000="Risk",ROW('Work Items'!$A$6:$A$5000)-ROW('Work Items'!$A$6)+1),202)),"")</f>
        <v/>
      </c>
      <c r="G206">
        <f t="array" ref="G206">IFERROR(INDEX('Work Items'!$F$6:$F$5000,SMALL(IF('Work Items'!$A$6:$A$5000="Risk",ROW('Work Items'!$A$6:$A$5000)-ROW('Work Items'!$A$6)+1),202)),"")</f>
        <v/>
      </c>
      <c r="H206">
        <f t="array" ref="H206">IFERROR(INDEX('Work Items'!$J$6:$J$5000,SMALL(IF('Work Items'!$A$6:$A$5000="Risk",ROW('Work Items'!$A$6:$A$5000)-ROW('Work Items'!$A$6)+1),202)),"")</f>
        <v/>
      </c>
      <c r="I206">
        <f t="array" ref="I206">IFERROR(INDEX('Work Items'!$K$6:$K$5000,SMALL(IF('Work Items'!$A$6:$A$5000="Risk",ROW('Work Items'!$A$6:$A$5000)-ROW('Work Items'!$A$6)+1),202)),"")</f>
        <v/>
      </c>
      <c r="J206">
        <f t="array" ref="J206">IFERROR(INDEX('Work Items'!$L$6:$L$5000,SMALL(IF('Work Items'!$A$6:$A$5000="Risk",ROW('Work Items'!$A$6:$A$5000)-ROW('Work Items'!$A$6)+1),202)),"")</f>
        <v/>
      </c>
      <c r="K206">
        <f t="array" ref="K206">IFERROR(IF(AND(INDEX('Work Items'!$R$6:$R$5000,SMALL(IF('Work Items'!$A$6:$A$5000="Risk",ROW('Work Items'!$A$6:$A$5000)-ROW('Work Items'!$A$6)+1),202))&lt;&gt;"",INDEX('Work Items'!$S$6:$S$5000,SMALL(IF('Work Items'!$A$6:$A$5000="Risk",ROW('Work Items'!$A$6:$A$5000)-ROW('Work Items'!$A$6)+1),202))&lt;&gt;""),INDEX('Work Items'!$R$6:$R$5000,SMALL(IF('Work Items'!$A$6:$A$5000="Risk",ROW('Work Items'!$A$6:$A$5000)-ROW('Work Items'!$A$6)+1),202))*INDEX('Work Items'!$S$6:$S$5000,SMALL(IF('Work Items'!$A$6:$A$5000="Risk",ROW('Work Items'!$A$6:$A$5000)-ROW('Work Items'!$A$6)+1),202)),INDEX('Work Items'!$U$6:$U$5000,SMALL(IF('Work Items'!$A$6:$A$5000="Risk",ROW('Work Items'!$A$6:$A$5000)-ROW('Work Items'!$A$6)+1),202))),"")</f>
        <v/>
      </c>
      <c r="L206" s="217">
        <f t="array" ref="L206">IFERROR(INDEX('Work Items'!$Q$6:$Q$5000,SMALL(IF('Work Items'!$A$6:$A$5000="Risk",ROW('Work Items'!$A$6:$A$5000)-ROW('Work Items'!$A$6)+1),202)),"")</f>
        <v/>
      </c>
      <c r="M206">
        <f t="array" ref="M206">IFERROR(INDEX('Work Items'!$T$6:$T$5000,SMALL(IF('Work Items'!$A$6:$A$5000="Risk",ROW('Work Items'!$A$6:$A$5000)-ROW('Work Items'!$A$6)+1),202)),"")</f>
        <v/>
      </c>
    </row>
    <row r="207">
      <c r="A207">
        <f t="array" ref="A207">IFERROR(INDEX('Work Items'!$A$6:$A$5000,SMALL(IF('Work Items'!$A$6:$A$5000="Risk",ROW('Work Items'!$A$6:$A$5000)-ROW('Work Items'!$A$6)+1),203)),"")</f>
        <v/>
      </c>
      <c r="B207">
        <f t="array" ref="B207">IFERROR(INDEX('Work Items'!$B$6:$B$5000,SMALL(IF('Work Items'!$A$6:$A$5000="Risk",ROW('Work Items'!$A$6:$A$5000)-ROW('Work Items'!$A$6)+1),203)),"")</f>
        <v/>
      </c>
      <c r="C207">
        <f>IF(E207="","",IFERROR(INDEX('Projects Master'!$A:$A,MATCH(E207,'Projects Master'!$B:$B,0)),"OrgRisk"))</f>
        <v/>
      </c>
      <c r="D207">
        <f t="array" ref="D207">IFERROR(INDEX('Work Items'!$C$6:$C$5000,SMALL(IF('Work Items'!$A$6:$A$5000="Risk",ROW('Work Items'!$A$6:$A$5000)-ROW('Work Items'!$A$6)+1),203)),"")</f>
        <v/>
      </c>
      <c r="E207">
        <f t="array" ref="E207">IFERROR(INDEX('Work Items'!$D$6:$D$5000,SMALL(IF('Work Items'!$A$6:$A$5000="Risk",ROW('Work Items'!$A$6:$A$5000)-ROW('Work Items'!$A$6)+1),203)),"")</f>
        <v/>
      </c>
      <c r="F207">
        <f t="array" ref="F207">IFERROR(INDEX('Work Items'!$E$6:$E$5000,SMALL(IF('Work Items'!$A$6:$A$5000="Risk",ROW('Work Items'!$A$6:$A$5000)-ROW('Work Items'!$A$6)+1),203)),"")</f>
        <v/>
      </c>
      <c r="G207">
        <f t="array" ref="G207">IFERROR(INDEX('Work Items'!$F$6:$F$5000,SMALL(IF('Work Items'!$A$6:$A$5000="Risk",ROW('Work Items'!$A$6:$A$5000)-ROW('Work Items'!$A$6)+1),203)),"")</f>
        <v/>
      </c>
      <c r="H207">
        <f t="array" ref="H207">IFERROR(INDEX('Work Items'!$J$6:$J$5000,SMALL(IF('Work Items'!$A$6:$A$5000="Risk",ROW('Work Items'!$A$6:$A$5000)-ROW('Work Items'!$A$6)+1),203)),"")</f>
        <v/>
      </c>
      <c r="I207">
        <f t="array" ref="I207">IFERROR(INDEX('Work Items'!$K$6:$K$5000,SMALL(IF('Work Items'!$A$6:$A$5000="Risk",ROW('Work Items'!$A$6:$A$5000)-ROW('Work Items'!$A$6)+1),203)),"")</f>
        <v/>
      </c>
      <c r="J207">
        <f t="array" ref="J207">IFERROR(INDEX('Work Items'!$L$6:$L$5000,SMALL(IF('Work Items'!$A$6:$A$5000="Risk",ROW('Work Items'!$A$6:$A$5000)-ROW('Work Items'!$A$6)+1),203)),"")</f>
        <v/>
      </c>
      <c r="K207">
        <f t="array" ref="K207">IFERROR(IF(AND(INDEX('Work Items'!$R$6:$R$5000,SMALL(IF('Work Items'!$A$6:$A$5000="Risk",ROW('Work Items'!$A$6:$A$5000)-ROW('Work Items'!$A$6)+1),203))&lt;&gt;"",INDEX('Work Items'!$S$6:$S$5000,SMALL(IF('Work Items'!$A$6:$A$5000="Risk",ROW('Work Items'!$A$6:$A$5000)-ROW('Work Items'!$A$6)+1),203))&lt;&gt;""),INDEX('Work Items'!$R$6:$R$5000,SMALL(IF('Work Items'!$A$6:$A$5000="Risk",ROW('Work Items'!$A$6:$A$5000)-ROW('Work Items'!$A$6)+1),203))*INDEX('Work Items'!$S$6:$S$5000,SMALL(IF('Work Items'!$A$6:$A$5000="Risk",ROW('Work Items'!$A$6:$A$5000)-ROW('Work Items'!$A$6)+1),203)),INDEX('Work Items'!$U$6:$U$5000,SMALL(IF('Work Items'!$A$6:$A$5000="Risk",ROW('Work Items'!$A$6:$A$5000)-ROW('Work Items'!$A$6)+1),203))),"")</f>
        <v/>
      </c>
      <c r="L207" s="217">
        <f t="array" ref="L207">IFERROR(INDEX('Work Items'!$Q$6:$Q$5000,SMALL(IF('Work Items'!$A$6:$A$5000="Risk",ROW('Work Items'!$A$6:$A$5000)-ROW('Work Items'!$A$6)+1),203)),"")</f>
        <v/>
      </c>
      <c r="M207">
        <f t="array" ref="M207">IFERROR(INDEX('Work Items'!$T$6:$T$5000,SMALL(IF('Work Items'!$A$6:$A$5000="Risk",ROW('Work Items'!$A$6:$A$5000)-ROW('Work Items'!$A$6)+1),203)),"")</f>
        <v/>
      </c>
    </row>
    <row r="208">
      <c r="A208">
        <f t="array" ref="A208">IFERROR(INDEX('Work Items'!$A$6:$A$5000,SMALL(IF('Work Items'!$A$6:$A$5000="Risk",ROW('Work Items'!$A$6:$A$5000)-ROW('Work Items'!$A$6)+1),204)),"")</f>
        <v/>
      </c>
      <c r="B208">
        <f t="array" ref="B208">IFERROR(INDEX('Work Items'!$B$6:$B$5000,SMALL(IF('Work Items'!$A$6:$A$5000="Risk",ROW('Work Items'!$A$6:$A$5000)-ROW('Work Items'!$A$6)+1),204)),"")</f>
        <v/>
      </c>
      <c r="C208">
        <f>IF(E208="","",IFERROR(INDEX('Projects Master'!$A:$A,MATCH(E208,'Projects Master'!$B:$B,0)),"OrgRisk"))</f>
        <v/>
      </c>
      <c r="D208">
        <f t="array" ref="D208">IFERROR(INDEX('Work Items'!$C$6:$C$5000,SMALL(IF('Work Items'!$A$6:$A$5000="Risk",ROW('Work Items'!$A$6:$A$5000)-ROW('Work Items'!$A$6)+1),204)),"")</f>
        <v/>
      </c>
      <c r="E208">
        <f t="array" ref="E208">IFERROR(INDEX('Work Items'!$D$6:$D$5000,SMALL(IF('Work Items'!$A$6:$A$5000="Risk",ROW('Work Items'!$A$6:$A$5000)-ROW('Work Items'!$A$6)+1),204)),"")</f>
        <v/>
      </c>
      <c r="F208">
        <f t="array" ref="F208">IFERROR(INDEX('Work Items'!$E$6:$E$5000,SMALL(IF('Work Items'!$A$6:$A$5000="Risk",ROW('Work Items'!$A$6:$A$5000)-ROW('Work Items'!$A$6)+1),204)),"")</f>
        <v/>
      </c>
      <c r="G208">
        <f t="array" ref="G208">IFERROR(INDEX('Work Items'!$F$6:$F$5000,SMALL(IF('Work Items'!$A$6:$A$5000="Risk",ROW('Work Items'!$A$6:$A$5000)-ROW('Work Items'!$A$6)+1),204)),"")</f>
        <v/>
      </c>
      <c r="H208">
        <f t="array" ref="H208">IFERROR(INDEX('Work Items'!$J$6:$J$5000,SMALL(IF('Work Items'!$A$6:$A$5000="Risk",ROW('Work Items'!$A$6:$A$5000)-ROW('Work Items'!$A$6)+1),204)),"")</f>
        <v/>
      </c>
      <c r="I208">
        <f t="array" ref="I208">IFERROR(INDEX('Work Items'!$K$6:$K$5000,SMALL(IF('Work Items'!$A$6:$A$5000="Risk",ROW('Work Items'!$A$6:$A$5000)-ROW('Work Items'!$A$6)+1),204)),"")</f>
        <v/>
      </c>
      <c r="J208">
        <f t="array" ref="J208">IFERROR(INDEX('Work Items'!$L$6:$L$5000,SMALL(IF('Work Items'!$A$6:$A$5000="Risk",ROW('Work Items'!$A$6:$A$5000)-ROW('Work Items'!$A$6)+1),204)),"")</f>
        <v/>
      </c>
      <c r="K208">
        <f t="array" ref="K208">IFERROR(IF(AND(INDEX('Work Items'!$R$6:$R$5000,SMALL(IF('Work Items'!$A$6:$A$5000="Risk",ROW('Work Items'!$A$6:$A$5000)-ROW('Work Items'!$A$6)+1),204))&lt;&gt;"",INDEX('Work Items'!$S$6:$S$5000,SMALL(IF('Work Items'!$A$6:$A$5000="Risk",ROW('Work Items'!$A$6:$A$5000)-ROW('Work Items'!$A$6)+1),204))&lt;&gt;""),INDEX('Work Items'!$R$6:$R$5000,SMALL(IF('Work Items'!$A$6:$A$5000="Risk",ROW('Work Items'!$A$6:$A$5000)-ROW('Work Items'!$A$6)+1),204))*INDEX('Work Items'!$S$6:$S$5000,SMALL(IF('Work Items'!$A$6:$A$5000="Risk",ROW('Work Items'!$A$6:$A$5000)-ROW('Work Items'!$A$6)+1),204)),INDEX('Work Items'!$U$6:$U$5000,SMALL(IF('Work Items'!$A$6:$A$5000="Risk",ROW('Work Items'!$A$6:$A$5000)-ROW('Work Items'!$A$6)+1),204))),"")</f>
        <v/>
      </c>
      <c r="L208" s="217">
        <f t="array" ref="L208">IFERROR(INDEX('Work Items'!$Q$6:$Q$5000,SMALL(IF('Work Items'!$A$6:$A$5000="Risk",ROW('Work Items'!$A$6:$A$5000)-ROW('Work Items'!$A$6)+1),204)),"")</f>
        <v/>
      </c>
      <c r="M208">
        <f t="array" ref="M208">IFERROR(INDEX('Work Items'!$T$6:$T$5000,SMALL(IF('Work Items'!$A$6:$A$5000="Risk",ROW('Work Items'!$A$6:$A$5000)-ROW('Work Items'!$A$6)+1),204)),"")</f>
        <v/>
      </c>
    </row>
    <row r="209">
      <c r="A209">
        <f t="array" ref="A209">IFERROR(INDEX('Work Items'!$A$6:$A$5000,SMALL(IF('Work Items'!$A$6:$A$5000="Risk",ROW('Work Items'!$A$6:$A$5000)-ROW('Work Items'!$A$6)+1),205)),"")</f>
        <v/>
      </c>
      <c r="B209">
        <f t="array" ref="B209">IFERROR(INDEX('Work Items'!$B$6:$B$5000,SMALL(IF('Work Items'!$A$6:$A$5000="Risk",ROW('Work Items'!$A$6:$A$5000)-ROW('Work Items'!$A$6)+1),205)),"")</f>
        <v/>
      </c>
      <c r="C209">
        <f>IF(E209="","",IFERROR(INDEX('Projects Master'!$A:$A,MATCH(E209,'Projects Master'!$B:$B,0)),"OrgRisk"))</f>
        <v/>
      </c>
      <c r="D209">
        <f t="array" ref="D209">IFERROR(INDEX('Work Items'!$C$6:$C$5000,SMALL(IF('Work Items'!$A$6:$A$5000="Risk",ROW('Work Items'!$A$6:$A$5000)-ROW('Work Items'!$A$6)+1),205)),"")</f>
        <v/>
      </c>
      <c r="E209">
        <f t="array" ref="E209">IFERROR(INDEX('Work Items'!$D$6:$D$5000,SMALL(IF('Work Items'!$A$6:$A$5000="Risk",ROW('Work Items'!$A$6:$A$5000)-ROW('Work Items'!$A$6)+1),205)),"")</f>
        <v/>
      </c>
      <c r="F209">
        <f t="array" ref="F209">IFERROR(INDEX('Work Items'!$E$6:$E$5000,SMALL(IF('Work Items'!$A$6:$A$5000="Risk",ROW('Work Items'!$A$6:$A$5000)-ROW('Work Items'!$A$6)+1),205)),"")</f>
        <v/>
      </c>
      <c r="G209">
        <f t="array" ref="G209">IFERROR(INDEX('Work Items'!$F$6:$F$5000,SMALL(IF('Work Items'!$A$6:$A$5000="Risk",ROW('Work Items'!$A$6:$A$5000)-ROW('Work Items'!$A$6)+1),205)),"")</f>
        <v/>
      </c>
      <c r="H209">
        <f t="array" ref="H209">IFERROR(INDEX('Work Items'!$J$6:$J$5000,SMALL(IF('Work Items'!$A$6:$A$5000="Risk",ROW('Work Items'!$A$6:$A$5000)-ROW('Work Items'!$A$6)+1),205)),"")</f>
        <v/>
      </c>
      <c r="I209">
        <f t="array" ref="I209">IFERROR(INDEX('Work Items'!$K$6:$K$5000,SMALL(IF('Work Items'!$A$6:$A$5000="Risk",ROW('Work Items'!$A$6:$A$5000)-ROW('Work Items'!$A$6)+1),205)),"")</f>
        <v/>
      </c>
      <c r="J209">
        <f t="array" ref="J209">IFERROR(INDEX('Work Items'!$L$6:$L$5000,SMALL(IF('Work Items'!$A$6:$A$5000="Risk",ROW('Work Items'!$A$6:$A$5000)-ROW('Work Items'!$A$6)+1),205)),"")</f>
        <v/>
      </c>
      <c r="K209">
        <f t="array" ref="K209">IFERROR(IF(AND(INDEX('Work Items'!$R$6:$R$5000,SMALL(IF('Work Items'!$A$6:$A$5000="Risk",ROW('Work Items'!$A$6:$A$5000)-ROW('Work Items'!$A$6)+1),205))&lt;&gt;"",INDEX('Work Items'!$S$6:$S$5000,SMALL(IF('Work Items'!$A$6:$A$5000="Risk",ROW('Work Items'!$A$6:$A$5000)-ROW('Work Items'!$A$6)+1),205))&lt;&gt;""),INDEX('Work Items'!$R$6:$R$5000,SMALL(IF('Work Items'!$A$6:$A$5000="Risk",ROW('Work Items'!$A$6:$A$5000)-ROW('Work Items'!$A$6)+1),205))*INDEX('Work Items'!$S$6:$S$5000,SMALL(IF('Work Items'!$A$6:$A$5000="Risk",ROW('Work Items'!$A$6:$A$5000)-ROW('Work Items'!$A$6)+1),205)),INDEX('Work Items'!$U$6:$U$5000,SMALL(IF('Work Items'!$A$6:$A$5000="Risk",ROW('Work Items'!$A$6:$A$5000)-ROW('Work Items'!$A$6)+1),205))),"")</f>
        <v/>
      </c>
      <c r="L209" s="217">
        <f t="array" ref="L209">IFERROR(INDEX('Work Items'!$Q$6:$Q$5000,SMALL(IF('Work Items'!$A$6:$A$5000="Risk",ROW('Work Items'!$A$6:$A$5000)-ROW('Work Items'!$A$6)+1),205)),"")</f>
        <v/>
      </c>
      <c r="M209">
        <f t="array" ref="M209">IFERROR(INDEX('Work Items'!$T$6:$T$5000,SMALL(IF('Work Items'!$A$6:$A$5000="Risk",ROW('Work Items'!$A$6:$A$5000)-ROW('Work Items'!$A$6)+1),205)),"")</f>
        <v/>
      </c>
    </row>
    <row r="210">
      <c r="A210">
        <f t="array" ref="A210">IFERROR(INDEX('Work Items'!$A$6:$A$5000,SMALL(IF('Work Items'!$A$6:$A$5000="Risk",ROW('Work Items'!$A$6:$A$5000)-ROW('Work Items'!$A$6)+1),206)),"")</f>
        <v/>
      </c>
      <c r="B210">
        <f t="array" ref="B210">IFERROR(INDEX('Work Items'!$B$6:$B$5000,SMALL(IF('Work Items'!$A$6:$A$5000="Risk",ROW('Work Items'!$A$6:$A$5000)-ROW('Work Items'!$A$6)+1),206)),"")</f>
        <v/>
      </c>
      <c r="C210">
        <f>IF(E210="","",IFERROR(INDEX('Projects Master'!$A:$A,MATCH(E210,'Projects Master'!$B:$B,0)),"OrgRisk"))</f>
        <v/>
      </c>
      <c r="D210">
        <f t="array" ref="D210">IFERROR(INDEX('Work Items'!$C$6:$C$5000,SMALL(IF('Work Items'!$A$6:$A$5000="Risk",ROW('Work Items'!$A$6:$A$5000)-ROW('Work Items'!$A$6)+1),206)),"")</f>
        <v/>
      </c>
      <c r="E210">
        <f t="array" ref="E210">IFERROR(INDEX('Work Items'!$D$6:$D$5000,SMALL(IF('Work Items'!$A$6:$A$5000="Risk",ROW('Work Items'!$A$6:$A$5000)-ROW('Work Items'!$A$6)+1),206)),"")</f>
        <v/>
      </c>
      <c r="F210">
        <f t="array" ref="F210">IFERROR(INDEX('Work Items'!$E$6:$E$5000,SMALL(IF('Work Items'!$A$6:$A$5000="Risk",ROW('Work Items'!$A$6:$A$5000)-ROW('Work Items'!$A$6)+1),206)),"")</f>
        <v/>
      </c>
      <c r="G210">
        <f t="array" ref="G210">IFERROR(INDEX('Work Items'!$F$6:$F$5000,SMALL(IF('Work Items'!$A$6:$A$5000="Risk",ROW('Work Items'!$A$6:$A$5000)-ROW('Work Items'!$A$6)+1),206)),"")</f>
        <v/>
      </c>
      <c r="H210">
        <f t="array" ref="H210">IFERROR(INDEX('Work Items'!$J$6:$J$5000,SMALL(IF('Work Items'!$A$6:$A$5000="Risk",ROW('Work Items'!$A$6:$A$5000)-ROW('Work Items'!$A$6)+1),206)),"")</f>
        <v/>
      </c>
      <c r="I210">
        <f t="array" ref="I210">IFERROR(INDEX('Work Items'!$K$6:$K$5000,SMALL(IF('Work Items'!$A$6:$A$5000="Risk",ROW('Work Items'!$A$6:$A$5000)-ROW('Work Items'!$A$6)+1),206)),"")</f>
        <v/>
      </c>
      <c r="J210">
        <f t="array" ref="J210">IFERROR(INDEX('Work Items'!$L$6:$L$5000,SMALL(IF('Work Items'!$A$6:$A$5000="Risk",ROW('Work Items'!$A$6:$A$5000)-ROW('Work Items'!$A$6)+1),206)),"")</f>
        <v/>
      </c>
      <c r="K210">
        <f t="array" ref="K210">IFERROR(IF(AND(INDEX('Work Items'!$R$6:$R$5000,SMALL(IF('Work Items'!$A$6:$A$5000="Risk",ROW('Work Items'!$A$6:$A$5000)-ROW('Work Items'!$A$6)+1),206))&lt;&gt;"",INDEX('Work Items'!$S$6:$S$5000,SMALL(IF('Work Items'!$A$6:$A$5000="Risk",ROW('Work Items'!$A$6:$A$5000)-ROW('Work Items'!$A$6)+1),206))&lt;&gt;""),INDEX('Work Items'!$R$6:$R$5000,SMALL(IF('Work Items'!$A$6:$A$5000="Risk",ROW('Work Items'!$A$6:$A$5000)-ROW('Work Items'!$A$6)+1),206))*INDEX('Work Items'!$S$6:$S$5000,SMALL(IF('Work Items'!$A$6:$A$5000="Risk",ROW('Work Items'!$A$6:$A$5000)-ROW('Work Items'!$A$6)+1),206)),INDEX('Work Items'!$U$6:$U$5000,SMALL(IF('Work Items'!$A$6:$A$5000="Risk",ROW('Work Items'!$A$6:$A$5000)-ROW('Work Items'!$A$6)+1),206))),"")</f>
        <v/>
      </c>
      <c r="L210" s="217">
        <f t="array" ref="L210">IFERROR(INDEX('Work Items'!$Q$6:$Q$5000,SMALL(IF('Work Items'!$A$6:$A$5000="Risk",ROW('Work Items'!$A$6:$A$5000)-ROW('Work Items'!$A$6)+1),206)),"")</f>
        <v/>
      </c>
      <c r="M210">
        <f t="array" ref="M210">IFERROR(INDEX('Work Items'!$T$6:$T$5000,SMALL(IF('Work Items'!$A$6:$A$5000="Risk",ROW('Work Items'!$A$6:$A$5000)-ROW('Work Items'!$A$6)+1),206)),"")</f>
        <v/>
      </c>
    </row>
    <row r="211">
      <c r="A211">
        <f t="array" ref="A211">IFERROR(INDEX('Work Items'!$A$6:$A$5000,SMALL(IF('Work Items'!$A$6:$A$5000="Risk",ROW('Work Items'!$A$6:$A$5000)-ROW('Work Items'!$A$6)+1),207)),"")</f>
        <v/>
      </c>
      <c r="B211">
        <f t="array" ref="B211">IFERROR(INDEX('Work Items'!$B$6:$B$5000,SMALL(IF('Work Items'!$A$6:$A$5000="Risk",ROW('Work Items'!$A$6:$A$5000)-ROW('Work Items'!$A$6)+1),207)),"")</f>
        <v/>
      </c>
      <c r="C211">
        <f>IF(E211="","",IFERROR(INDEX('Projects Master'!$A:$A,MATCH(E211,'Projects Master'!$B:$B,0)),"OrgRisk"))</f>
        <v/>
      </c>
      <c r="D211">
        <f t="array" ref="D211">IFERROR(INDEX('Work Items'!$C$6:$C$5000,SMALL(IF('Work Items'!$A$6:$A$5000="Risk",ROW('Work Items'!$A$6:$A$5000)-ROW('Work Items'!$A$6)+1),207)),"")</f>
        <v/>
      </c>
      <c r="E211">
        <f t="array" ref="E211">IFERROR(INDEX('Work Items'!$D$6:$D$5000,SMALL(IF('Work Items'!$A$6:$A$5000="Risk",ROW('Work Items'!$A$6:$A$5000)-ROW('Work Items'!$A$6)+1),207)),"")</f>
        <v/>
      </c>
      <c r="F211">
        <f t="array" ref="F211">IFERROR(INDEX('Work Items'!$E$6:$E$5000,SMALL(IF('Work Items'!$A$6:$A$5000="Risk",ROW('Work Items'!$A$6:$A$5000)-ROW('Work Items'!$A$6)+1),207)),"")</f>
        <v/>
      </c>
      <c r="G211">
        <f t="array" ref="G211">IFERROR(INDEX('Work Items'!$F$6:$F$5000,SMALL(IF('Work Items'!$A$6:$A$5000="Risk",ROW('Work Items'!$A$6:$A$5000)-ROW('Work Items'!$A$6)+1),207)),"")</f>
        <v/>
      </c>
      <c r="H211">
        <f t="array" ref="H211">IFERROR(INDEX('Work Items'!$J$6:$J$5000,SMALL(IF('Work Items'!$A$6:$A$5000="Risk",ROW('Work Items'!$A$6:$A$5000)-ROW('Work Items'!$A$6)+1),207)),"")</f>
        <v/>
      </c>
      <c r="I211">
        <f t="array" ref="I211">IFERROR(INDEX('Work Items'!$K$6:$K$5000,SMALL(IF('Work Items'!$A$6:$A$5000="Risk",ROW('Work Items'!$A$6:$A$5000)-ROW('Work Items'!$A$6)+1),207)),"")</f>
        <v/>
      </c>
      <c r="J211">
        <f t="array" ref="J211">IFERROR(INDEX('Work Items'!$L$6:$L$5000,SMALL(IF('Work Items'!$A$6:$A$5000="Risk",ROW('Work Items'!$A$6:$A$5000)-ROW('Work Items'!$A$6)+1),207)),"")</f>
        <v/>
      </c>
      <c r="K211">
        <f t="array" ref="K211">IFERROR(IF(AND(INDEX('Work Items'!$R$6:$R$5000,SMALL(IF('Work Items'!$A$6:$A$5000="Risk",ROW('Work Items'!$A$6:$A$5000)-ROW('Work Items'!$A$6)+1),207))&lt;&gt;"",INDEX('Work Items'!$S$6:$S$5000,SMALL(IF('Work Items'!$A$6:$A$5000="Risk",ROW('Work Items'!$A$6:$A$5000)-ROW('Work Items'!$A$6)+1),207))&lt;&gt;""),INDEX('Work Items'!$R$6:$R$5000,SMALL(IF('Work Items'!$A$6:$A$5000="Risk",ROW('Work Items'!$A$6:$A$5000)-ROW('Work Items'!$A$6)+1),207))*INDEX('Work Items'!$S$6:$S$5000,SMALL(IF('Work Items'!$A$6:$A$5000="Risk",ROW('Work Items'!$A$6:$A$5000)-ROW('Work Items'!$A$6)+1),207)),INDEX('Work Items'!$U$6:$U$5000,SMALL(IF('Work Items'!$A$6:$A$5000="Risk",ROW('Work Items'!$A$6:$A$5000)-ROW('Work Items'!$A$6)+1),207))),"")</f>
        <v/>
      </c>
      <c r="L211" s="217">
        <f t="array" ref="L211">IFERROR(INDEX('Work Items'!$Q$6:$Q$5000,SMALL(IF('Work Items'!$A$6:$A$5000="Risk",ROW('Work Items'!$A$6:$A$5000)-ROW('Work Items'!$A$6)+1),207)),"")</f>
        <v/>
      </c>
      <c r="M211">
        <f t="array" ref="M211">IFERROR(INDEX('Work Items'!$T$6:$T$5000,SMALL(IF('Work Items'!$A$6:$A$5000="Risk",ROW('Work Items'!$A$6:$A$5000)-ROW('Work Items'!$A$6)+1),207)),"")</f>
        <v/>
      </c>
    </row>
    <row r="212">
      <c r="A212">
        <f t="array" ref="A212">IFERROR(INDEX('Work Items'!$A$6:$A$5000,SMALL(IF('Work Items'!$A$6:$A$5000="Risk",ROW('Work Items'!$A$6:$A$5000)-ROW('Work Items'!$A$6)+1),208)),"")</f>
        <v/>
      </c>
      <c r="B212">
        <f t="array" ref="B212">IFERROR(INDEX('Work Items'!$B$6:$B$5000,SMALL(IF('Work Items'!$A$6:$A$5000="Risk",ROW('Work Items'!$A$6:$A$5000)-ROW('Work Items'!$A$6)+1),208)),"")</f>
        <v/>
      </c>
      <c r="C212">
        <f>IF(E212="","",IFERROR(INDEX('Projects Master'!$A:$A,MATCH(E212,'Projects Master'!$B:$B,0)),"OrgRisk"))</f>
        <v/>
      </c>
      <c r="D212">
        <f t="array" ref="D212">IFERROR(INDEX('Work Items'!$C$6:$C$5000,SMALL(IF('Work Items'!$A$6:$A$5000="Risk",ROW('Work Items'!$A$6:$A$5000)-ROW('Work Items'!$A$6)+1),208)),"")</f>
        <v/>
      </c>
      <c r="E212">
        <f t="array" ref="E212">IFERROR(INDEX('Work Items'!$D$6:$D$5000,SMALL(IF('Work Items'!$A$6:$A$5000="Risk",ROW('Work Items'!$A$6:$A$5000)-ROW('Work Items'!$A$6)+1),208)),"")</f>
        <v/>
      </c>
      <c r="F212">
        <f t="array" ref="F212">IFERROR(INDEX('Work Items'!$E$6:$E$5000,SMALL(IF('Work Items'!$A$6:$A$5000="Risk",ROW('Work Items'!$A$6:$A$5000)-ROW('Work Items'!$A$6)+1),208)),"")</f>
        <v/>
      </c>
      <c r="G212">
        <f t="array" ref="G212">IFERROR(INDEX('Work Items'!$F$6:$F$5000,SMALL(IF('Work Items'!$A$6:$A$5000="Risk",ROW('Work Items'!$A$6:$A$5000)-ROW('Work Items'!$A$6)+1),208)),"")</f>
        <v/>
      </c>
      <c r="H212">
        <f t="array" ref="H212">IFERROR(INDEX('Work Items'!$J$6:$J$5000,SMALL(IF('Work Items'!$A$6:$A$5000="Risk",ROW('Work Items'!$A$6:$A$5000)-ROW('Work Items'!$A$6)+1),208)),"")</f>
        <v/>
      </c>
      <c r="I212">
        <f t="array" ref="I212">IFERROR(INDEX('Work Items'!$K$6:$K$5000,SMALL(IF('Work Items'!$A$6:$A$5000="Risk",ROW('Work Items'!$A$6:$A$5000)-ROW('Work Items'!$A$6)+1),208)),"")</f>
        <v/>
      </c>
      <c r="J212">
        <f t="array" ref="J212">IFERROR(INDEX('Work Items'!$L$6:$L$5000,SMALL(IF('Work Items'!$A$6:$A$5000="Risk",ROW('Work Items'!$A$6:$A$5000)-ROW('Work Items'!$A$6)+1),208)),"")</f>
        <v/>
      </c>
      <c r="K212">
        <f t="array" ref="K212">IFERROR(IF(AND(INDEX('Work Items'!$R$6:$R$5000,SMALL(IF('Work Items'!$A$6:$A$5000="Risk",ROW('Work Items'!$A$6:$A$5000)-ROW('Work Items'!$A$6)+1),208))&lt;&gt;"",INDEX('Work Items'!$S$6:$S$5000,SMALL(IF('Work Items'!$A$6:$A$5000="Risk",ROW('Work Items'!$A$6:$A$5000)-ROW('Work Items'!$A$6)+1),208))&lt;&gt;""),INDEX('Work Items'!$R$6:$R$5000,SMALL(IF('Work Items'!$A$6:$A$5000="Risk",ROW('Work Items'!$A$6:$A$5000)-ROW('Work Items'!$A$6)+1),208))*INDEX('Work Items'!$S$6:$S$5000,SMALL(IF('Work Items'!$A$6:$A$5000="Risk",ROW('Work Items'!$A$6:$A$5000)-ROW('Work Items'!$A$6)+1),208)),INDEX('Work Items'!$U$6:$U$5000,SMALL(IF('Work Items'!$A$6:$A$5000="Risk",ROW('Work Items'!$A$6:$A$5000)-ROW('Work Items'!$A$6)+1),208))),"")</f>
        <v/>
      </c>
      <c r="L212" s="217">
        <f t="array" ref="L212">IFERROR(INDEX('Work Items'!$Q$6:$Q$5000,SMALL(IF('Work Items'!$A$6:$A$5000="Risk",ROW('Work Items'!$A$6:$A$5000)-ROW('Work Items'!$A$6)+1),208)),"")</f>
        <v/>
      </c>
      <c r="M212">
        <f t="array" ref="M212">IFERROR(INDEX('Work Items'!$T$6:$T$5000,SMALL(IF('Work Items'!$A$6:$A$5000="Risk",ROW('Work Items'!$A$6:$A$5000)-ROW('Work Items'!$A$6)+1),208)),"")</f>
        <v/>
      </c>
    </row>
    <row r="213">
      <c r="A213">
        <f t="array" ref="A213">IFERROR(INDEX('Work Items'!$A$6:$A$5000,SMALL(IF('Work Items'!$A$6:$A$5000="Risk",ROW('Work Items'!$A$6:$A$5000)-ROW('Work Items'!$A$6)+1),209)),"")</f>
        <v/>
      </c>
      <c r="B213">
        <f t="array" ref="B213">IFERROR(INDEX('Work Items'!$B$6:$B$5000,SMALL(IF('Work Items'!$A$6:$A$5000="Risk",ROW('Work Items'!$A$6:$A$5000)-ROW('Work Items'!$A$6)+1),209)),"")</f>
        <v/>
      </c>
      <c r="C213">
        <f>IF(E213="","",IFERROR(INDEX('Projects Master'!$A:$A,MATCH(E213,'Projects Master'!$B:$B,0)),"OrgRisk"))</f>
        <v/>
      </c>
      <c r="D213">
        <f t="array" ref="D213">IFERROR(INDEX('Work Items'!$C$6:$C$5000,SMALL(IF('Work Items'!$A$6:$A$5000="Risk",ROW('Work Items'!$A$6:$A$5000)-ROW('Work Items'!$A$6)+1),209)),"")</f>
        <v/>
      </c>
      <c r="E213">
        <f t="array" ref="E213">IFERROR(INDEX('Work Items'!$D$6:$D$5000,SMALL(IF('Work Items'!$A$6:$A$5000="Risk",ROW('Work Items'!$A$6:$A$5000)-ROW('Work Items'!$A$6)+1),209)),"")</f>
        <v/>
      </c>
      <c r="F213">
        <f t="array" ref="F213">IFERROR(INDEX('Work Items'!$E$6:$E$5000,SMALL(IF('Work Items'!$A$6:$A$5000="Risk",ROW('Work Items'!$A$6:$A$5000)-ROW('Work Items'!$A$6)+1),209)),"")</f>
        <v/>
      </c>
      <c r="G213">
        <f t="array" ref="G213">IFERROR(INDEX('Work Items'!$F$6:$F$5000,SMALL(IF('Work Items'!$A$6:$A$5000="Risk",ROW('Work Items'!$A$6:$A$5000)-ROW('Work Items'!$A$6)+1),209)),"")</f>
        <v/>
      </c>
      <c r="H213">
        <f t="array" ref="H213">IFERROR(INDEX('Work Items'!$J$6:$J$5000,SMALL(IF('Work Items'!$A$6:$A$5000="Risk",ROW('Work Items'!$A$6:$A$5000)-ROW('Work Items'!$A$6)+1),209)),"")</f>
        <v/>
      </c>
      <c r="I213">
        <f t="array" ref="I213">IFERROR(INDEX('Work Items'!$K$6:$K$5000,SMALL(IF('Work Items'!$A$6:$A$5000="Risk",ROW('Work Items'!$A$6:$A$5000)-ROW('Work Items'!$A$6)+1),209)),"")</f>
        <v/>
      </c>
      <c r="J213">
        <f t="array" ref="J213">IFERROR(INDEX('Work Items'!$L$6:$L$5000,SMALL(IF('Work Items'!$A$6:$A$5000="Risk",ROW('Work Items'!$A$6:$A$5000)-ROW('Work Items'!$A$6)+1),209)),"")</f>
        <v/>
      </c>
      <c r="K213">
        <f t="array" ref="K213">IFERROR(IF(AND(INDEX('Work Items'!$R$6:$R$5000,SMALL(IF('Work Items'!$A$6:$A$5000="Risk",ROW('Work Items'!$A$6:$A$5000)-ROW('Work Items'!$A$6)+1),209))&lt;&gt;"",INDEX('Work Items'!$S$6:$S$5000,SMALL(IF('Work Items'!$A$6:$A$5000="Risk",ROW('Work Items'!$A$6:$A$5000)-ROW('Work Items'!$A$6)+1),209))&lt;&gt;""),INDEX('Work Items'!$R$6:$R$5000,SMALL(IF('Work Items'!$A$6:$A$5000="Risk",ROW('Work Items'!$A$6:$A$5000)-ROW('Work Items'!$A$6)+1),209))*INDEX('Work Items'!$S$6:$S$5000,SMALL(IF('Work Items'!$A$6:$A$5000="Risk",ROW('Work Items'!$A$6:$A$5000)-ROW('Work Items'!$A$6)+1),209)),INDEX('Work Items'!$U$6:$U$5000,SMALL(IF('Work Items'!$A$6:$A$5000="Risk",ROW('Work Items'!$A$6:$A$5000)-ROW('Work Items'!$A$6)+1),209))),"")</f>
        <v/>
      </c>
      <c r="L213" s="217">
        <f t="array" ref="L213">IFERROR(INDEX('Work Items'!$Q$6:$Q$5000,SMALL(IF('Work Items'!$A$6:$A$5000="Risk",ROW('Work Items'!$A$6:$A$5000)-ROW('Work Items'!$A$6)+1),209)),"")</f>
        <v/>
      </c>
      <c r="M213">
        <f t="array" ref="M213">IFERROR(INDEX('Work Items'!$T$6:$T$5000,SMALL(IF('Work Items'!$A$6:$A$5000="Risk",ROW('Work Items'!$A$6:$A$5000)-ROW('Work Items'!$A$6)+1),209)),"")</f>
        <v/>
      </c>
    </row>
    <row r="214">
      <c r="A214">
        <f t="array" ref="A214">IFERROR(INDEX('Work Items'!$A$6:$A$5000,SMALL(IF('Work Items'!$A$6:$A$5000="Risk",ROW('Work Items'!$A$6:$A$5000)-ROW('Work Items'!$A$6)+1),210)),"")</f>
        <v/>
      </c>
      <c r="B214">
        <f t="array" ref="B214">IFERROR(INDEX('Work Items'!$B$6:$B$5000,SMALL(IF('Work Items'!$A$6:$A$5000="Risk",ROW('Work Items'!$A$6:$A$5000)-ROW('Work Items'!$A$6)+1),210)),"")</f>
        <v/>
      </c>
      <c r="C214">
        <f>IF(E214="","",IFERROR(INDEX('Projects Master'!$A:$A,MATCH(E214,'Projects Master'!$B:$B,0)),"OrgRisk"))</f>
        <v/>
      </c>
      <c r="D214">
        <f t="array" ref="D214">IFERROR(INDEX('Work Items'!$C$6:$C$5000,SMALL(IF('Work Items'!$A$6:$A$5000="Risk",ROW('Work Items'!$A$6:$A$5000)-ROW('Work Items'!$A$6)+1),210)),"")</f>
        <v/>
      </c>
      <c r="E214">
        <f t="array" ref="E214">IFERROR(INDEX('Work Items'!$D$6:$D$5000,SMALL(IF('Work Items'!$A$6:$A$5000="Risk",ROW('Work Items'!$A$6:$A$5000)-ROW('Work Items'!$A$6)+1),210)),"")</f>
        <v/>
      </c>
      <c r="F214">
        <f t="array" ref="F214">IFERROR(INDEX('Work Items'!$E$6:$E$5000,SMALL(IF('Work Items'!$A$6:$A$5000="Risk",ROW('Work Items'!$A$6:$A$5000)-ROW('Work Items'!$A$6)+1),210)),"")</f>
        <v/>
      </c>
      <c r="G214">
        <f t="array" ref="G214">IFERROR(INDEX('Work Items'!$F$6:$F$5000,SMALL(IF('Work Items'!$A$6:$A$5000="Risk",ROW('Work Items'!$A$6:$A$5000)-ROW('Work Items'!$A$6)+1),210)),"")</f>
        <v/>
      </c>
      <c r="H214">
        <f t="array" ref="H214">IFERROR(INDEX('Work Items'!$J$6:$J$5000,SMALL(IF('Work Items'!$A$6:$A$5000="Risk",ROW('Work Items'!$A$6:$A$5000)-ROW('Work Items'!$A$6)+1),210)),"")</f>
        <v/>
      </c>
      <c r="I214">
        <f t="array" ref="I214">IFERROR(INDEX('Work Items'!$K$6:$K$5000,SMALL(IF('Work Items'!$A$6:$A$5000="Risk",ROW('Work Items'!$A$6:$A$5000)-ROW('Work Items'!$A$6)+1),210)),"")</f>
        <v/>
      </c>
      <c r="J214">
        <f t="array" ref="J214">IFERROR(INDEX('Work Items'!$L$6:$L$5000,SMALL(IF('Work Items'!$A$6:$A$5000="Risk",ROW('Work Items'!$A$6:$A$5000)-ROW('Work Items'!$A$6)+1),210)),"")</f>
        <v/>
      </c>
      <c r="K214">
        <f t="array" ref="K214">IFERROR(IF(AND(INDEX('Work Items'!$R$6:$R$5000,SMALL(IF('Work Items'!$A$6:$A$5000="Risk",ROW('Work Items'!$A$6:$A$5000)-ROW('Work Items'!$A$6)+1),210))&lt;&gt;"",INDEX('Work Items'!$S$6:$S$5000,SMALL(IF('Work Items'!$A$6:$A$5000="Risk",ROW('Work Items'!$A$6:$A$5000)-ROW('Work Items'!$A$6)+1),210))&lt;&gt;""),INDEX('Work Items'!$R$6:$R$5000,SMALL(IF('Work Items'!$A$6:$A$5000="Risk",ROW('Work Items'!$A$6:$A$5000)-ROW('Work Items'!$A$6)+1),210))*INDEX('Work Items'!$S$6:$S$5000,SMALL(IF('Work Items'!$A$6:$A$5000="Risk",ROW('Work Items'!$A$6:$A$5000)-ROW('Work Items'!$A$6)+1),210)),INDEX('Work Items'!$U$6:$U$5000,SMALL(IF('Work Items'!$A$6:$A$5000="Risk",ROW('Work Items'!$A$6:$A$5000)-ROW('Work Items'!$A$6)+1),210))),"")</f>
        <v/>
      </c>
      <c r="L214" s="217">
        <f t="array" ref="L214">IFERROR(INDEX('Work Items'!$Q$6:$Q$5000,SMALL(IF('Work Items'!$A$6:$A$5000="Risk",ROW('Work Items'!$A$6:$A$5000)-ROW('Work Items'!$A$6)+1),210)),"")</f>
        <v/>
      </c>
      <c r="M214">
        <f t="array" ref="M214">IFERROR(INDEX('Work Items'!$T$6:$T$5000,SMALL(IF('Work Items'!$A$6:$A$5000="Risk",ROW('Work Items'!$A$6:$A$5000)-ROW('Work Items'!$A$6)+1),210)),"")</f>
        <v/>
      </c>
    </row>
    <row r="215">
      <c r="A215">
        <f t="array" ref="A215">IFERROR(INDEX('Work Items'!$A$6:$A$5000,SMALL(IF('Work Items'!$A$6:$A$5000="Risk",ROW('Work Items'!$A$6:$A$5000)-ROW('Work Items'!$A$6)+1),211)),"")</f>
        <v/>
      </c>
      <c r="B215">
        <f t="array" ref="B215">IFERROR(INDEX('Work Items'!$B$6:$B$5000,SMALL(IF('Work Items'!$A$6:$A$5000="Risk",ROW('Work Items'!$A$6:$A$5000)-ROW('Work Items'!$A$6)+1),211)),"")</f>
        <v/>
      </c>
      <c r="C215">
        <f>IF(E215="","",IFERROR(INDEX('Projects Master'!$A:$A,MATCH(E215,'Projects Master'!$B:$B,0)),"OrgRisk"))</f>
        <v/>
      </c>
      <c r="D215">
        <f t="array" ref="D215">IFERROR(INDEX('Work Items'!$C$6:$C$5000,SMALL(IF('Work Items'!$A$6:$A$5000="Risk",ROW('Work Items'!$A$6:$A$5000)-ROW('Work Items'!$A$6)+1),211)),"")</f>
        <v/>
      </c>
      <c r="E215">
        <f t="array" ref="E215">IFERROR(INDEX('Work Items'!$D$6:$D$5000,SMALL(IF('Work Items'!$A$6:$A$5000="Risk",ROW('Work Items'!$A$6:$A$5000)-ROW('Work Items'!$A$6)+1),211)),"")</f>
        <v/>
      </c>
      <c r="F215">
        <f t="array" ref="F215">IFERROR(INDEX('Work Items'!$E$6:$E$5000,SMALL(IF('Work Items'!$A$6:$A$5000="Risk",ROW('Work Items'!$A$6:$A$5000)-ROW('Work Items'!$A$6)+1),211)),"")</f>
        <v/>
      </c>
      <c r="G215">
        <f t="array" ref="G215">IFERROR(INDEX('Work Items'!$F$6:$F$5000,SMALL(IF('Work Items'!$A$6:$A$5000="Risk",ROW('Work Items'!$A$6:$A$5000)-ROW('Work Items'!$A$6)+1),211)),"")</f>
        <v/>
      </c>
      <c r="H215">
        <f t="array" ref="H215">IFERROR(INDEX('Work Items'!$J$6:$J$5000,SMALL(IF('Work Items'!$A$6:$A$5000="Risk",ROW('Work Items'!$A$6:$A$5000)-ROW('Work Items'!$A$6)+1),211)),"")</f>
        <v/>
      </c>
      <c r="I215">
        <f t="array" ref="I215">IFERROR(INDEX('Work Items'!$K$6:$K$5000,SMALL(IF('Work Items'!$A$6:$A$5000="Risk",ROW('Work Items'!$A$6:$A$5000)-ROW('Work Items'!$A$6)+1),211)),"")</f>
        <v/>
      </c>
      <c r="J215">
        <f t="array" ref="J215">IFERROR(INDEX('Work Items'!$L$6:$L$5000,SMALL(IF('Work Items'!$A$6:$A$5000="Risk",ROW('Work Items'!$A$6:$A$5000)-ROW('Work Items'!$A$6)+1),211)),"")</f>
        <v/>
      </c>
      <c r="K215">
        <f t="array" ref="K215">IFERROR(IF(AND(INDEX('Work Items'!$R$6:$R$5000,SMALL(IF('Work Items'!$A$6:$A$5000="Risk",ROW('Work Items'!$A$6:$A$5000)-ROW('Work Items'!$A$6)+1),211))&lt;&gt;"",INDEX('Work Items'!$S$6:$S$5000,SMALL(IF('Work Items'!$A$6:$A$5000="Risk",ROW('Work Items'!$A$6:$A$5000)-ROW('Work Items'!$A$6)+1),211))&lt;&gt;""),INDEX('Work Items'!$R$6:$R$5000,SMALL(IF('Work Items'!$A$6:$A$5000="Risk",ROW('Work Items'!$A$6:$A$5000)-ROW('Work Items'!$A$6)+1),211))*INDEX('Work Items'!$S$6:$S$5000,SMALL(IF('Work Items'!$A$6:$A$5000="Risk",ROW('Work Items'!$A$6:$A$5000)-ROW('Work Items'!$A$6)+1),211)),INDEX('Work Items'!$U$6:$U$5000,SMALL(IF('Work Items'!$A$6:$A$5000="Risk",ROW('Work Items'!$A$6:$A$5000)-ROW('Work Items'!$A$6)+1),211))),"")</f>
        <v/>
      </c>
      <c r="L215" s="217">
        <f t="array" ref="L215">IFERROR(INDEX('Work Items'!$Q$6:$Q$5000,SMALL(IF('Work Items'!$A$6:$A$5000="Risk",ROW('Work Items'!$A$6:$A$5000)-ROW('Work Items'!$A$6)+1),211)),"")</f>
        <v/>
      </c>
      <c r="M215">
        <f t="array" ref="M215">IFERROR(INDEX('Work Items'!$T$6:$T$5000,SMALL(IF('Work Items'!$A$6:$A$5000="Risk",ROW('Work Items'!$A$6:$A$5000)-ROW('Work Items'!$A$6)+1),211)),"")</f>
        <v/>
      </c>
    </row>
    <row r="216">
      <c r="A216">
        <f t="array" ref="A216">IFERROR(INDEX('Work Items'!$A$6:$A$5000,SMALL(IF('Work Items'!$A$6:$A$5000="Risk",ROW('Work Items'!$A$6:$A$5000)-ROW('Work Items'!$A$6)+1),212)),"")</f>
        <v/>
      </c>
      <c r="B216">
        <f t="array" ref="B216">IFERROR(INDEX('Work Items'!$B$6:$B$5000,SMALL(IF('Work Items'!$A$6:$A$5000="Risk",ROW('Work Items'!$A$6:$A$5000)-ROW('Work Items'!$A$6)+1),212)),"")</f>
        <v/>
      </c>
      <c r="C216">
        <f>IF(E216="","",IFERROR(INDEX('Projects Master'!$A:$A,MATCH(E216,'Projects Master'!$B:$B,0)),"OrgRisk"))</f>
        <v/>
      </c>
      <c r="D216">
        <f t="array" ref="D216">IFERROR(INDEX('Work Items'!$C$6:$C$5000,SMALL(IF('Work Items'!$A$6:$A$5000="Risk",ROW('Work Items'!$A$6:$A$5000)-ROW('Work Items'!$A$6)+1),212)),"")</f>
        <v/>
      </c>
      <c r="E216">
        <f t="array" ref="E216">IFERROR(INDEX('Work Items'!$D$6:$D$5000,SMALL(IF('Work Items'!$A$6:$A$5000="Risk",ROW('Work Items'!$A$6:$A$5000)-ROW('Work Items'!$A$6)+1),212)),"")</f>
        <v/>
      </c>
      <c r="F216">
        <f t="array" ref="F216">IFERROR(INDEX('Work Items'!$E$6:$E$5000,SMALL(IF('Work Items'!$A$6:$A$5000="Risk",ROW('Work Items'!$A$6:$A$5000)-ROW('Work Items'!$A$6)+1),212)),"")</f>
        <v/>
      </c>
      <c r="G216">
        <f t="array" ref="G216">IFERROR(INDEX('Work Items'!$F$6:$F$5000,SMALL(IF('Work Items'!$A$6:$A$5000="Risk",ROW('Work Items'!$A$6:$A$5000)-ROW('Work Items'!$A$6)+1),212)),"")</f>
        <v/>
      </c>
      <c r="H216">
        <f t="array" ref="H216">IFERROR(INDEX('Work Items'!$J$6:$J$5000,SMALL(IF('Work Items'!$A$6:$A$5000="Risk",ROW('Work Items'!$A$6:$A$5000)-ROW('Work Items'!$A$6)+1),212)),"")</f>
        <v/>
      </c>
      <c r="I216">
        <f t="array" ref="I216">IFERROR(INDEX('Work Items'!$K$6:$K$5000,SMALL(IF('Work Items'!$A$6:$A$5000="Risk",ROW('Work Items'!$A$6:$A$5000)-ROW('Work Items'!$A$6)+1),212)),"")</f>
        <v/>
      </c>
      <c r="J216">
        <f t="array" ref="J216">IFERROR(INDEX('Work Items'!$L$6:$L$5000,SMALL(IF('Work Items'!$A$6:$A$5000="Risk",ROW('Work Items'!$A$6:$A$5000)-ROW('Work Items'!$A$6)+1),212)),"")</f>
        <v/>
      </c>
      <c r="K216">
        <f t="array" ref="K216">IFERROR(IF(AND(INDEX('Work Items'!$R$6:$R$5000,SMALL(IF('Work Items'!$A$6:$A$5000="Risk",ROW('Work Items'!$A$6:$A$5000)-ROW('Work Items'!$A$6)+1),212))&lt;&gt;"",INDEX('Work Items'!$S$6:$S$5000,SMALL(IF('Work Items'!$A$6:$A$5000="Risk",ROW('Work Items'!$A$6:$A$5000)-ROW('Work Items'!$A$6)+1),212))&lt;&gt;""),INDEX('Work Items'!$R$6:$R$5000,SMALL(IF('Work Items'!$A$6:$A$5000="Risk",ROW('Work Items'!$A$6:$A$5000)-ROW('Work Items'!$A$6)+1),212))*INDEX('Work Items'!$S$6:$S$5000,SMALL(IF('Work Items'!$A$6:$A$5000="Risk",ROW('Work Items'!$A$6:$A$5000)-ROW('Work Items'!$A$6)+1),212)),INDEX('Work Items'!$U$6:$U$5000,SMALL(IF('Work Items'!$A$6:$A$5000="Risk",ROW('Work Items'!$A$6:$A$5000)-ROW('Work Items'!$A$6)+1),212))),"")</f>
        <v/>
      </c>
      <c r="L216" s="217">
        <f t="array" ref="L216">IFERROR(INDEX('Work Items'!$Q$6:$Q$5000,SMALL(IF('Work Items'!$A$6:$A$5000="Risk",ROW('Work Items'!$A$6:$A$5000)-ROW('Work Items'!$A$6)+1),212)),"")</f>
        <v/>
      </c>
      <c r="M216">
        <f t="array" ref="M216">IFERROR(INDEX('Work Items'!$T$6:$T$5000,SMALL(IF('Work Items'!$A$6:$A$5000="Risk",ROW('Work Items'!$A$6:$A$5000)-ROW('Work Items'!$A$6)+1),212)),"")</f>
        <v/>
      </c>
    </row>
    <row r="217">
      <c r="A217">
        <f t="array" ref="A217">IFERROR(INDEX('Work Items'!$A$6:$A$5000,SMALL(IF('Work Items'!$A$6:$A$5000="Risk",ROW('Work Items'!$A$6:$A$5000)-ROW('Work Items'!$A$6)+1),213)),"")</f>
        <v/>
      </c>
      <c r="B217">
        <f t="array" ref="B217">IFERROR(INDEX('Work Items'!$B$6:$B$5000,SMALL(IF('Work Items'!$A$6:$A$5000="Risk",ROW('Work Items'!$A$6:$A$5000)-ROW('Work Items'!$A$6)+1),213)),"")</f>
        <v/>
      </c>
      <c r="C217">
        <f>IF(E217="","",IFERROR(INDEX('Projects Master'!$A:$A,MATCH(E217,'Projects Master'!$B:$B,0)),"OrgRisk"))</f>
        <v/>
      </c>
      <c r="D217">
        <f t="array" ref="D217">IFERROR(INDEX('Work Items'!$C$6:$C$5000,SMALL(IF('Work Items'!$A$6:$A$5000="Risk",ROW('Work Items'!$A$6:$A$5000)-ROW('Work Items'!$A$6)+1),213)),"")</f>
        <v/>
      </c>
      <c r="E217">
        <f t="array" ref="E217">IFERROR(INDEX('Work Items'!$D$6:$D$5000,SMALL(IF('Work Items'!$A$6:$A$5000="Risk",ROW('Work Items'!$A$6:$A$5000)-ROW('Work Items'!$A$6)+1),213)),"")</f>
        <v/>
      </c>
      <c r="F217">
        <f t="array" ref="F217">IFERROR(INDEX('Work Items'!$E$6:$E$5000,SMALL(IF('Work Items'!$A$6:$A$5000="Risk",ROW('Work Items'!$A$6:$A$5000)-ROW('Work Items'!$A$6)+1),213)),"")</f>
        <v/>
      </c>
      <c r="G217">
        <f t="array" ref="G217">IFERROR(INDEX('Work Items'!$F$6:$F$5000,SMALL(IF('Work Items'!$A$6:$A$5000="Risk",ROW('Work Items'!$A$6:$A$5000)-ROW('Work Items'!$A$6)+1),213)),"")</f>
        <v/>
      </c>
      <c r="H217">
        <f t="array" ref="H217">IFERROR(INDEX('Work Items'!$J$6:$J$5000,SMALL(IF('Work Items'!$A$6:$A$5000="Risk",ROW('Work Items'!$A$6:$A$5000)-ROW('Work Items'!$A$6)+1),213)),"")</f>
        <v/>
      </c>
      <c r="I217">
        <f t="array" ref="I217">IFERROR(INDEX('Work Items'!$K$6:$K$5000,SMALL(IF('Work Items'!$A$6:$A$5000="Risk",ROW('Work Items'!$A$6:$A$5000)-ROW('Work Items'!$A$6)+1),213)),"")</f>
        <v/>
      </c>
      <c r="J217">
        <f t="array" ref="J217">IFERROR(INDEX('Work Items'!$L$6:$L$5000,SMALL(IF('Work Items'!$A$6:$A$5000="Risk",ROW('Work Items'!$A$6:$A$5000)-ROW('Work Items'!$A$6)+1),213)),"")</f>
        <v/>
      </c>
      <c r="K217">
        <f t="array" ref="K217">IFERROR(IF(AND(INDEX('Work Items'!$R$6:$R$5000,SMALL(IF('Work Items'!$A$6:$A$5000="Risk",ROW('Work Items'!$A$6:$A$5000)-ROW('Work Items'!$A$6)+1),213))&lt;&gt;"",INDEX('Work Items'!$S$6:$S$5000,SMALL(IF('Work Items'!$A$6:$A$5000="Risk",ROW('Work Items'!$A$6:$A$5000)-ROW('Work Items'!$A$6)+1),213))&lt;&gt;""),INDEX('Work Items'!$R$6:$R$5000,SMALL(IF('Work Items'!$A$6:$A$5000="Risk",ROW('Work Items'!$A$6:$A$5000)-ROW('Work Items'!$A$6)+1),213))*INDEX('Work Items'!$S$6:$S$5000,SMALL(IF('Work Items'!$A$6:$A$5000="Risk",ROW('Work Items'!$A$6:$A$5000)-ROW('Work Items'!$A$6)+1),213)),INDEX('Work Items'!$U$6:$U$5000,SMALL(IF('Work Items'!$A$6:$A$5000="Risk",ROW('Work Items'!$A$6:$A$5000)-ROW('Work Items'!$A$6)+1),213))),"")</f>
        <v/>
      </c>
      <c r="L217" s="217">
        <f t="array" ref="L217">IFERROR(INDEX('Work Items'!$Q$6:$Q$5000,SMALL(IF('Work Items'!$A$6:$A$5000="Risk",ROW('Work Items'!$A$6:$A$5000)-ROW('Work Items'!$A$6)+1),213)),"")</f>
        <v/>
      </c>
      <c r="M217">
        <f t="array" ref="M217">IFERROR(INDEX('Work Items'!$T$6:$T$5000,SMALL(IF('Work Items'!$A$6:$A$5000="Risk",ROW('Work Items'!$A$6:$A$5000)-ROW('Work Items'!$A$6)+1),213)),"")</f>
        <v/>
      </c>
    </row>
    <row r="218">
      <c r="A218">
        <f t="array" ref="A218">IFERROR(INDEX('Work Items'!$A$6:$A$5000,SMALL(IF('Work Items'!$A$6:$A$5000="Risk",ROW('Work Items'!$A$6:$A$5000)-ROW('Work Items'!$A$6)+1),214)),"")</f>
        <v/>
      </c>
      <c r="B218">
        <f t="array" ref="B218">IFERROR(INDEX('Work Items'!$B$6:$B$5000,SMALL(IF('Work Items'!$A$6:$A$5000="Risk",ROW('Work Items'!$A$6:$A$5000)-ROW('Work Items'!$A$6)+1),214)),"")</f>
        <v/>
      </c>
      <c r="C218">
        <f>IF(E218="","",IFERROR(INDEX('Projects Master'!$A:$A,MATCH(E218,'Projects Master'!$B:$B,0)),"OrgRisk"))</f>
        <v/>
      </c>
      <c r="D218">
        <f t="array" ref="D218">IFERROR(INDEX('Work Items'!$C$6:$C$5000,SMALL(IF('Work Items'!$A$6:$A$5000="Risk",ROW('Work Items'!$A$6:$A$5000)-ROW('Work Items'!$A$6)+1),214)),"")</f>
        <v/>
      </c>
      <c r="E218">
        <f t="array" ref="E218">IFERROR(INDEX('Work Items'!$D$6:$D$5000,SMALL(IF('Work Items'!$A$6:$A$5000="Risk",ROW('Work Items'!$A$6:$A$5000)-ROW('Work Items'!$A$6)+1),214)),"")</f>
        <v/>
      </c>
      <c r="F218">
        <f t="array" ref="F218">IFERROR(INDEX('Work Items'!$E$6:$E$5000,SMALL(IF('Work Items'!$A$6:$A$5000="Risk",ROW('Work Items'!$A$6:$A$5000)-ROW('Work Items'!$A$6)+1),214)),"")</f>
        <v/>
      </c>
      <c r="G218">
        <f t="array" ref="G218">IFERROR(INDEX('Work Items'!$F$6:$F$5000,SMALL(IF('Work Items'!$A$6:$A$5000="Risk",ROW('Work Items'!$A$6:$A$5000)-ROW('Work Items'!$A$6)+1),214)),"")</f>
        <v/>
      </c>
      <c r="H218">
        <f t="array" ref="H218">IFERROR(INDEX('Work Items'!$J$6:$J$5000,SMALL(IF('Work Items'!$A$6:$A$5000="Risk",ROW('Work Items'!$A$6:$A$5000)-ROW('Work Items'!$A$6)+1),214)),"")</f>
        <v/>
      </c>
      <c r="I218">
        <f t="array" ref="I218">IFERROR(INDEX('Work Items'!$K$6:$K$5000,SMALL(IF('Work Items'!$A$6:$A$5000="Risk",ROW('Work Items'!$A$6:$A$5000)-ROW('Work Items'!$A$6)+1),214)),"")</f>
        <v/>
      </c>
      <c r="J218">
        <f t="array" ref="J218">IFERROR(INDEX('Work Items'!$L$6:$L$5000,SMALL(IF('Work Items'!$A$6:$A$5000="Risk",ROW('Work Items'!$A$6:$A$5000)-ROW('Work Items'!$A$6)+1),214)),"")</f>
        <v/>
      </c>
      <c r="K218">
        <f t="array" ref="K218">IFERROR(IF(AND(INDEX('Work Items'!$R$6:$R$5000,SMALL(IF('Work Items'!$A$6:$A$5000="Risk",ROW('Work Items'!$A$6:$A$5000)-ROW('Work Items'!$A$6)+1),214))&lt;&gt;"",INDEX('Work Items'!$S$6:$S$5000,SMALL(IF('Work Items'!$A$6:$A$5000="Risk",ROW('Work Items'!$A$6:$A$5000)-ROW('Work Items'!$A$6)+1),214))&lt;&gt;""),INDEX('Work Items'!$R$6:$R$5000,SMALL(IF('Work Items'!$A$6:$A$5000="Risk",ROW('Work Items'!$A$6:$A$5000)-ROW('Work Items'!$A$6)+1),214))*INDEX('Work Items'!$S$6:$S$5000,SMALL(IF('Work Items'!$A$6:$A$5000="Risk",ROW('Work Items'!$A$6:$A$5000)-ROW('Work Items'!$A$6)+1),214)),INDEX('Work Items'!$U$6:$U$5000,SMALL(IF('Work Items'!$A$6:$A$5000="Risk",ROW('Work Items'!$A$6:$A$5000)-ROW('Work Items'!$A$6)+1),214))),"")</f>
        <v/>
      </c>
      <c r="L218" s="217">
        <f t="array" ref="L218">IFERROR(INDEX('Work Items'!$Q$6:$Q$5000,SMALL(IF('Work Items'!$A$6:$A$5000="Risk",ROW('Work Items'!$A$6:$A$5000)-ROW('Work Items'!$A$6)+1),214)),"")</f>
        <v/>
      </c>
      <c r="M218">
        <f t="array" ref="M218">IFERROR(INDEX('Work Items'!$T$6:$T$5000,SMALL(IF('Work Items'!$A$6:$A$5000="Risk",ROW('Work Items'!$A$6:$A$5000)-ROW('Work Items'!$A$6)+1),214)),"")</f>
        <v/>
      </c>
    </row>
    <row r="219">
      <c r="A219">
        <f t="array" ref="A219">IFERROR(INDEX('Work Items'!$A$6:$A$5000,SMALL(IF('Work Items'!$A$6:$A$5000="Risk",ROW('Work Items'!$A$6:$A$5000)-ROW('Work Items'!$A$6)+1),215)),"")</f>
        <v/>
      </c>
      <c r="B219">
        <f t="array" ref="B219">IFERROR(INDEX('Work Items'!$B$6:$B$5000,SMALL(IF('Work Items'!$A$6:$A$5000="Risk",ROW('Work Items'!$A$6:$A$5000)-ROW('Work Items'!$A$6)+1),215)),"")</f>
        <v/>
      </c>
      <c r="C219">
        <f>IF(E219="","",IFERROR(INDEX('Projects Master'!$A:$A,MATCH(E219,'Projects Master'!$B:$B,0)),"OrgRisk"))</f>
        <v/>
      </c>
      <c r="D219">
        <f t="array" ref="D219">IFERROR(INDEX('Work Items'!$C$6:$C$5000,SMALL(IF('Work Items'!$A$6:$A$5000="Risk",ROW('Work Items'!$A$6:$A$5000)-ROW('Work Items'!$A$6)+1),215)),"")</f>
        <v/>
      </c>
      <c r="E219">
        <f t="array" ref="E219">IFERROR(INDEX('Work Items'!$D$6:$D$5000,SMALL(IF('Work Items'!$A$6:$A$5000="Risk",ROW('Work Items'!$A$6:$A$5000)-ROW('Work Items'!$A$6)+1),215)),"")</f>
        <v/>
      </c>
      <c r="F219">
        <f t="array" ref="F219">IFERROR(INDEX('Work Items'!$E$6:$E$5000,SMALL(IF('Work Items'!$A$6:$A$5000="Risk",ROW('Work Items'!$A$6:$A$5000)-ROW('Work Items'!$A$6)+1),215)),"")</f>
        <v/>
      </c>
      <c r="G219">
        <f t="array" ref="G219">IFERROR(INDEX('Work Items'!$F$6:$F$5000,SMALL(IF('Work Items'!$A$6:$A$5000="Risk",ROW('Work Items'!$A$6:$A$5000)-ROW('Work Items'!$A$6)+1),215)),"")</f>
        <v/>
      </c>
      <c r="H219">
        <f t="array" ref="H219">IFERROR(INDEX('Work Items'!$J$6:$J$5000,SMALL(IF('Work Items'!$A$6:$A$5000="Risk",ROW('Work Items'!$A$6:$A$5000)-ROW('Work Items'!$A$6)+1),215)),"")</f>
        <v/>
      </c>
      <c r="I219">
        <f t="array" ref="I219">IFERROR(INDEX('Work Items'!$K$6:$K$5000,SMALL(IF('Work Items'!$A$6:$A$5000="Risk",ROW('Work Items'!$A$6:$A$5000)-ROW('Work Items'!$A$6)+1),215)),"")</f>
        <v/>
      </c>
      <c r="J219">
        <f t="array" ref="J219">IFERROR(INDEX('Work Items'!$L$6:$L$5000,SMALL(IF('Work Items'!$A$6:$A$5000="Risk",ROW('Work Items'!$A$6:$A$5000)-ROW('Work Items'!$A$6)+1),215)),"")</f>
        <v/>
      </c>
      <c r="K219">
        <f t="array" ref="K219">IFERROR(IF(AND(INDEX('Work Items'!$R$6:$R$5000,SMALL(IF('Work Items'!$A$6:$A$5000="Risk",ROW('Work Items'!$A$6:$A$5000)-ROW('Work Items'!$A$6)+1),215))&lt;&gt;"",INDEX('Work Items'!$S$6:$S$5000,SMALL(IF('Work Items'!$A$6:$A$5000="Risk",ROW('Work Items'!$A$6:$A$5000)-ROW('Work Items'!$A$6)+1),215))&lt;&gt;""),INDEX('Work Items'!$R$6:$R$5000,SMALL(IF('Work Items'!$A$6:$A$5000="Risk",ROW('Work Items'!$A$6:$A$5000)-ROW('Work Items'!$A$6)+1),215))*INDEX('Work Items'!$S$6:$S$5000,SMALL(IF('Work Items'!$A$6:$A$5000="Risk",ROW('Work Items'!$A$6:$A$5000)-ROW('Work Items'!$A$6)+1),215)),INDEX('Work Items'!$U$6:$U$5000,SMALL(IF('Work Items'!$A$6:$A$5000="Risk",ROW('Work Items'!$A$6:$A$5000)-ROW('Work Items'!$A$6)+1),215))),"")</f>
        <v/>
      </c>
      <c r="L219" s="217">
        <f t="array" ref="L219">IFERROR(INDEX('Work Items'!$Q$6:$Q$5000,SMALL(IF('Work Items'!$A$6:$A$5000="Risk",ROW('Work Items'!$A$6:$A$5000)-ROW('Work Items'!$A$6)+1),215)),"")</f>
        <v/>
      </c>
      <c r="M219">
        <f t="array" ref="M219">IFERROR(INDEX('Work Items'!$T$6:$T$5000,SMALL(IF('Work Items'!$A$6:$A$5000="Risk",ROW('Work Items'!$A$6:$A$5000)-ROW('Work Items'!$A$6)+1),215)),"")</f>
        <v/>
      </c>
    </row>
    <row r="220">
      <c r="A220">
        <f t="array" ref="A220">IFERROR(INDEX('Work Items'!$A$6:$A$5000,SMALL(IF('Work Items'!$A$6:$A$5000="Risk",ROW('Work Items'!$A$6:$A$5000)-ROW('Work Items'!$A$6)+1),216)),"")</f>
        <v/>
      </c>
      <c r="B220">
        <f t="array" ref="B220">IFERROR(INDEX('Work Items'!$B$6:$B$5000,SMALL(IF('Work Items'!$A$6:$A$5000="Risk",ROW('Work Items'!$A$6:$A$5000)-ROW('Work Items'!$A$6)+1),216)),"")</f>
        <v/>
      </c>
      <c r="C220">
        <f>IF(E220="","",IFERROR(INDEX('Projects Master'!$A:$A,MATCH(E220,'Projects Master'!$B:$B,0)),"OrgRisk"))</f>
        <v/>
      </c>
      <c r="D220">
        <f t="array" ref="D220">IFERROR(INDEX('Work Items'!$C$6:$C$5000,SMALL(IF('Work Items'!$A$6:$A$5000="Risk",ROW('Work Items'!$A$6:$A$5000)-ROW('Work Items'!$A$6)+1),216)),"")</f>
        <v/>
      </c>
      <c r="E220">
        <f t="array" ref="E220">IFERROR(INDEX('Work Items'!$D$6:$D$5000,SMALL(IF('Work Items'!$A$6:$A$5000="Risk",ROW('Work Items'!$A$6:$A$5000)-ROW('Work Items'!$A$6)+1),216)),"")</f>
        <v/>
      </c>
      <c r="F220">
        <f t="array" ref="F220">IFERROR(INDEX('Work Items'!$E$6:$E$5000,SMALL(IF('Work Items'!$A$6:$A$5000="Risk",ROW('Work Items'!$A$6:$A$5000)-ROW('Work Items'!$A$6)+1),216)),"")</f>
        <v/>
      </c>
      <c r="G220">
        <f t="array" ref="G220">IFERROR(INDEX('Work Items'!$F$6:$F$5000,SMALL(IF('Work Items'!$A$6:$A$5000="Risk",ROW('Work Items'!$A$6:$A$5000)-ROW('Work Items'!$A$6)+1),216)),"")</f>
        <v/>
      </c>
      <c r="H220">
        <f t="array" ref="H220">IFERROR(INDEX('Work Items'!$J$6:$J$5000,SMALL(IF('Work Items'!$A$6:$A$5000="Risk",ROW('Work Items'!$A$6:$A$5000)-ROW('Work Items'!$A$6)+1),216)),"")</f>
        <v/>
      </c>
      <c r="I220">
        <f t="array" ref="I220">IFERROR(INDEX('Work Items'!$K$6:$K$5000,SMALL(IF('Work Items'!$A$6:$A$5000="Risk",ROW('Work Items'!$A$6:$A$5000)-ROW('Work Items'!$A$6)+1),216)),"")</f>
        <v/>
      </c>
      <c r="J220">
        <f t="array" ref="J220">IFERROR(INDEX('Work Items'!$L$6:$L$5000,SMALL(IF('Work Items'!$A$6:$A$5000="Risk",ROW('Work Items'!$A$6:$A$5000)-ROW('Work Items'!$A$6)+1),216)),"")</f>
        <v/>
      </c>
      <c r="K220">
        <f t="array" ref="K220">IFERROR(IF(AND(INDEX('Work Items'!$R$6:$R$5000,SMALL(IF('Work Items'!$A$6:$A$5000="Risk",ROW('Work Items'!$A$6:$A$5000)-ROW('Work Items'!$A$6)+1),216))&lt;&gt;"",INDEX('Work Items'!$S$6:$S$5000,SMALL(IF('Work Items'!$A$6:$A$5000="Risk",ROW('Work Items'!$A$6:$A$5000)-ROW('Work Items'!$A$6)+1),216))&lt;&gt;""),INDEX('Work Items'!$R$6:$R$5000,SMALL(IF('Work Items'!$A$6:$A$5000="Risk",ROW('Work Items'!$A$6:$A$5000)-ROW('Work Items'!$A$6)+1),216))*INDEX('Work Items'!$S$6:$S$5000,SMALL(IF('Work Items'!$A$6:$A$5000="Risk",ROW('Work Items'!$A$6:$A$5000)-ROW('Work Items'!$A$6)+1),216)),INDEX('Work Items'!$U$6:$U$5000,SMALL(IF('Work Items'!$A$6:$A$5000="Risk",ROW('Work Items'!$A$6:$A$5000)-ROW('Work Items'!$A$6)+1),216))),"")</f>
        <v/>
      </c>
      <c r="L220" s="217">
        <f t="array" ref="L220">IFERROR(INDEX('Work Items'!$Q$6:$Q$5000,SMALL(IF('Work Items'!$A$6:$A$5000="Risk",ROW('Work Items'!$A$6:$A$5000)-ROW('Work Items'!$A$6)+1),216)),"")</f>
        <v/>
      </c>
      <c r="M220">
        <f t="array" ref="M220">IFERROR(INDEX('Work Items'!$T$6:$T$5000,SMALL(IF('Work Items'!$A$6:$A$5000="Risk",ROW('Work Items'!$A$6:$A$5000)-ROW('Work Items'!$A$6)+1),216)),"")</f>
        <v/>
      </c>
    </row>
    <row r="221">
      <c r="A221">
        <f t="array" ref="A221">IFERROR(INDEX('Work Items'!$A$6:$A$5000,SMALL(IF('Work Items'!$A$6:$A$5000="Risk",ROW('Work Items'!$A$6:$A$5000)-ROW('Work Items'!$A$6)+1),217)),"")</f>
        <v/>
      </c>
      <c r="B221">
        <f t="array" ref="B221">IFERROR(INDEX('Work Items'!$B$6:$B$5000,SMALL(IF('Work Items'!$A$6:$A$5000="Risk",ROW('Work Items'!$A$6:$A$5000)-ROW('Work Items'!$A$6)+1),217)),"")</f>
        <v/>
      </c>
      <c r="C221">
        <f>IF(E221="","",IFERROR(INDEX('Projects Master'!$A:$A,MATCH(E221,'Projects Master'!$B:$B,0)),"OrgRisk"))</f>
        <v/>
      </c>
      <c r="D221">
        <f t="array" ref="D221">IFERROR(INDEX('Work Items'!$C$6:$C$5000,SMALL(IF('Work Items'!$A$6:$A$5000="Risk",ROW('Work Items'!$A$6:$A$5000)-ROW('Work Items'!$A$6)+1),217)),"")</f>
        <v/>
      </c>
      <c r="E221">
        <f t="array" ref="E221">IFERROR(INDEX('Work Items'!$D$6:$D$5000,SMALL(IF('Work Items'!$A$6:$A$5000="Risk",ROW('Work Items'!$A$6:$A$5000)-ROW('Work Items'!$A$6)+1),217)),"")</f>
        <v/>
      </c>
      <c r="F221">
        <f t="array" ref="F221">IFERROR(INDEX('Work Items'!$E$6:$E$5000,SMALL(IF('Work Items'!$A$6:$A$5000="Risk",ROW('Work Items'!$A$6:$A$5000)-ROW('Work Items'!$A$6)+1),217)),"")</f>
        <v/>
      </c>
      <c r="G221">
        <f t="array" ref="G221">IFERROR(INDEX('Work Items'!$F$6:$F$5000,SMALL(IF('Work Items'!$A$6:$A$5000="Risk",ROW('Work Items'!$A$6:$A$5000)-ROW('Work Items'!$A$6)+1),217)),"")</f>
        <v/>
      </c>
      <c r="H221">
        <f t="array" ref="H221">IFERROR(INDEX('Work Items'!$J$6:$J$5000,SMALL(IF('Work Items'!$A$6:$A$5000="Risk",ROW('Work Items'!$A$6:$A$5000)-ROW('Work Items'!$A$6)+1),217)),"")</f>
        <v/>
      </c>
      <c r="I221">
        <f t="array" ref="I221">IFERROR(INDEX('Work Items'!$K$6:$K$5000,SMALL(IF('Work Items'!$A$6:$A$5000="Risk",ROW('Work Items'!$A$6:$A$5000)-ROW('Work Items'!$A$6)+1),217)),"")</f>
        <v/>
      </c>
      <c r="J221">
        <f t="array" ref="J221">IFERROR(INDEX('Work Items'!$L$6:$L$5000,SMALL(IF('Work Items'!$A$6:$A$5000="Risk",ROW('Work Items'!$A$6:$A$5000)-ROW('Work Items'!$A$6)+1),217)),"")</f>
        <v/>
      </c>
      <c r="K221">
        <f t="array" ref="K221">IFERROR(IF(AND(INDEX('Work Items'!$R$6:$R$5000,SMALL(IF('Work Items'!$A$6:$A$5000="Risk",ROW('Work Items'!$A$6:$A$5000)-ROW('Work Items'!$A$6)+1),217))&lt;&gt;"",INDEX('Work Items'!$S$6:$S$5000,SMALL(IF('Work Items'!$A$6:$A$5000="Risk",ROW('Work Items'!$A$6:$A$5000)-ROW('Work Items'!$A$6)+1),217))&lt;&gt;""),INDEX('Work Items'!$R$6:$R$5000,SMALL(IF('Work Items'!$A$6:$A$5000="Risk",ROW('Work Items'!$A$6:$A$5000)-ROW('Work Items'!$A$6)+1),217))*INDEX('Work Items'!$S$6:$S$5000,SMALL(IF('Work Items'!$A$6:$A$5000="Risk",ROW('Work Items'!$A$6:$A$5000)-ROW('Work Items'!$A$6)+1),217)),INDEX('Work Items'!$U$6:$U$5000,SMALL(IF('Work Items'!$A$6:$A$5000="Risk",ROW('Work Items'!$A$6:$A$5000)-ROW('Work Items'!$A$6)+1),217))),"")</f>
        <v/>
      </c>
      <c r="L221" s="217">
        <f t="array" ref="L221">IFERROR(INDEX('Work Items'!$Q$6:$Q$5000,SMALL(IF('Work Items'!$A$6:$A$5000="Risk",ROW('Work Items'!$A$6:$A$5000)-ROW('Work Items'!$A$6)+1),217)),"")</f>
        <v/>
      </c>
      <c r="M221">
        <f t="array" ref="M221">IFERROR(INDEX('Work Items'!$T$6:$T$5000,SMALL(IF('Work Items'!$A$6:$A$5000="Risk",ROW('Work Items'!$A$6:$A$5000)-ROW('Work Items'!$A$6)+1),217)),"")</f>
        <v/>
      </c>
    </row>
    <row r="222">
      <c r="A222">
        <f t="array" ref="A222">IFERROR(INDEX('Work Items'!$A$6:$A$5000,SMALL(IF('Work Items'!$A$6:$A$5000="Risk",ROW('Work Items'!$A$6:$A$5000)-ROW('Work Items'!$A$6)+1),218)),"")</f>
        <v/>
      </c>
      <c r="B222">
        <f t="array" ref="B222">IFERROR(INDEX('Work Items'!$B$6:$B$5000,SMALL(IF('Work Items'!$A$6:$A$5000="Risk",ROW('Work Items'!$A$6:$A$5000)-ROW('Work Items'!$A$6)+1),218)),"")</f>
        <v/>
      </c>
      <c r="C222">
        <f>IF(E222="","",IFERROR(INDEX('Projects Master'!$A:$A,MATCH(E222,'Projects Master'!$B:$B,0)),"OrgRisk"))</f>
        <v/>
      </c>
      <c r="D222">
        <f t="array" ref="D222">IFERROR(INDEX('Work Items'!$C$6:$C$5000,SMALL(IF('Work Items'!$A$6:$A$5000="Risk",ROW('Work Items'!$A$6:$A$5000)-ROW('Work Items'!$A$6)+1),218)),"")</f>
        <v/>
      </c>
      <c r="E222">
        <f t="array" ref="E222">IFERROR(INDEX('Work Items'!$D$6:$D$5000,SMALL(IF('Work Items'!$A$6:$A$5000="Risk",ROW('Work Items'!$A$6:$A$5000)-ROW('Work Items'!$A$6)+1),218)),"")</f>
        <v/>
      </c>
      <c r="F222">
        <f t="array" ref="F222">IFERROR(INDEX('Work Items'!$E$6:$E$5000,SMALL(IF('Work Items'!$A$6:$A$5000="Risk",ROW('Work Items'!$A$6:$A$5000)-ROW('Work Items'!$A$6)+1),218)),"")</f>
        <v/>
      </c>
      <c r="G222">
        <f t="array" ref="G222">IFERROR(INDEX('Work Items'!$F$6:$F$5000,SMALL(IF('Work Items'!$A$6:$A$5000="Risk",ROW('Work Items'!$A$6:$A$5000)-ROW('Work Items'!$A$6)+1),218)),"")</f>
        <v/>
      </c>
      <c r="H222">
        <f t="array" ref="H222">IFERROR(INDEX('Work Items'!$J$6:$J$5000,SMALL(IF('Work Items'!$A$6:$A$5000="Risk",ROW('Work Items'!$A$6:$A$5000)-ROW('Work Items'!$A$6)+1),218)),"")</f>
        <v/>
      </c>
      <c r="I222">
        <f t="array" ref="I222">IFERROR(INDEX('Work Items'!$K$6:$K$5000,SMALL(IF('Work Items'!$A$6:$A$5000="Risk",ROW('Work Items'!$A$6:$A$5000)-ROW('Work Items'!$A$6)+1),218)),"")</f>
        <v/>
      </c>
      <c r="J222">
        <f t="array" ref="J222">IFERROR(INDEX('Work Items'!$L$6:$L$5000,SMALL(IF('Work Items'!$A$6:$A$5000="Risk",ROW('Work Items'!$A$6:$A$5000)-ROW('Work Items'!$A$6)+1),218)),"")</f>
        <v/>
      </c>
      <c r="K222">
        <f t="array" ref="K222">IFERROR(IF(AND(INDEX('Work Items'!$R$6:$R$5000,SMALL(IF('Work Items'!$A$6:$A$5000="Risk",ROW('Work Items'!$A$6:$A$5000)-ROW('Work Items'!$A$6)+1),218))&lt;&gt;"",INDEX('Work Items'!$S$6:$S$5000,SMALL(IF('Work Items'!$A$6:$A$5000="Risk",ROW('Work Items'!$A$6:$A$5000)-ROW('Work Items'!$A$6)+1),218))&lt;&gt;""),INDEX('Work Items'!$R$6:$R$5000,SMALL(IF('Work Items'!$A$6:$A$5000="Risk",ROW('Work Items'!$A$6:$A$5000)-ROW('Work Items'!$A$6)+1),218))*INDEX('Work Items'!$S$6:$S$5000,SMALL(IF('Work Items'!$A$6:$A$5000="Risk",ROW('Work Items'!$A$6:$A$5000)-ROW('Work Items'!$A$6)+1),218)),INDEX('Work Items'!$U$6:$U$5000,SMALL(IF('Work Items'!$A$6:$A$5000="Risk",ROW('Work Items'!$A$6:$A$5000)-ROW('Work Items'!$A$6)+1),218))),"")</f>
        <v/>
      </c>
      <c r="L222" s="217">
        <f t="array" ref="L222">IFERROR(INDEX('Work Items'!$Q$6:$Q$5000,SMALL(IF('Work Items'!$A$6:$A$5000="Risk",ROW('Work Items'!$A$6:$A$5000)-ROW('Work Items'!$A$6)+1),218)),"")</f>
        <v/>
      </c>
      <c r="M222">
        <f t="array" ref="M222">IFERROR(INDEX('Work Items'!$T$6:$T$5000,SMALL(IF('Work Items'!$A$6:$A$5000="Risk",ROW('Work Items'!$A$6:$A$5000)-ROW('Work Items'!$A$6)+1),218)),"")</f>
        <v/>
      </c>
    </row>
    <row r="223">
      <c r="A223">
        <f t="array" ref="A223">IFERROR(INDEX('Work Items'!$A$6:$A$5000,SMALL(IF('Work Items'!$A$6:$A$5000="Risk",ROW('Work Items'!$A$6:$A$5000)-ROW('Work Items'!$A$6)+1),219)),"")</f>
        <v/>
      </c>
      <c r="B223">
        <f t="array" ref="B223">IFERROR(INDEX('Work Items'!$B$6:$B$5000,SMALL(IF('Work Items'!$A$6:$A$5000="Risk",ROW('Work Items'!$A$6:$A$5000)-ROW('Work Items'!$A$6)+1),219)),"")</f>
        <v/>
      </c>
      <c r="C223">
        <f>IF(E223="","",IFERROR(INDEX('Projects Master'!$A:$A,MATCH(E223,'Projects Master'!$B:$B,0)),"OrgRisk"))</f>
        <v/>
      </c>
      <c r="D223">
        <f t="array" ref="D223">IFERROR(INDEX('Work Items'!$C$6:$C$5000,SMALL(IF('Work Items'!$A$6:$A$5000="Risk",ROW('Work Items'!$A$6:$A$5000)-ROW('Work Items'!$A$6)+1),219)),"")</f>
        <v/>
      </c>
      <c r="E223">
        <f t="array" ref="E223">IFERROR(INDEX('Work Items'!$D$6:$D$5000,SMALL(IF('Work Items'!$A$6:$A$5000="Risk",ROW('Work Items'!$A$6:$A$5000)-ROW('Work Items'!$A$6)+1),219)),"")</f>
        <v/>
      </c>
      <c r="F223">
        <f t="array" ref="F223">IFERROR(INDEX('Work Items'!$E$6:$E$5000,SMALL(IF('Work Items'!$A$6:$A$5000="Risk",ROW('Work Items'!$A$6:$A$5000)-ROW('Work Items'!$A$6)+1),219)),"")</f>
        <v/>
      </c>
      <c r="G223">
        <f t="array" ref="G223">IFERROR(INDEX('Work Items'!$F$6:$F$5000,SMALL(IF('Work Items'!$A$6:$A$5000="Risk",ROW('Work Items'!$A$6:$A$5000)-ROW('Work Items'!$A$6)+1),219)),"")</f>
        <v/>
      </c>
      <c r="H223">
        <f t="array" ref="H223">IFERROR(INDEX('Work Items'!$J$6:$J$5000,SMALL(IF('Work Items'!$A$6:$A$5000="Risk",ROW('Work Items'!$A$6:$A$5000)-ROW('Work Items'!$A$6)+1),219)),"")</f>
        <v/>
      </c>
      <c r="I223">
        <f t="array" ref="I223">IFERROR(INDEX('Work Items'!$K$6:$K$5000,SMALL(IF('Work Items'!$A$6:$A$5000="Risk",ROW('Work Items'!$A$6:$A$5000)-ROW('Work Items'!$A$6)+1),219)),"")</f>
        <v/>
      </c>
      <c r="J223">
        <f t="array" ref="J223">IFERROR(INDEX('Work Items'!$L$6:$L$5000,SMALL(IF('Work Items'!$A$6:$A$5000="Risk",ROW('Work Items'!$A$6:$A$5000)-ROW('Work Items'!$A$6)+1),219)),"")</f>
        <v/>
      </c>
      <c r="K223">
        <f t="array" ref="K223">IFERROR(IF(AND(INDEX('Work Items'!$R$6:$R$5000,SMALL(IF('Work Items'!$A$6:$A$5000="Risk",ROW('Work Items'!$A$6:$A$5000)-ROW('Work Items'!$A$6)+1),219))&lt;&gt;"",INDEX('Work Items'!$S$6:$S$5000,SMALL(IF('Work Items'!$A$6:$A$5000="Risk",ROW('Work Items'!$A$6:$A$5000)-ROW('Work Items'!$A$6)+1),219))&lt;&gt;""),INDEX('Work Items'!$R$6:$R$5000,SMALL(IF('Work Items'!$A$6:$A$5000="Risk",ROW('Work Items'!$A$6:$A$5000)-ROW('Work Items'!$A$6)+1),219))*INDEX('Work Items'!$S$6:$S$5000,SMALL(IF('Work Items'!$A$6:$A$5000="Risk",ROW('Work Items'!$A$6:$A$5000)-ROW('Work Items'!$A$6)+1),219)),INDEX('Work Items'!$U$6:$U$5000,SMALL(IF('Work Items'!$A$6:$A$5000="Risk",ROW('Work Items'!$A$6:$A$5000)-ROW('Work Items'!$A$6)+1),219))),"")</f>
        <v/>
      </c>
      <c r="L223" s="217">
        <f t="array" ref="L223">IFERROR(INDEX('Work Items'!$Q$6:$Q$5000,SMALL(IF('Work Items'!$A$6:$A$5000="Risk",ROW('Work Items'!$A$6:$A$5000)-ROW('Work Items'!$A$6)+1),219)),"")</f>
        <v/>
      </c>
      <c r="M223">
        <f t="array" ref="M223">IFERROR(INDEX('Work Items'!$T$6:$T$5000,SMALL(IF('Work Items'!$A$6:$A$5000="Risk",ROW('Work Items'!$A$6:$A$5000)-ROW('Work Items'!$A$6)+1),219)),"")</f>
        <v/>
      </c>
    </row>
    <row r="224">
      <c r="A224">
        <f t="array" ref="A224">IFERROR(INDEX('Work Items'!$A$6:$A$5000,SMALL(IF('Work Items'!$A$6:$A$5000="Risk",ROW('Work Items'!$A$6:$A$5000)-ROW('Work Items'!$A$6)+1),220)),"")</f>
        <v/>
      </c>
      <c r="B224">
        <f t="array" ref="B224">IFERROR(INDEX('Work Items'!$B$6:$B$5000,SMALL(IF('Work Items'!$A$6:$A$5000="Risk",ROW('Work Items'!$A$6:$A$5000)-ROW('Work Items'!$A$6)+1),220)),"")</f>
        <v/>
      </c>
      <c r="C224">
        <f>IF(E224="","",IFERROR(INDEX('Projects Master'!$A:$A,MATCH(E224,'Projects Master'!$B:$B,0)),"OrgRisk"))</f>
        <v/>
      </c>
      <c r="D224">
        <f t="array" ref="D224">IFERROR(INDEX('Work Items'!$C$6:$C$5000,SMALL(IF('Work Items'!$A$6:$A$5000="Risk",ROW('Work Items'!$A$6:$A$5000)-ROW('Work Items'!$A$6)+1),220)),"")</f>
        <v/>
      </c>
      <c r="E224">
        <f t="array" ref="E224">IFERROR(INDEX('Work Items'!$D$6:$D$5000,SMALL(IF('Work Items'!$A$6:$A$5000="Risk",ROW('Work Items'!$A$6:$A$5000)-ROW('Work Items'!$A$6)+1),220)),"")</f>
        <v/>
      </c>
      <c r="F224">
        <f t="array" ref="F224">IFERROR(INDEX('Work Items'!$E$6:$E$5000,SMALL(IF('Work Items'!$A$6:$A$5000="Risk",ROW('Work Items'!$A$6:$A$5000)-ROW('Work Items'!$A$6)+1),220)),"")</f>
        <v/>
      </c>
      <c r="G224">
        <f t="array" ref="G224">IFERROR(INDEX('Work Items'!$F$6:$F$5000,SMALL(IF('Work Items'!$A$6:$A$5000="Risk",ROW('Work Items'!$A$6:$A$5000)-ROW('Work Items'!$A$6)+1),220)),"")</f>
        <v/>
      </c>
      <c r="H224">
        <f t="array" ref="H224">IFERROR(INDEX('Work Items'!$J$6:$J$5000,SMALL(IF('Work Items'!$A$6:$A$5000="Risk",ROW('Work Items'!$A$6:$A$5000)-ROW('Work Items'!$A$6)+1),220)),"")</f>
        <v/>
      </c>
      <c r="I224">
        <f t="array" ref="I224">IFERROR(INDEX('Work Items'!$K$6:$K$5000,SMALL(IF('Work Items'!$A$6:$A$5000="Risk",ROW('Work Items'!$A$6:$A$5000)-ROW('Work Items'!$A$6)+1),220)),"")</f>
        <v/>
      </c>
      <c r="J224">
        <f t="array" ref="J224">IFERROR(INDEX('Work Items'!$L$6:$L$5000,SMALL(IF('Work Items'!$A$6:$A$5000="Risk",ROW('Work Items'!$A$6:$A$5000)-ROW('Work Items'!$A$6)+1),220)),"")</f>
        <v/>
      </c>
      <c r="K224">
        <f t="array" ref="K224">IFERROR(IF(AND(INDEX('Work Items'!$R$6:$R$5000,SMALL(IF('Work Items'!$A$6:$A$5000="Risk",ROW('Work Items'!$A$6:$A$5000)-ROW('Work Items'!$A$6)+1),220))&lt;&gt;"",INDEX('Work Items'!$S$6:$S$5000,SMALL(IF('Work Items'!$A$6:$A$5000="Risk",ROW('Work Items'!$A$6:$A$5000)-ROW('Work Items'!$A$6)+1),220))&lt;&gt;""),INDEX('Work Items'!$R$6:$R$5000,SMALL(IF('Work Items'!$A$6:$A$5000="Risk",ROW('Work Items'!$A$6:$A$5000)-ROW('Work Items'!$A$6)+1),220))*INDEX('Work Items'!$S$6:$S$5000,SMALL(IF('Work Items'!$A$6:$A$5000="Risk",ROW('Work Items'!$A$6:$A$5000)-ROW('Work Items'!$A$6)+1),220)),INDEX('Work Items'!$U$6:$U$5000,SMALL(IF('Work Items'!$A$6:$A$5000="Risk",ROW('Work Items'!$A$6:$A$5000)-ROW('Work Items'!$A$6)+1),220))),"")</f>
        <v/>
      </c>
      <c r="L224" s="217">
        <f t="array" ref="L224">IFERROR(INDEX('Work Items'!$Q$6:$Q$5000,SMALL(IF('Work Items'!$A$6:$A$5000="Risk",ROW('Work Items'!$A$6:$A$5000)-ROW('Work Items'!$A$6)+1),220)),"")</f>
        <v/>
      </c>
      <c r="M224">
        <f t="array" ref="M224">IFERROR(INDEX('Work Items'!$T$6:$T$5000,SMALL(IF('Work Items'!$A$6:$A$5000="Risk",ROW('Work Items'!$A$6:$A$5000)-ROW('Work Items'!$A$6)+1),220)),"")</f>
        <v/>
      </c>
    </row>
    <row r="225">
      <c r="A225">
        <f t="array" ref="A225">IFERROR(INDEX('Work Items'!$A$6:$A$5000,SMALL(IF('Work Items'!$A$6:$A$5000="Risk",ROW('Work Items'!$A$6:$A$5000)-ROW('Work Items'!$A$6)+1),221)),"")</f>
        <v/>
      </c>
      <c r="B225">
        <f t="array" ref="B225">IFERROR(INDEX('Work Items'!$B$6:$B$5000,SMALL(IF('Work Items'!$A$6:$A$5000="Risk",ROW('Work Items'!$A$6:$A$5000)-ROW('Work Items'!$A$6)+1),221)),"")</f>
        <v/>
      </c>
      <c r="C225">
        <f>IF(E225="","",IFERROR(INDEX('Projects Master'!$A:$A,MATCH(E225,'Projects Master'!$B:$B,0)),"OrgRisk"))</f>
        <v/>
      </c>
      <c r="D225">
        <f t="array" ref="D225">IFERROR(INDEX('Work Items'!$C$6:$C$5000,SMALL(IF('Work Items'!$A$6:$A$5000="Risk",ROW('Work Items'!$A$6:$A$5000)-ROW('Work Items'!$A$6)+1),221)),"")</f>
        <v/>
      </c>
      <c r="E225">
        <f t="array" ref="E225">IFERROR(INDEX('Work Items'!$D$6:$D$5000,SMALL(IF('Work Items'!$A$6:$A$5000="Risk",ROW('Work Items'!$A$6:$A$5000)-ROW('Work Items'!$A$6)+1),221)),"")</f>
        <v/>
      </c>
      <c r="F225">
        <f t="array" ref="F225">IFERROR(INDEX('Work Items'!$E$6:$E$5000,SMALL(IF('Work Items'!$A$6:$A$5000="Risk",ROW('Work Items'!$A$6:$A$5000)-ROW('Work Items'!$A$6)+1),221)),"")</f>
        <v/>
      </c>
      <c r="G225">
        <f t="array" ref="G225">IFERROR(INDEX('Work Items'!$F$6:$F$5000,SMALL(IF('Work Items'!$A$6:$A$5000="Risk",ROW('Work Items'!$A$6:$A$5000)-ROW('Work Items'!$A$6)+1),221)),"")</f>
        <v/>
      </c>
      <c r="H225">
        <f t="array" ref="H225">IFERROR(INDEX('Work Items'!$J$6:$J$5000,SMALL(IF('Work Items'!$A$6:$A$5000="Risk",ROW('Work Items'!$A$6:$A$5000)-ROW('Work Items'!$A$6)+1),221)),"")</f>
        <v/>
      </c>
      <c r="I225">
        <f t="array" ref="I225">IFERROR(INDEX('Work Items'!$K$6:$K$5000,SMALL(IF('Work Items'!$A$6:$A$5000="Risk",ROW('Work Items'!$A$6:$A$5000)-ROW('Work Items'!$A$6)+1),221)),"")</f>
        <v/>
      </c>
      <c r="J225">
        <f t="array" ref="J225">IFERROR(INDEX('Work Items'!$L$6:$L$5000,SMALL(IF('Work Items'!$A$6:$A$5000="Risk",ROW('Work Items'!$A$6:$A$5000)-ROW('Work Items'!$A$6)+1),221)),"")</f>
        <v/>
      </c>
      <c r="K225">
        <f t="array" ref="K225">IFERROR(IF(AND(INDEX('Work Items'!$R$6:$R$5000,SMALL(IF('Work Items'!$A$6:$A$5000="Risk",ROW('Work Items'!$A$6:$A$5000)-ROW('Work Items'!$A$6)+1),221))&lt;&gt;"",INDEX('Work Items'!$S$6:$S$5000,SMALL(IF('Work Items'!$A$6:$A$5000="Risk",ROW('Work Items'!$A$6:$A$5000)-ROW('Work Items'!$A$6)+1),221))&lt;&gt;""),INDEX('Work Items'!$R$6:$R$5000,SMALL(IF('Work Items'!$A$6:$A$5000="Risk",ROW('Work Items'!$A$6:$A$5000)-ROW('Work Items'!$A$6)+1),221))*INDEX('Work Items'!$S$6:$S$5000,SMALL(IF('Work Items'!$A$6:$A$5000="Risk",ROW('Work Items'!$A$6:$A$5000)-ROW('Work Items'!$A$6)+1),221)),INDEX('Work Items'!$U$6:$U$5000,SMALL(IF('Work Items'!$A$6:$A$5000="Risk",ROW('Work Items'!$A$6:$A$5000)-ROW('Work Items'!$A$6)+1),221))),"")</f>
        <v/>
      </c>
      <c r="L225" s="217">
        <f t="array" ref="L225">IFERROR(INDEX('Work Items'!$Q$6:$Q$5000,SMALL(IF('Work Items'!$A$6:$A$5000="Risk",ROW('Work Items'!$A$6:$A$5000)-ROW('Work Items'!$A$6)+1),221)),"")</f>
        <v/>
      </c>
      <c r="M225">
        <f t="array" ref="M225">IFERROR(INDEX('Work Items'!$T$6:$T$5000,SMALL(IF('Work Items'!$A$6:$A$5000="Risk",ROW('Work Items'!$A$6:$A$5000)-ROW('Work Items'!$A$6)+1),221)),"")</f>
        <v/>
      </c>
    </row>
    <row r="226">
      <c r="A226">
        <f t="array" ref="A226">IFERROR(INDEX('Work Items'!$A$6:$A$5000,SMALL(IF('Work Items'!$A$6:$A$5000="Risk",ROW('Work Items'!$A$6:$A$5000)-ROW('Work Items'!$A$6)+1),222)),"")</f>
        <v/>
      </c>
      <c r="B226">
        <f t="array" ref="B226">IFERROR(INDEX('Work Items'!$B$6:$B$5000,SMALL(IF('Work Items'!$A$6:$A$5000="Risk",ROW('Work Items'!$A$6:$A$5000)-ROW('Work Items'!$A$6)+1),222)),"")</f>
        <v/>
      </c>
      <c r="C226">
        <f>IF(E226="","",IFERROR(INDEX('Projects Master'!$A:$A,MATCH(E226,'Projects Master'!$B:$B,0)),"OrgRisk"))</f>
        <v/>
      </c>
      <c r="D226">
        <f t="array" ref="D226">IFERROR(INDEX('Work Items'!$C$6:$C$5000,SMALL(IF('Work Items'!$A$6:$A$5000="Risk",ROW('Work Items'!$A$6:$A$5000)-ROW('Work Items'!$A$6)+1),222)),"")</f>
        <v/>
      </c>
      <c r="E226">
        <f t="array" ref="E226">IFERROR(INDEX('Work Items'!$D$6:$D$5000,SMALL(IF('Work Items'!$A$6:$A$5000="Risk",ROW('Work Items'!$A$6:$A$5000)-ROW('Work Items'!$A$6)+1),222)),"")</f>
        <v/>
      </c>
      <c r="F226">
        <f t="array" ref="F226">IFERROR(INDEX('Work Items'!$E$6:$E$5000,SMALL(IF('Work Items'!$A$6:$A$5000="Risk",ROW('Work Items'!$A$6:$A$5000)-ROW('Work Items'!$A$6)+1),222)),"")</f>
        <v/>
      </c>
      <c r="G226">
        <f t="array" ref="G226">IFERROR(INDEX('Work Items'!$F$6:$F$5000,SMALL(IF('Work Items'!$A$6:$A$5000="Risk",ROW('Work Items'!$A$6:$A$5000)-ROW('Work Items'!$A$6)+1),222)),"")</f>
        <v/>
      </c>
      <c r="H226">
        <f t="array" ref="H226">IFERROR(INDEX('Work Items'!$J$6:$J$5000,SMALL(IF('Work Items'!$A$6:$A$5000="Risk",ROW('Work Items'!$A$6:$A$5000)-ROW('Work Items'!$A$6)+1),222)),"")</f>
        <v/>
      </c>
      <c r="I226">
        <f t="array" ref="I226">IFERROR(INDEX('Work Items'!$K$6:$K$5000,SMALL(IF('Work Items'!$A$6:$A$5000="Risk",ROW('Work Items'!$A$6:$A$5000)-ROW('Work Items'!$A$6)+1),222)),"")</f>
        <v/>
      </c>
      <c r="J226">
        <f t="array" ref="J226">IFERROR(INDEX('Work Items'!$L$6:$L$5000,SMALL(IF('Work Items'!$A$6:$A$5000="Risk",ROW('Work Items'!$A$6:$A$5000)-ROW('Work Items'!$A$6)+1),222)),"")</f>
        <v/>
      </c>
      <c r="K226">
        <f t="array" ref="K226">IFERROR(IF(AND(INDEX('Work Items'!$R$6:$R$5000,SMALL(IF('Work Items'!$A$6:$A$5000="Risk",ROW('Work Items'!$A$6:$A$5000)-ROW('Work Items'!$A$6)+1),222))&lt;&gt;"",INDEX('Work Items'!$S$6:$S$5000,SMALL(IF('Work Items'!$A$6:$A$5000="Risk",ROW('Work Items'!$A$6:$A$5000)-ROW('Work Items'!$A$6)+1),222))&lt;&gt;""),INDEX('Work Items'!$R$6:$R$5000,SMALL(IF('Work Items'!$A$6:$A$5000="Risk",ROW('Work Items'!$A$6:$A$5000)-ROW('Work Items'!$A$6)+1),222))*INDEX('Work Items'!$S$6:$S$5000,SMALL(IF('Work Items'!$A$6:$A$5000="Risk",ROW('Work Items'!$A$6:$A$5000)-ROW('Work Items'!$A$6)+1),222)),INDEX('Work Items'!$U$6:$U$5000,SMALL(IF('Work Items'!$A$6:$A$5000="Risk",ROW('Work Items'!$A$6:$A$5000)-ROW('Work Items'!$A$6)+1),222))),"")</f>
        <v/>
      </c>
      <c r="L226" s="217">
        <f t="array" ref="L226">IFERROR(INDEX('Work Items'!$Q$6:$Q$5000,SMALL(IF('Work Items'!$A$6:$A$5000="Risk",ROW('Work Items'!$A$6:$A$5000)-ROW('Work Items'!$A$6)+1),222)),"")</f>
        <v/>
      </c>
      <c r="M226">
        <f t="array" ref="M226">IFERROR(INDEX('Work Items'!$T$6:$T$5000,SMALL(IF('Work Items'!$A$6:$A$5000="Risk",ROW('Work Items'!$A$6:$A$5000)-ROW('Work Items'!$A$6)+1),222)),"")</f>
        <v/>
      </c>
    </row>
    <row r="227">
      <c r="A227">
        <f t="array" ref="A227">IFERROR(INDEX('Work Items'!$A$6:$A$5000,SMALL(IF('Work Items'!$A$6:$A$5000="Risk",ROW('Work Items'!$A$6:$A$5000)-ROW('Work Items'!$A$6)+1),223)),"")</f>
        <v/>
      </c>
      <c r="B227">
        <f t="array" ref="B227">IFERROR(INDEX('Work Items'!$B$6:$B$5000,SMALL(IF('Work Items'!$A$6:$A$5000="Risk",ROW('Work Items'!$A$6:$A$5000)-ROW('Work Items'!$A$6)+1),223)),"")</f>
        <v/>
      </c>
      <c r="C227">
        <f>IF(E227="","",IFERROR(INDEX('Projects Master'!$A:$A,MATCH(E227,'Projects Master'!$B:$B,0)),"OrgRisk"))</f>
        <v/>
      </c>
      <c r="D227">
        <f t="array" ref="D227">IFERROR(INDEX('Work Items'!$C$6:$C$5000,SMALL(IF('Work Items'!$A$6:$A$5000="Risk",ROW('Work Items'!$A$6:$A$5000)-ROW('Work Items'!$A$6)+1),223)),"")</f>
        <v/>
      </c>
      <c r="E227">
        <f t="array" ref="E227">IFERROR(INDEX('Work Items'!$D$6:$D$5000,SMALL(IF('Work Items'!$A$6:$A$5000="Risk",ROW('Work Items'!$A$6:$A$5000)-ROW('Work Items'!$A$6)+1),223)),"")</f>
        <v/>
      </c>
      <c r="F227">
        <f t="array" ref="F227">IFERROR(INDEX('Work Items'!$E$6:$E$5000,SMALL(IF('Work Items'!$A$6:$A$5000="Risk",ROW('Work Items'!$A$6:$A$5000)-ROW('Work Items'!$A$6)+1),223)),"")</f>
        <v/>
      </c>
      <c r="G227">
        <f t="array" ref="G227">IFERROR(INDEX('Work Items'!$F$6:$F$5000,SMALL(IF('Work Items'!$A$6:$A$5000="Risk",ROW('Work Items'!$A$6:$A$5000)-ROW('Work Items'!$A$6)+1),223)),"")</f>
        <v/>
      </c>
      <c r="H227">
        <f t="array" ref="H227">IFERROR(INDEX('Work Items'!$J$6:$J$5000,SMALL(IF('Work Items'!$A$6:$A$5000="Risk",ROW('Work Items'!$A$6:$A$5000)-ROW('Work Items'!$A$6)+1),223)),"")</f>
        <v/>
      </c>
      <c r="I227">
        <f t="array" ref="I227">IFERROR(INDEX('Work Items'!$K$6:$K$5000,SMALL(IF('Work Items'!$A$6:$A$5000="Risk",ROW('Work Items'!$A$6:$A$5000)-ROW('Work Items'!$A$6)+1),223)),"")</f>
        <v/>
      </c>
      <c r="J227">
        <f t="array" ref="J227">IFERROR(INDEX('Work Items'!$L$6:$L$5000,SMALL(IF('Work Items'!$A$6:$A$5000="Risk",ROW('Work Items'!$A$6:$A$5000)-ROW('Work Items'!$A$6)+1),223)),"")</f>
        <v/>
      </c>
      <c r="K227">
        <f t="array" ref="K227">IFERROR(IF(AND(INDEX('Work Items'!$R$6:$R$5000,SMALL(IF('Work Items'!$A$6:$A$5000="Risk",ROW('Work Items'!$A$6:$A$5000)-ROW('Work Items'!$A$6)+1),223))&lt;&gt;"",INDEX('Work Items'!$S$6:$S$5000,SMALL(IF('Work Items'!$A$6:$A$5000="Risk",ROW('Work Items'!$A$6:$A$5000)-ROW('Work Items'!$A$6)+1),223))&lt;&gt;""),INDEX('Work Items'!$R$6:$R$5000,SMALL(IF('Work Items'!$A$6:$A$5000="Risk",ROW('Work Items'!$A$6:$A$5000)-ROW('Work Items'!$A$6)+1),223))*INDEX('Work Items'!$S$6:$S$5000,SMALL(IF('Work Items'!$A$6:$A$5000="Risk",ROW('Work Items'!$A$6:$A$5000)-ROW('Work Items'!$A$6)+1),223)),INDEX('Work Items'!$U$6:$U$5000,SMALL(IF('Work Items'!$A$6:$A$5000="Risk",ROW('Work Items'!$A$6:$A$5000)-ROW('Work Items'!$A$6)+1),223))),"")</f>
        <v/>
      </c>
      <c r="L227" s="217">
        <f t="array" ref="L227">IFERROR(INDEX('Work Items'!$Q$6:$Q$5000,SMALL(IF('Work Items'!$A$6:$A$5000="Risk",ROW('Work Items'!$A$6:$A$5000)-ROW('Work Items'!$A$6)+1),223)),"")</f>
        <v/>
      </c>
      <c r="M227">
        <f t="array" ref="M227">IFERROR(INDEX('Work Items'!$T$6:$T$5000,SMALL(IF('Work Items'!$A$6:$A$5000="Risk",ROW('Work Items'!$A$6:$A$5000)-ROW('Work Items'!$A$6)+1),223)),"")</f>
        <v/>
      </c>
    </row>
    <row r="228">
      <c r="A228">
        <f t="array" ref="A228">IFERROR(INDEX('Work Items'!$A$6:$A$5000,SMALL(IF('Work Items'!$A$6:$A$5000="Risk",ROW('Work Items'!$A$6:$A$5000)-ROW('Work Items'!$A$6)+1),224)),"")</f>
        <v/>
      </c>
      <c r="B228">
        <f t="array" ref="B228">IFERROR(INDEX('Work Items'!$B$6:$B$5000,SMALL(IF('Work Items'!$A$6:$A$5000="Risk",ROW('Work Items'!$A$6:$A$5000)-ROW('Work Items'!$A$6)+1),224)),"")</f>
        <v/>
      </c>
      <c r="C228">
        <f>IF(E228="","",IFERROR(INDEX('Projects Master'!$A:$A,MATCH(E228,'Projects Master'!$B:$B,0)),"OrgRisk"))</f>
        <v/>
      </c>
      <c r="D228">
        <f t="array" ref="D228">IFERROR(INDEX('Work Items'!$C$6:$C$5000,SMALL(IF('Work Items'!$A$6:$A$5000="Risk",ROW('Work Items'!$A$6:$A$5000)-ROW('Work Items'!$A$6)+1),224)),"")</f>
        <v/>
      </c>
      <c r="E228">
        <f t="array" ref="E228">IFERROR(INDEX('Work Items'!$D$6:$D$5000,SMALL(IF('Work Items'!$A$6:$A$5000="Risk",ROW('Work Items'!$A$6:$A$5000)-ROW('Work Items'!$A$6)+1),224)),"")</f>
        <v/>
      </c>
      <c r="F228">
        <f t="array" ref="F228">IFERROR(INDEX('Work Items'!$E$6:$E$5000,SMALL(IF('Work Items'!$A$6:$A$5000="Risk",ROW('Work Items'!$A$6:$A$5000)-ROW('Work Items'!$A$6)+1),224)),"")</f>
        <v/>
      </c>
      <c r="G228">
        <f t="array" ref="G228">IFERROR(INDEX('Work Items'!$F$6:$F$5000,SMALL(IF('Work Items'!$A$6:$A$5000="Risk",ROW('Work Items'!$A$6:$A$5000)-ROW('Work Items'!$A$6)+1),224)),"")</f>
        <v/>
      </c>
      <c r="H228">
        <f t="array" ref="H228">IFERROR(INDEX('Work Items'!$J$6:$J$5000,SMALL(IF('Work Items'!$A$6:$A$5000="Risk",ROW('Work Items'!$A$6:$A$5000)-ROW('Work Items'!$A$6)+1),224)),"")</f>
        <v/>
      </c>
      <c r="I228">
        <f t="array" ref="I228">IFERROR(INDEX('Work Items'!$K$6:$K$5000,SMALL(IF('Work Items'!$A$6:$A$5000="Risk",ROW('Work Items'!$A$6:$A$5000)-ROW('Work Items'!$A$6)+1),224)),"")</f>
        <v/>
      </c>
      <c r="J228">
        <f t="array" ref="J228">IFERROR(INDEX('Work Items'!$L$6:$L$5000,SMALL(IF('Work Items'!$A$6:$A$5000="Risk",ROW('Work Items'!$A$6:$A$5000)-ROW('Work Items'!$A$6)+1),224)),"")</f>
        <v/>
      </c>
      <c r="K228">
        <f t="array" ref="K228">IFERROR(IF(AND(INDEX('Work Items'!$R$6:$R$5000,SMALL(IF('Work Items'!$A$6:$A$5000="Risk",ROW('Work Items'!$A$6:$A$5000)-ROW('Work Items'!$A$6)+1),224))&lt;&gt;"",INDEX('Work Items'!$S$6:$S$5000,SMALL(IF('Work Items'!$A$6:$A$5000="Risk",ROW('Work Items'!$A$6:$A$5000)-ROW('Work Items'!$A$6)+1),224))&lt;&gt;""),INDEX('Work Items'!$R$6:$R$5000,SMALL(IF('Work Items'!$A$6:$A$5000="Risk",ROW('Work Items'!$A$6:$A$5000)-ROW('Work Items'!$A$6)+1),224))*INDEX('Work Items'!$S$6:$S$5000,SMALL(IF('Work Items'!$A$6:$A$5000="Risk",ROW('Work Items'!$A$6:$A$5000)-ROW('Work Items'!$A$6)+1),224)),INDEX('Work Items'!$U$6:$U$5000,SMALL(IF('Work Items'!$A$6:$A$5000="Risk",ROW('Work Items'!$A$6:$A$5000)-ROW('Work Items'!$A$6)+1),224))),"")</f>
        <v/>
      </c>
      <c r="L228" s="217">
        <f t="array" ref="L228">IFERROR(INDEX('Work Items'!$Q$6:$Q$5000,SMALL(IF('Work Items'!$A$6:$A$5000="Risk",ROW('Work Items'!$A$6:$A$5000)-ROW('Work Items'!$A$6)+1),224)),"")</f>
        <v/>
      </c>
      <c r="M228">
        <f t="array" ref="M228">IFERROR(INDEX('Work Items'!$T$6:$T$5000,SMALL(IF('Work Items'!$A$6:$A$5000="Risk",ROW('Work Items'!$A$6:$A$5000)-ROW('Work Items'!$A$6)+1),224)),"")</f>
        <v/>
      </c>
    </row>
    <row r="229">
      <c r="A229">
        <f t="array" ref="A229">IFERROR(INDEX('Work Items'!$A$6:$A$5000,SMALL(IF('Work Items'!$A$6:$A$5000="Risk",ROW('Work Items'!$A$6:$A$5000)-ROW('Work Items'!$A$6)+1),225)),"")</f>
        <v/>
      </c>
      <c r="B229">
        <f t="array" ref="B229">IFERROR(INDEX('Work Items'!$B$6:$B$5000,SMALL(IF('Work Items'!$A$6:$A$5000="Risk",ROW('Work Items'!$A$6:$A$5000)-ROW('Work Items'!$A$6)+1),225)),"")</f>
        <v/>
      </c>
      <c r="C229">
        <f>IF(E229="","",IFERROR(INDEX('Projects Master'!$A:$A,MATCH(E229,'Projects Master'!$B:$B,0)),"OrgRisk"))</f>
        <v/>
      </c>
      <c r="D229">
        <f t="array" ref="D229">IFERROR(INDEX('Work Items'!$C$6:$C$5000,SMALL(IF('Work Items'!$A$6:$A$5000="Risk",ROW('Work Items'!$A$6:$A$5000)-ROW('Work Items'!$A$6)+1),225)),"")</f>
        <v/>
      </c>
      <c r="E229">
        <f t="array" ref="E229">IFERROR(INDEX('Work Items'!$D$6:$D$5000,SMALL(IF('Work Items'!$A$6:$A$5000="Risk",ROW('Work Items'!$A$6:$A$5000)-ROW('Work Items'!$A$6)+1),225)),"")</f>
        <v/>
      </c>
      <c r="F229">
        <f t="array" ref="F229">IFERROR(INDEX('Work Items'!$E$6:$E$5000,SMALL(IF('Work Items'!$A$6:$A$5000="Risk",ROW('Work Items'!$A$6:$A$5000)-ROW('Work Items'!$A$6)+1),225)),"")</f>
        <v/>
      </c>
      <c r="G229">
        <f t="array" ref="G229">IFERROR(INDEX('Work Items'!$F$6:$F$5000,SMALL(IF('Work Items'!$A$6:$A$5000="Risk",ROW('Work Items'!$A$6:$A$5000)-ROW('Work Items'!$A$6)+1),225)),"")</f>
        <v/>
      </c>
      <c r="H229">
        <f t="array" ref="H229">IFERROR(INDEX('Work Items'!$J$6:$J$5000,SMALL(IF('Work Items'!$A$6:$A$5000="Risk",ROW('Work Items'!$A$6:$A$5000)-ROW('Work Items'!$A$6)+1),225)),"")</f>
        <v/>
      </c>
      <c r="I229">
        <f t="array" ref="I229">IFERROR(INDEX('Work Items'!$K$6:$K$5000,SMALL(IF('Work Items'!$A$6:$A$5000="Risk",ROW('Work Items'!$A$6:$A$5000)-ROW('Work Items'!$A$6)+1),225)),"")</f>
        <v/>
      </c>
      <c r="J229">
        <f t="array" ref="J229">IFERROR(INDEX('Work Items'!$L$6:$L$5000,SMALL(IF('Work Items'!$A$6:$A$5000="Risk",ROW('Work Items'!$A$6:$A$5000)-ROW('Work Items'!$A$6)+1),225)),"")</f>
        <v/>
      </c>
      <c r="K229">
        <f t="array" ref="K229">IFERROR(IF(AND(INDEX('Work Items'!$R$6:$R$5000,SMALL(IF('Work Items'!$A$6:$A$5000="Risk",ROW('Work Items'!$A$6:$A$5000)-ROW('Work Items'!$A$6)+1),225))&lt;&gt;"",INDEX('Work Items'!$S$6:$S$5000,SMALL(IF('Work Items'!$A$6:$A$5000="Risk",ROW('Work Items'!$A$6:$A$5000)-ROW('Work Items'!$A$6)+1),225))&lt;&gt;""),INDEX('Work Items'!$R$6:$R$5000,SMALL(IF('Work Items'!$A$6:$A$5000="Risk",ROW('Work Items'!$A$6:$A$5000)-ROW('Work Items'!$A$6)+1),225))*INDEX('Work Items'!$S$6:$S$5000,SMALL(IF('Work Items'!$A$6:$A$5000="Risk",ROW('Work Items'!$A$6:$A$5000)-ROW('Work Items'!$A$6)+1),225)),INDEX('Work Items'!$U$6:$U$5000,SMALL(IF('Work Items'!$A$6:$A$5000="Risk",ROW('Work Items'!$A$6:$A$5000)-ROW('Work Items'!$A$6)+1),225))),"")</f>
        <v/>
      </c>
      <c r="L229" s="217">
        <f t="array" ref="L229">IFERROR(INDEX('Work Items'!$Q$6:$Q$5000,SMALL(IF('Work Items'!$A$6:$A$5000="Risk",ROW('Work Items'!$A$6:$A$5000)-ROW('Work Items'!$A$6)+1),225)),"")</f>
        <v/>
      </c>
      <c r="M229">
        <f t="array" ref="M229">IFERROR(INDEX('Work Items'!$T$6:$T$5000,SMALL(IF('Work Items'!$A$6:$A$5000="Risk",ROW('Work Items'!$A$6:$A$5000)-ROW('Work Items'!$A$6)+1),225)),"")</f>
        <v/>
      </c>
    </row>
    <row r="230">
      <c r="A230">
        <f t="array" ref="A230">IFERROR(INDEX('Work Items'!$A$6:$A$5000,SMALL(IF('Work Items'!$A$6:$A$5000="Risk",ROW('Work Items'!$A$6:$A$5000)-ROW('Work Items'!$A$6)+1),226)),"")</f>
        <v/>
      </c>
      <c r="B230">
        <f t="array" ref="B230">IFERROR(INDEX('Work Items'!$B$6:$B$5000,SMALL(IF('Work Items'!$A$6:$A$5000="Risk",ROW('Work Items'!$A$6:$A$5000)-ROW('Work Items'!$A$6)+1),226)),"")</f>
        <v/>
      </c>
      <c r="C230">
        <f>IF(E230="","",IFERROR(INDEX('Projects Master'!$A:$A,MATCH(E230,'Projects Master'!$B:$B,0)),"OrgRisk"))</f>
        <v/>
      </c>
      <c r="D230">
        <f t="array" ref="D230">IFERROR(INDEX('Work Items'!$C$6:$C$5000,SMALL(IF('Work Items'!$A$6:$A$5000="Risk",ROW('Work Items'!$A$6:$A$5000)-ROW('Work Items'!$A$6)+1),226)),"")</f>
        <v/>
      </c>
      <c r="E230">
        <f t="array" ref="E230">IFERROR(INDEX('Work Items'!$D$6:$D$5000,SMALL(IF('Work Items'!$A$6:$A$5000="Risk",ROW('Work Items'!$A$6:$A$5000)-ROW('Work Items'!$A$6)+1),226)),"")</f>
        <v/>
      </c>
      <c r="F230">
        <f t="array" ref="F230">IFERROR(INDEX('Work Items'!$E$6:$E$5000,SMALL(IF('Work Items'!$A$6:$A$5000="Risk",ROW('Work Items'!$A$6:$A$5000)-ROW('Work Items'!$A$6)+1),226)),"")</f>
        <v/>
      </c>
      <c r="G230">
        <f t="array" ref="G230">IFERROR(INDEX('Work Items'!$F$6:$F$5000,SMALL(IF('Work Items'!$A$6:$A$5000="Risk",ROW('Work Items'!$A$6:$A$5000)-ROW('Work Items'!$A$6)+1),226)),"")</f>
        <v/>
      </c>
      <c r="H230">
        <f t="array" ref="H230">IFERROR(INDEX('Work Items'!$J$6:$J$5000,SMALL(IF('Work Items'!$A$6:$A$5000="Risk",ROW('Work Items'!$A$6:$A$5000)-ROW('Work Items'!$A$6)+1),226)),"")</f>
        <v/>
      </c>
      <c r="I230">
        <f t="array" ref="I230">IFERROR(INDEX('Work Items'!$K$6:$K$5000,SMALL(IF('Work Items'!$A$6:$A$5000="Risk",ROW('Work Items'!$A$6:$A$5000)-ROW('Work Items'!$A$6)+1),226)),"")</f>
        <v/>
      </c>
      <c r="J230">
        <f t="array" ref="J230">IFERROR(INDEX('Work Items'!$L$6:$L$5000,SMALL(IF('Work Items'!$A$6:$A$5000="Risk",ROW('Work Items'!$A$6:$A$5000)-ROW('Work Items'!$A$6)+1),226)),"")</f>
        <v/>
      </c>
      <c r="K230">
        <f t="array" ref="K230">IFERROR(IF(AND(INDEX('Work Items'!$R$6:$R$5000,SMALL(IF('Work Items'!$A$6:$A$5000="Risk",ROW('Work Items'!$A$6:$A$5000)-ROW('Work Items'!$A$6)+1),226))&lt;&gt;"",INDEX('Work Items'!$S$6:$S$5000,SMALL(IF('Work Items'!$A$6:$A$5000="Risk",ROW('Work Items'!$A$6:$A$5000)-ROW('Work Items'!$A$6)+1),226))&lt;&gt;""),INDEX('Work Items'!$R$6:$R$5000,SMALL(IF('Work Items'!$A$6:$A$5000="Risk",ROW('Work Items'!$A$6:$A$5000)-ROW('Work Items'!$A$6)+1),226))*INDEX('Work Items'!$S$6:$S$5000,SMALL(IF('Work Items'!$A$6:$A$5000="Risk",ROW('Work Items'!$A$6:$A$5000)-ROW('Work Items'!$A$6)+1),226)),INDEX('Work Items'!$U$6:$U$5000,SMALL(IF('Work Items'!$A$6:$A$5000="Risk",ROW('Work Items'!$A$6:$A$5000)-ROW('Work Items'!$A$6)+1),226))),"")</f>
        <v/>
      </c>
      <c r="L230" s="217">
        <f t="array" ref="L230">IFERROR(INDEX('Work Items'!$Q$6:$Q$5000,SMALL(IF('Work Items'!$A$6:$A$5000="Risk",ROW('Work Items'!$A$6:$A$5000)-ROW('Work Items'!$A$6)+1),226)),"")</f>
        <v/>
      </c>
      <c r="M230">
        <f t="array" ref="M230">IFERROR(INDEX('Work Items'!$T$6:$T$5000,SMALL(IF('Work Items'!$A$6:$A$5000="Risk",ROW('Work Items'!$A$6:$A$5000)-ROW('Work Items'!$A$6)+1),226)),"")</f>
        <v/>
      </c>
    </row>
    <row r="231">
      <c r="A231">
        <f t="array" ref="A231">IFERROR(INDEX('Work Items'!$A$6:$A$5000,SMALL(IF('Work Items'!$A$6:$A$5000="Risk",ROW('Work Items'!$A$6:$A$5000)-ROW('Work Items'!$A$6)+1),227)),"")</f>
        <v/>
      </c>
      <c r="B231">
        <f t="array" ref="B231">IFERROR(INDEX('Work Items'!$B$6:$B$5000,SMALL(IF('Work Items'!$A$6:$A$5000="Risk",ROW('Work Items'!$A$6:$A$5000)-ROW('Work Items'!$A$6)+1),227)),"")</f>
        <v/>
      </c>
      <c r="C231">
        <f>IF(E231="","",IFERROR(INDEX('Projects Master'!$A:$A,MATCH(E231,'Projects Master'!$B:$B,0)),"OrgRisk"))</f>
        <v/>
      </c>
      <c r="D231">
        <f t="array" ref="D231">IFERROR(INDEX('Work Items'!$C$6:$C$5000,SMALL(IF('Work Items'!$A$6:$A$5000="Risk",ROW('Work Items'!$A$6:$A$5000)-ROW('Work Items'!$A$6)+1),227)),"")</f>
        <v/>
      </c>
      <c r="E231">
        <f t="array" ref="E231">IFERROR(INDEX('Work Items'!$D$6:$D$5000,SMALL(IF('Work Items'!$A$6:$A$5000="Risk",ROW('Work Items'!$A$6:$A$5000)-ROW('Work Items'!$A$6)+1),227)),"")</f>
        <v/>
      </c>
      <c r="F231">
        <f t="array" ref="F231">IFERROR(INDEX('Work Items'!$E$6:$E$5000,SMALL(IF('Work Items'!$A$6:$A$5000="Risk",ROW('Work Items'!$A$6:$A$5000)-ROW('Work Items'!$A$6)+1),227)),"")</f>
        <v/>
      </c>
      <c r="G231">
        <f t="array" ref="G231">IFERROR(INDEX('Work Items'!$F$6:$F$5000,SMALL(IF('Work Items'!$A$6:$A$5000="Risk",ROW('Work Items'!$A$6:$A$5000)-ROW('Work Items'!$A$6)+1),227)),"")</f>
        <v/>
      </c>
      <c r="H231">
        <f t="array" ref="H231">IFERROR(INDEX('Work Items'!$J$6:$J$5000,SMALL(IF('Work Items'!$A$6:$A$5000="Risk",ROW('Work Items'!$A$6:$A$5000)-ROW('Work Items'!$A$6)+1),227)),"")</f>
        <v/>
      </c>
      <c r="I231">
        <f t="array" ref="I231">IFERROR(INDEX('Work Items'!$K$6:$K$5000,SMALL(IF('Work Items'!$A$6:$A$5000="Risk",ROW('Work Items'!$A$6:$A$5000)-ROW('Work Items'!$A$6)+1),227)),"")</f>
        <v/>
      </c>
      <c r="J231">
        <f t="array" ref="J231">IFERROR(INDEX('Work Items'!$L$6:$L$5000,SMALL(IF('Work Items'!$A$6:$A$5000="Risk",ROW('Work Items'!$A$6:$A$5000)-ROW('Work Items'!$A$6)+1),227)),"")</f>
        <v/>
      </c>
      <c r="K231">
        <f t="array" ref="K231">IFERROR(IF(AND(INDEX('Work Items'!$R$6:$R$5000,SMALL(IF('Work Items'!$A$6:$A$5000="Risk",ROW('Work Items'!$A$6:$A$5000)-ROW('Work Items'!$A$6)+1),227))&lt;&gt;"",INDEX('Work Items'!$S$6:$S$5000,SMALL(IF('Work Items'!$A$6:$A$5000="Risk",ROW('Work Items'!$A$6:$A$5000)-ROW('Work Items'!$A$6)+1),227))&lt;&gt;""),INDEX('Work Items'!$R$6:$R$5000,SMALL(IF('Work Items'!$A$6:$A$5000="Risk",ROW('Work Items'!$A$6:$A$5000)-ROW('Work Items'!$A$6)+1),227))*INDEX('Work Items'!$S$6:$S$5000,SMALL(IF('Work Items'!$A$6:$A$5000="Risk",ROW('Work Items'!$A$6:$A$5000)-ROW('Work Items'!$A$6)+1),227)),INDEX('Work Items'!$U$6:$U$5000,SMALL(IF('Work Items'!$A$6:$A$5000="Risk",ROW('Work Items'!$A$6:$A$5000)-ROW('Work Items'!$A$6)+1),227))),"")</f>
        <v/>
      </c>
      <c r="L231" s="217">
        <f t="array" ref="L231">IFERROR(INDEX('Work Items'!$Q$6:$Q$5000,SMALL(IF('Work Items'!$A$6:$A$5000="Risk",ROW('Work Items'!$A$6:$A$5000)-ROW('Work Items'!$A$6)+1),227)),"")</f>
        <v/>
      </c>
      <c r="M231">
        <f t="array" ref="M231">IFERROR(INDEX('Work Items'!$T$6:$T$5000,SMALL(IF('Work Items'!$A$6:$A$5000="Risk",ROW('Work Items'!$A$6:$A$5000)-ROW('Work Items'!$A$6)+1),227)),"")</f>
        <v/>
      </c>
    </row>
    <row r="232">
      <c r="A232">
        <f t="array" ref="A232">IFERROR(INDEX('Work Items'!$A$6:$A$5000,SMALL(IF('Work Items'!$A$6:$A$5000="Risk",ROW('Work Items'!$A$6:$A$5000)-ROW('Work Items'!$A$6)+1),228)),"")</f>
        <v/>
      </c>
      <c r="B232">
        <f t="array" ref="B232">IFERROR(INDEX('Work Items'!$B$6:$B$5000,SMALL(IF('Work Items'!$A$6:$A$5000="Risk",ROW('Work Items'!$A$6:$A$5000)-ROW('Work Items'!$A$6)+1),228)),"")</f>
        <v/>
      </c>
      <c r="C232">
        <f>IF(E232="","",IFERROR(INDEX('Projects Master'!$A:$A,MATCH(E232,'Projects Master'!$B:$B,0)),"OrgRisk"))</f>
        <v/>
      </c>
      <c r="D232">
        <f t="array" ref="D232">IFERROR(INDEX('Work Items'!$C$6:$C$5000,SMALL(IF('Work Items'!$A$6:$A$5000="Risk",ROW('Work Items'!$A$6:$A$5000)-ROW('Work Items'!$A$6)+1),228)),"")</f>
        <v/>
      </c>
      <c r="E232">
        <f t="array" ref="E232">IFERROR(INDEX('Work Items'!$D$6:$D$5000,SMALL(IF('Work Items'!$A$6:$A$5000="Risk",ROW('Work Items'!$A$6:$A$5000)-ROW('Work Items'!$A$6)+1),228)),"")</f>
        <v/>
      </c>
      <c r="F232">
        <f t="array" ref="F232">IFERROR(INDEX('Work Items'!$E$6:$E$5000,SMALL(IF('Work Items'!$A$6:$A$5000="Risk",ROW('Work Items'!$A$6:$A$5000)-ROW('Work Items'!$A$6)+1),228)),"")</f>
        <v/>
      </c>
      <c r="G232">
        <f t="array" ref="G232">IFERROR(INDEX('Work Items'!$F$6:$F$5000,SMALL(IF('Work Items'!$A$6:$A$5000="Risk",ROW('Work Items'!$A$6:$A$5000)-ROW('Work Items'!$A$6)+1),228)),"")</f>
        <v/>
      </c>
      <c r="H232">
        <f t="array" ref="H232">IFERROR(INDEX('Work Items'!$J$6:$J$5000,SMALL(IF('Work Items'!$A$6:$A$5000="Risk",ROW('Work Items'!$A$6:$A$5000)-ROW('Work Items'!$A$6)+1),228)),"")</f>
        <v/>
      </c>
      <c r="I232">
        <f t="array" ref="I232">IFERROR(INDEX('Work Items'!$K$6:$K$5000,SMALL(IF('Work Items'!$A$6:$A$5000="Risk",ROW('Work Items'!$A$6:$A$5000)-ROW('Work Items'!$A$6)+1),228)),"")</f>
        <v/>
      </c>
      <c r="J232">
        <f t="array" ref="J232">IFERROR(INDEX('Work Items'!$L$6:$L$5000,SMALL(IF('Work Items'!$A$6:$A$5000="Risk",ROW('Work Items'!$A$6:$A$5000)-ROW('Work Items'!$A$6)+1),228)),"")</f>
        <v/>
      </c>
      <c r="K232">
        <f t="array" ref="K232">IFERROR(IF(AND(INDEX('Work Items'!$R$6:$R$5000,SMALL(IF('Work Items'!$A$6:$A$5000="Risk",ROW('Work Items'!$A$6:$A$5000)-ROW('Work Items'!$A$6)+1),228))&lt;&gt;"",INDEX('Work Items'!$S$6:$S$5000,SMALL(IF('Work Items'!$A$6:$A$5000="Risk",ROW('Work Items'!$A$6:$A$5000)-ROW('Work Items'!$A$6)+1),228))&lt;&gt;""),INDEX('Work Items'!$R$6:$R$5000,SMALL(IF('Work Items'!$A$6:$A$5000="Risk",ROW('Work Items'!$A$6:$A$5000)-ROW('Work Items'!$A$6)+1),228))*INDEX('Work Items'!$S$6:$S$5000,SMALL(IF('Work Items'!$A$6:$A$5000="Risk",ROW('Work Items'!$A$6:$A$5000)-ROW('Work Items'!$A$6)+1),228)),INDEX('Work Items'!$U$6:$U$5000,SMALL(IF('Work Items'!$A$6:$A$5000="Risk",ROW('Work Items'!$A$6:$A$5000)-ROW('Work Items'!$A$6)+1),228))),"")</f>
        <v/>
      </c>
      <c r="L232" s="217">
        <f t="array" ref="L232">IFERROR(INDEX('Work Items'!$Q$6:$Q$5000,SMALL(IF('Work Items'!$A$6:$A$5000="Risk",ROW('Work Items'!$A$6:$A$5000)-ROW('Work Items'!$A$6)+1),228)),"")</f>
        <v/>
      </c>
      <c r="M232">
        <f t="array" ref="M232">IFERROR(INDEX('Work Items'!$T$6:$T$5000,SMALL(IF('Work Items'!$A$6:$A$5000="Risk",ROW('Work Items'!$A$6:$A$5000)-ROW('Work Items'!$A$6)+1),228)),"")</f>
        <v/>
      </c>
    </row>
    <row r="233">
      <c r="A233">
        <f t="array" ref="A233">IFERROR(INDEX('Work Items'!$A$6:$A$5000,SMALL(IF('Work Items'!$A$6:$A$5000="Risk",ROW('Work Items'!$A$6:$A$5000)-ROW('Work Items'!$A$6)+1),229)),"")</f>
        <v/>
      </c>
      <c r="B233">
        <f t="array" ref="B233">IFERROR(INDEX('Work Items'!$B$6:$B$5000,SMALL(IF('Work Items'!$A$6:$A$5000="Risk",ROW('Work Items'!$A$6:$A$5000)-ROW('Work Items'!$A$6)+1),229)),"")</f>
        <v/>
      </c>
      <c r="C233">
        <f>IF(E233="","",IFERROR(INDEX('Projects Master'!$A:$A,MATCH(E233,'Projects Master'!$B:$B,0)),"OrgRisk"))</f>
        <v/>
      </c>
      <c r="D233">
        <f t="array" ref="D233">IFERROR(INDEX('Work Items'!$C$6:$C$5000,SMALL(IF('Work Items'!$A$6:$A$5000="Risk",ROW('Work Items'!$A$6:$A$5000)-ROW('Work Items'!$A$6)+1),229)),"")</f>
        <v/>
      </c>
      <c r="E233">
        <f t="array" ref="E233">IFERROR(INDEX('Work Items'!$D$6:$D$5000,SMALL(IF('Work Items'!$A$6:$A$5000="Risk",ROW('Work Items'!$A$6:$A$5000)-ROW('Work Items'!$A$6)+1),229)),"")</f>
        <v/>
      </c>
      <c r="F233">
        <f t="array" ref="F233">IFERROR(INDEX('Work Items'!$E$6:$E$5000,SMALL(IF('Work Items'!$A$6:$A$5000="Risk",ROW('Work Items'!$A$6:$A$5000)-ROW('Work Items'!$A$6)+1),229)),"")</f>
        <v/>
      </c>
      <c r="G233">
        <f t="array" ref="G233">IFERROR(INDEX('Work Items'!$F$6:$F$5000,SMALL(IF('Work Items'!$A$6:$A$5000="Risk",ROW('Work Items'!$A$6:$A$5000)-ROW('Work Items'!$A$6)+1),229)),"")</f>
        <v/>
      </c>
      <c r="H233">
        <f t="array" ref="H233">IFERROR(INDEX('Work Items'!$J$6:$J$5000,SMALL(IF('Work Items'!$A$6:$A$5000="Risk",ROW('Work Items'!$A$6:$A$5000)-ROW('Work Items'!$A$6)+1),229)),"")</f>
        <v/>
      </c>
      <c r="I233">
        <f t="array" ref="I233">IFERROR(INDEX('Work Items'!$K$6:$K$5000,SMALL(IF('Work Items'!$A$6:$A$5000="Risk",ROW('Work Items'!$A$6:$A$5000)-ROW('Work Items'!$A$6)+1),229)),"")</f>
        <v/>
      </c>
      <c r="J233">
        <f t="array" ref="J233">IFERROR(INDEX('Work Items'!$L$6:$L$5000,SMALL(IF('Work Items'!$A$6:$A$5000="Risk",ROW('Work Items'!$A$6:$A$5000)-ROW('Work Items'!$A$6)+1),229)),"")</f>
        <v/>
      </c>
      <c r="K233">
        <f t="array" ref="K233">IFERROR(IF(AND(INDEX('Work Items'!$R$6:$R$5000,SMALL(IF('Work Items'!$A$6:$A$5000="Risk",ROW('Work Items'!$A$6:$A$5000)-ROW('Work Items'!$A$6)+1),229))&lt;&gt;"",INDEX('Work Items'!$S$6:$S$5000,SMALL(IF('Work Items'!$A$6:$A$5000="Risk",ROW('Work Items'!$A$6:$A$5000)-ROW('Work Items'!$A$6)+1),229))&lt;&gt;""),INDEX('Work Items'!$R$6:$R$5000,SMALL(IF('Work Items'!$A$6:$A$5000="Risk",ROW('Work Items'!$A$6:$A$5000)-ROW('Work Items'!$A$6)+1),229))*INDEX('Work Items'!$S$6:$S$5000,SMALL(IF('Work Items'!$A$6:$A$5000="Risk",ROW('Work Items'!$A$6:$A$5000)-ROW('Work Items'!$A$6)+1),229)),INDEX('Work Items'!$U$6:$U$5000,SMALL(IF('Work Items'!$A$6:$A$5000="Risk",ROW('Work Items'!$A$6:$A$5000)-ROW('Work Items'!$A$6)+1),229))),"")</f>
        <v/>
      </c>
      <c r="L233" s="217">
        <f t="array" ref="L233">IFERROR(INDEX('Work Items'!$Q$6:$Q$5000,SMALL(IF('Work Items'!$A$6:$A$5000="Risk",ROW('Work Items'!$A$6:$A$5000)-ROW('Work Items'!$A$6)+1),229)),"")</f>
        <v/>
      </c>
      <c r="M233">
        <f t="array" ref="M233">IFERROR(INDEX('Work Items'!$T$6:$T$5000,SMALL(IF('Work Items'!$A$6:$A$5000="Risk",ROW('Work Items'!$A$6:$A$5000)-ROW('Work Items'!$A$6)+1),229)),"")</f>
        <v/>
      </c>
    </row>
    <row r="234">
      <c r="A234">
        <f t="array" ref="A234">IFERROR(INDEX('Work Items'!$A$6:$A$5000,SMALL(IF('Work Items'!$A$6:$A$5000="Risk",ROW('Work Items'!$A$6:$A$5000)-ROW('Work Items'!$A$6)+1),230)),"")</f>
        <v/>
      </c>
      <c r="B234">
        <f t="array" ref="B234">IFERROR(INDEX('Work Items'!$B$6:$B$5000,SMALL(IF('Work Items'!$A$6:$A$5000="Risk",ROW('Work Items'!$A$6:$A$5000)-ROW('Work Items'!$A$6)+1),230)),"")</f>
        <v/>
      </c>
      <c r="C234">
        <f>IF(E234="","",IFERROR(INDEX('Projects Master'!$A:$A,MATCH(E234,'Projects Master'!$B:$B,0)),"OrgRisk"))</f>
        <v/>
      </c>
      <c r="D234">
        <f t="array" ref="D234">IFERROR(INDEX('Work Items'!$C$6:$C$5000,SMALL(IF('Work Items'!$A$6:$A$5000="Risk",ROW('Work Items'!$A$6:$A$5000)-ROW('Work Items'!$A$6)+1),230)),"")</f>
        <v/>
      </c>
      <c r="E234">
        <f t="array" ref="E234">IFERROR(INDEX('Work Items'!$D$6:$D$5000,SMALL(IF('Work Items'!$A$6:$A$5000="Risk",ROW('Work Items'!$A$6:$A$5000)-ROW('Work Items'!$A$6)+1),230)),"")</f>
        <v/>
      </c>
      <c r="F234">
        <f t="array" ref="F234">IFERROR(INDEX('Work Items'!$E$6:$E$5000,SMALL(IF('Work Items'!$A$6:$A$5000="Risk",ROW('Work Items'!$A$6:$A$5000)-ROW('Work Items'!$A$6)+1),230)),"")</f>
        <v/>
      </c>
      <c r="G234">
        <f t="array" ref="G234">IFERROR(INDEX('Work Items'!$F$6:$F$5000,SMALL(IF('Work Items'!$A$6:$A$5000="Risk",ROW('Work Items'!$A$6:$A$5000)-ROW('Work Items'!$A$6)+1),230)),"")</f>
        <v/>
      </c>
      <c r="H234">
        <f t="array" ref="H234">IFERROR(INDEX('Work Items'!$J$6:$J$5000,SMALL(IF('Work Items'!$A$6:$A$5000="Risk",ROW('Work Items'!$A$6:$A$5000)-ROW('Work Items'!$A$6)+1),230)),"")</f>
        <v/>
      </c>
      <c r="I234">
        <f t="array" ref="I234">IFERROR(INDEX('Work Items'!$K$6:$K$5000,SMALL(IF('Work Items'!$A$6:$A$5000="Risk",ROW('Work Items'!$A$6:$A$5000)-ROW('Work Items'!$A$6)+1),230)),"")</f>
        <v/>
      </c>
      <c r="J234">
        <f t="array" ref="J234">IFERROR(INDEX('Work Items'!$L$6:$L$5000,SMALL(IF('Work Items'!$A$6:$A$5000="Risk",ROW('Work Items'!$A$6:$A$5000)-ROW('Work Items'!$A$6)+1),230)),"")</f>
        <v/>
      </c>
      <c r="K234">
        <f t="array" ref="K234">IFERROR(IF(AND(INDEX('Work Items'!$R$6:$R$5000,SMALL(IF('Work Items'!$A$6:$A$5000="Risk",ROW('Work Items'!$A$6:$A$5000)-ROW('Work Items'!$A$6)+1),230))&lt;&gt;"",INDEX('Work Items'!$S$6:$S$5000,SMALL(IF('Work Items'!$A$6:$A$5000="Risk",ROW('Work Items'!$A$6:$A$5000)-ROW('Work Items'!$A$6)+1),230))&lt;&gt;""),INDEX('Work Items'!$R$6:$R$5000,SMALL(IF('Work Items'!$A$6:$A$5000="Risk",ROW('Work Items'!$A$6:$A$5000)-ROW('Work Items'!$A$6)+1),230))*INDEX('Work Items'!$S$6:$S$5000,SMALL(IF('Work Items'!$A$6:$A$5000="Risk",ROW('Work Items'!$A$6:$A$5000)-ROW('Work Items'!$A$6)+1),230)),INDEX('Work Items'!$U$6:$U$5000,SMALL(IF('Work Items'!$A$6:$A$5000="Risk",ROW('Work Items'!$A$6:$A$5000)-ROW('Work Items'!$A$6)+1),230))),"")</f>
        <v/>
      </c>
      <c r="L234" s="217">
        <f t="array" ref="L234">IFERROR(INDEX('Work Items'!$Q$6:$Q$5000,SMALL(IF('Work Items'!$A$6:$A$5000="Risk",ROW('Work Items'!$A$6:$A$5000)-ROW('Work Items'!$A$6)+1),230)),"")</f>
        <v/>
      </c>
      <c r="M234">
        <f t="array" ref="M234">IFERROR(INDEX('Work Items'!$T$6:$T$5000,SMALL(IF('Work Items'!$A$6:$A$5000="Risk",ROW('Work Items'!$A$6:$A$5000)-ROW('Work Items'!$A$6)+1),230)),"")</f>
        <v/>
      </c>
    </row>
    <row r="235">
      <c r="A235">
        <f t="array" ref="A235">IFERROR(INDEX('Work Items'!$A$6:$A$5000,SMALL(IF('Work Items'!$A$6:$A$5000="Risk",ROW('Work Items'!$A$6:$A$5000)-ROW('Work Items'!$A$6)+1),231)),"")</f>
        <v/>
      </c>
      <c r="B235">
        <f t="array" ref="B235">IFERROR(INDEX('Work Items'!$B$6:$B$5000,SMALL(IF('Work Items'!$A$6:$A$5000="Risk",ROW('Work Items'!$A$6:$A$5000)-ROW('Work Items'!$A$6)+1),231)),"")</f>
        <v/>
      </c>
      <c r="C235">
        <f>IF(E235="","",IFERROR(INDEX('Projects Master'!$A:$A,MATCH(E235,'Projects Master'!$B:$B,0)),"OrgRisk"))</f>
        <v/>
      </c>
      <c r="D235">
        <f t="array" ref="D235">IFERROR(INDEX('Work Items'!$C$6:$C$5000,SMALL(IF('Work Items'!$A$6:$A$5000="Risk",ROW('Work Items'!$A$6:$A$5000)-ROW('Work Items'!$A$6)+1),231)),"")</f>
        <v/>
      </c>
      <c r="E235">
        <f t="array" ref="E235">IFERROR(INDEX('Work Items'!$D$6:$D$5000,SMALL(IF('Work Items'!$A$6:$A$5000="Risk",ROW('Work Items'!$A$6:$A$5000)-ROW('Work Items'!$A$6)+1),231)),"")</f>
        <v/>
      </c>
      <c r="F235">
        <f t="array" ref="F235">IFERROR(INDEX('Work Items'!$E$6:$E$5000,SMALL(IF('Work Items'!$A$6:$A$5000="Risk",ROW('Work Items'!$A$6:$A$5000)-ROW('Work Items'!$A$6)+1),231)),"")</f>
        <v/>
      </c>
      <c r="G235">
        <f t="array" ref="G235">IFERROR(INDEX('Work Items'!$F$6:$F$5000,SMALL(IF('Work Items'!$A$6:$A$5000="Risk",ROW('Work Items'!$A$6:$A$5000)-ROW('Work Items'!$A$6)+1),231)),"")</f>
        <v/>
      </c>
      <c r="H235">
        <f t="array" ref="H235">IFERROR(INDEX('Work Items'!$J$6:$J$5000,SMALL(IF('Work Items'!$A$6:$A$5000="Risk",ROW('Work Items'!$A$6:$A$5000)-ROW('Work Items'!$A$6)+1),231)),"")</f>
        <v/>
      </c>
      <c r="I235">
        <f t="array" ref="I235">IFERROR(INDEX('Work Items'!$K$6:$K$5000,SMALL(IF('Work Items'!$A$6:$A$5000="Risk",ROW('Work Items'!$A$6:$A$5000)-ROW('Work Items'!$A$6)+1),231)),"")</f>
        <v/>
      </c>
      <c r="J235">
        <f t="array" ref="J235">IFERROR(INDEX('Work Items'!$L$6:$L$5000,SMALL(IF('Work Items'!$A$6:$A$5000="Risk",ROW('Work Items'!$A$6:$A$5000)-ROW('Work Items'!$A$6)+1),231)),"")</f>
        <v/>
      </c>
      <c r="K235">
        <f t="array" ref="K235">IFERROR(IF(AND(INDEX('Work Items'!$R$6:$R$5000,SMALL(IF('Work Items'!$A$6:$A$5000="Risk",ROW('Work Items'!$A$6:$A$5000)-ROW('Work Items'!$A$6)+1),231))&lt;&gt;"",INDEX('Work Items'!$S$6:$S$5000,SMALL(IF('Work Items'!$A$6:$A$5000="Risk",ROW('Work Items'!$A$6:$A$5000)-ROW('Work Items'!$A$6)+1),231))&lt;&gt;""),INDEX('Work Items'!$R$6:$R$5000,SMALL(IF('Work Items'!$A$6:$A$5000="Risk",ROW('Work Items'!$A$6:$A$5000)-ROW('Work Items'!$A$6)+1),231))*INDEX('Work Items'!$S$6:$S$5000,SMALL(IF('Work Items'!$A$6:$A$5000="Risk",ROW('Work Items'!$A$6:$A$5000)-ROW('Work Items'!$A$6)+1),231)),INDEX('Work Items'!$U$6:$U$5000,SMALL(IF('Work Items'!$A$6:$A$5000="Risk",ROW('Work Items'!$A$6:$A$5000)-ROW('Work Items'!$A$6)+1),231))),"")</f>
        <v/>
      </c>
      <c r="L235" s="217">
        <f t="array" ref="L235">IFERROR(INDEX('Work Items'!$Q$6:$Q$5000,SMALL(IF('Work Items'!$A$6:$A$5000="Risk",ROW('Work Items'!$A$6:$A$5000)-ROW('Work Items'!$A$6)+1),231)),"")</f>
        <v/>
      </c>
      <c r="M235">
        <f t="array" ref="M235">IFERROR(INDEX('Work Items'!$T$6:$T$5000,SMALL(IF('Work Items'!$A$6:$A$5000="Risk",ROW('Work Items'!$A$6:$A$5000)-ROW('Work Items'!$A$6)+1),231)),"")</f>
        <v/>
      </c>
    </row>
    <row r="236">
      <c r="A236">
        <f t="array" ref="A236">IFERROR(INDEX('Work Items'!$A$6:$A$5000,SMALL(IF('Work Items'!$A$6:$A$5000="Risk",ROW('Work Items'!$A$6:$A$5000)-ROW('Work Items'!$A$6)+1),232)),"")</f>
        <v/>
      </c>
      <c r="B236">
        <f t="array" ref="B236">IFERROR(INDEX('Work Items'!$B$6:$B$5000,SMALL(IF('Work Items'!$A$6:$A$5000="Risk",ROW('Work Items'!$A$6:$A$5000)-ROW('Work Items'!$A$6)+1),232)),"")</f>
        <v/>
      </c>
      <c r="C236">
        <f>IF(E236="","",IFERROR(INDEX('Projects Master'!$A:$A,MATCH(E236,'Projects Master'!$B:$B,0)),"OrgRisk"))</f>
        <v/>
      </c>
      <c r="D236">
        <f t="array" ref="D236">IFERROR(INDEX('Work Items'!$C$6:$C$5000,SMALL(IF('Work Items'!$A$6:$A$5000="Risk",ROW('Work Items'!$A$6:$A$5000)-ROW('Work Items'!$A$6)+1),232)),"")</f>
        <v/>
      </c>
      <c r="E236">
        <f t="array" ref="E236">IFERROR(INDEX('Work Items'!$D$6:$D$5000,SMALL(IF('Work Items'!$A$6:$A$5000="Risk",ROW('Work Items'!$A$6:$A$5000)-ROW('Work Items'!$A$6)+1),232)),"")</f>
        <v/>
      </c>
      <c r="F236">
        <f t="array" ref="F236">IFERROR(INDEX('Work Items'!$E$6:$E$5000,SMALL(IF('Work Items'!$A$6:$A$5000="Risk",ROW('Work Items'!$A$6:$A$5000)-ROW('Work Items'!$A$6)+1),232)),"")</f>
        <v/>
      </c>
      <c r="G236">
        <f t="array" ref="G236">IFERROR(INDEX('Work Items'!$F$6:$F$5000,SMALL(IF('Work Items'!$A$6:$A$5000="Risk",ROW('Work Items'!$A$6:$A$5000)-ROW('Work Items'!$A$6)+1),232)),"")</f>
        <v/>
      </c>
      <c r="H236">
        <f t="array" ref="H236">IFERROR(INDEX('Work Items'!$J$6:$J$5000,SMALL(IF('Work Items'!$A$6:$A$5000="Risk",ROW('Work Items'!$A$6:$A$5000)-ROW('Work Items'!$A$6)+1),232)),"")</f>
        <v/>
      </c>
      <c r="I236">
        <f t="array" ref="I236">IFERROR(INDEX('Work Items'!$K$6:$K$5000,SMALL(IF('Work Items'!$A$6:$A$5000="Risk",ROW('Work Items'!$A$6:$A$5000)-ROW('Work Items'!$A$6)+1),232)),"")</f>
        <v/>
      </c>
      <c r="J236">
        <f t="array" ref="J236">IFERROR(INDEX('Work Items'!$L$6:$L$5000,SMALL(IF('Work Items'!$A$6:$A$5000="Risk",ROW('Work Items'!$A$6:$A$5000)-ROW('Work Items'!$A$6)+1),232)),"")</f>
        <v/>
      </c>
      <c r="K236">
        <f t="array" ref="K236">IFERROR(IF(AND(INDEX('Work Items'!$R$6:$R$5000,SMALL(IF('Work Items'!$A$6:$A$5000="Risk",ROW('Work Items'!$A$6:$A$5000)-ROW('Work Items'!$A$6)+1),232))&lt;&gt;"",INDEX('Work Items'!$S$6:$S$5000,SMALL(IF('Work Items'!$A$6:$A$5000="Risk",ROW('Work Items'!$A$6:$A$5000)-ROW('Work Items'!$A$6)+1),232))&lt;&gt;""),INDEX('Work Items'!$R$6:$R$5000,SMALL(IF('Work Items'!$A$6:$A$5000="Risk",ROW('Work Items'!$A$6:$A$5000)-ROW('Work Items'!$A$6)+1),232))*INDEX('Work Items'!$S$6:$S$5000,SMALL(IF('Work Items'!$A$6:$A$5000="Risk",ROW('Work Items'!$A$6:$A$5000)-ROW('Work Items'!$A$6)+1),232)),INDEX('Work Items'!$U$6:$U$5000,SMALL(IF('Work Items'!$A$6:$A$5000="Risk",ROW('Work Items'!$A$6:$A$5000)-ROW('Work Items'!$A$6)+1),232))),"")</f>
        <v/>
      </c>
      <c r="L236" s="217">
        <f t="array" ref="L236">IFERROR(INDEX('Work Items'!$Q$6:$Q$5000,SMALL(IF('Work Items'!$A$6:$A$5000="Risk",ROW('Work Items'!$A$6:$A$5000)-ROW('Work Items'!$A$6)+1),232)),"")</f>
        <v/>
      </c>
      <c r="M236">
        <f t="array" ref="M236">IFERROR(INDEX('Work Items'!$T$6:$T$5000,SMALL(IF('Work Items'!$A$6:$A$5000="Risk",ROW('Work Items'!$A$6:$A$5000)-ROW('Work Items'!$A$6)+1),232)),"")</f>
        <v/>
      </c>
    </row>
    <row r="237">
      <c r="A237">
        <f t="array" ref="A237">IFERROR(INDEX('Work Items'!$A$6:$A$5000,SMALL(IF('Work Items'!$A$6:$A$5000="Risk",ROW('Work Items'!$A$6:$A$5000)-ROW('Work Items'!$A$6)+1),233)),"")</f>
        <v/>
      </c>
      <c r="B237">
        <f t="array" ref="B237">IFERROR(INDEX('Work Items'!$B$6:$B$5000,SMALL(IF('Work Items'!$A$6:$A$5000="Risk",ROW('Work Items'!$A$6:$A$5000)-ROW('Work Items'!$A$6)+1),233)),"")</f>
        <v/>
      </c>
      <c r="C237">
        <f>IF(E237="","",IFERROR(INDEX('Projects Master'!$A:$A,MATCH(E237,'Projects Master'!$B:$B,0)),"OrgRisk"))</f>
        <v/>
      </c>
      <c r="D237">
        <f t="array" ref="D237">IFERROR(INDEX('Work Items'!$C$6:$C$5000,SMALL(IF('Work Items'!$A$6:$A$5000="Risk",ROW('Work Items'!$A$6:$A$5000)-ROW('Work Items'!$A$6)+1),233)),"")</f>
        <v/>
      </c>
      <c r="E237">
        <f t="array" ref="E237">IFERROR(INDEX('Work Items'!$D$6:$D$5000,SMALL(IF('Work Items'!$A$6:$A$5000="Risk",ROW('Work Items'!$A$6:$A$5000)-ROW('Work Items'!$A$6)+1),233)),"")</f>
        <v/>
      </c>
      <c r="F237">
        <f t="array" ref="F237">IFERROR(INDEX('Work Items'!$E$6:$E$5000,SMALL(IF('Work Items'!$A$6:$A$5000="Risk",ROW('Work Items'!$A$6:$A$5000)-ROW('Work Items'!$A$6)+1),233)),"")</f>
        <v/>
      </c>
      <c r="G237">
        <f t="array" ref="G237">IFERROR(INDEX('Work Items'!$F$6:$F$5000,SMALL(IF('Work Items'!$A$6:$A$5000="Risk",ROW('Work Items'!$A$6:$A$5000)-ROW('Work Items'!$A$6)+1),233)),"")</f>
        <v/>
      </c>
      <c r="H237">
        <f t="array" ref="H237">IFERROR(INDEX('Work Items'!$J$6:$J$5000,SMALL(IF('Work Items'!$A$6:$A$5000="Risk",ROW('Work Items'!$A$6:$A$5000)-ROW('Work Items'!$A$6)+1),233)),"")</f>
        <v/>
      </c>
      <c r="I237">
        <f t="array" ref="I237">IFERROR(INDEX('Work Items'!$K$6:$K$5000,SMALL(IF('Work Items'!$A$6:$A$5000="Risk",ROW('Work Items'!$A$6:$A$5000)-ROW('Work Items'!$A$6)+1),233)),"")</f>
        <v/>
      </c>
      <c r="J237">
        <f t="array" ref="J237">IFERROR(INDEX('Work Items'!$L$6:$L$5000,SMALL(IF('Work Items'!$A$6:$A$5000="Risk",ROW('Work Items'!$A$6:$A$5000)-ROW('Work Items'!$A$6)+1),233)),"")</f>
        <v/>
      </c>
      <c r="K237">
        <f t="array" ref="K237">IFERROR(IF(AND(INDEX('Work Items'!$R$6:$R$5000,SMALL(IF('Work Items'!$A$6:$A$5000="Risk",ROW('Work Items'!$A$6:$A$5000)-ROW('Work Items'!$A$6)+1),233))&lt;&gt;"",INDEX('Work Items'!$S$6:$S$5000,SMALL(IF('Work Items'!$A$6:$A$5000="Risk",ROW('Work Items'!$A$6:$A$5000)-ROW('Work Items'!$A$6)+1),233))&lt;&gt;""),INDEX('Work Items'!$R$6:$R$5000,SMALL(IF('Work Items'!$A$6:$A$5000="Risk",ROW('Work Items'!$A$6:$A$5000)-ROW('Work Items'!$A$6)+1),233))*INDEX('Work Items'!$S$6:$S$5000,SMALL(IF('Work Items'!$A$6:$A$5000="Risk",ROW('Work Items'!$A$6:$A$5000)-ROW('Work Items'!$A$6)+1),233)),INDEX('Work Items'!$U$6:$U$5000,SMALL(IF('Work Items'!$A$6:$A$5000="Risk",ROW('Work Items'!$A$6:$A$5000)-ROW('Work Items'!$A$6)+1),233))),"")</f>
        <v/>
      </c>
      <c r="L237" s="217">
        <f t="array" ref="L237">IFERROR(INDEX('Work Items'!$Q$6:$Q$5000,SMALL(IF('Work Items'!$A$6:$A$5000="Risk",ROW('Work Items'!$A$6:$A$5000)-ROW('Work Items'!$A$6)+1),233)),"")</f>
        <v/>
      </c>
      <c r="M237">
        <f t="array" ref="M237">IFERROR(INDEX('Work Items'!$T$6:$T$5000,SMALL(IF('Work Items'!$A$6:$A$5000="Risk",ROW('Work Items'!$A$6:$A$5000)-ROW('Work Items'!$A$6)+1),233)),"")</f>
        <v/>
      </c>
    </row>
    <row r="238">
      <c r="A238">
        <f t="array" ref="A238">IFERROR(INDEX('Work Items'!$A$6:$A$5000,SMALL(IF('Work Items'!$A$6:$A$5000="Risk",ROW('Work Items'!$A$6:$A$5000)-ROW('Work Items'!$A$6)+1),234)),"")</f>
        <v/>
      </c>
      <c r="B238">
        <f t="array" ref="B238">IFERROR(INDEX('Work Items'!$B$6:$B$5000,SMALL(IF('Work Items'!$A$6:$A$5000="Risk",ROW('Work Items'!$A$6:$A$5000)-ROW('Work Items'!$A$6)+1),234)),"")</f>
        <v/>
      </c>
      <c r="C238">
        <f>IF(E238="","",IFERROR(INDEX('Projects Master'!$A:$A,MATCH(E238,'Projects Master'!$B:$B,0)),"OrgRisk"))</f>
        <v/>
      </c>
      <c r="D238">
        <f t="array" ref="D238">IFERROR(INDEX('Work Items'!$C$6:$C$5000,SMALL(IF('Work Items'!$A$6:$A$5000="Risk",ROW('Work Items'!$A$6:$A$5000)-ROW('Work Items'!$A$6)+1),234)),"")</f>
        <v/>
      </c>
      <c r="E238">
        <f t="array" ref="E238">IFERROR(INDEX('Work Items'!$D$6:$D$5000,SMALL(IF('Work Items'!$A$6:$A$5000="Risk",ROW('Work Items'!$A$6:$A$5000)-ROW('Work Items'!$A$6)+1),234)),"")</f>
        <v/>
      </c>
      <c r="F238">
        <f t="array" ref="F238">IFERROR(INDEX('Work Items'!$E$6:$E$5000,SMALL(IF('Work Items'!$A$6:$A$5000="Risk",ROW('Work Items'!$A$6:$A$5000)-ROW('Work Items'!$A$6)+1),234)),"")</f>
        <v/>
      </c>
      <c r="G238">
        <f t="array" ref="G238">IFERROR(INDEX('Work Items'!$F$6:$F$5000,SMALL(IF('Work Items'!$A$6:$A$5000="Risk",ROW('Work Items'!$A$6:$A$5000)-ROW('Work Items'!$A$6)+1),234)),"")</f>
        <v/>
      </c>
      <c r="H238">
        <f t="array" ref="H238">IFERROR(INDEX('Work Items'!$J$6:$J$5000,SMALL(IF('Work Items'!$A$6:$A$5000="Risk",ROW('Work Items'!$A$6:$A$5000)-ROW('Work Items'!$A$6)+1),234)),"")</f>
        <v/>
      </c>
      <c r="I238">
        <f t="array" ref="I238">IFERROR(INDEX('Work Items'!$K$6:$K$5000,SMALL(IF('Work Items'!$A$6:$A$5000="Risk",ROW('Work Items'!$A$6:$A$5000)-ROW('Work Items'!$A$6)+1),234)),"")</f>
        <v/>
      </c>
      <c r="J238">
        <f t="array" ref="J238">IFERROR(INDEX('Work Items'!$L$6:$L$5000,SMALL(IF('Work Items'!$A$6:$A$5000="Risk",ROW('Work Items'!$A$6:$A$5000)-ROW('Work Items'!$A$6)+1),234)),"")</f>
        <v/>
      </c>
      <c r="K238">
        <f t="array" ref="K238">IFERROR(IF(AND(INDEX('Work Items'!$R$6:$R$5000,SMALL(IF('Work Items'!$A$6:$A$5000="Risk",ROW('Work Items'!$A$6:$A$5000)-ROW('Work Items'!$A$6)+1),234))&lt;&gt;"",INDEX('Work Items'!$S$6:$S$5000,SMALL(IF('Work Items'!$A$6:$A$5000="Risk",ROW('Work Items'!$A$6:$A$5000)-ROW('Work Items'!$A$6)+1),234))&lt;&gt;""),INDEX('Work Items'!$R$6:$R$5000,SMALL(IF('Work Items'!$A$6:$A$5000="Risk",ROW('Work Items'!$A$6:$A$5000)-ROW('Work Items'!$A$6)+1),234))*INDEX('Work Items'!$S$6:$S$5000,SMALL(IF('Work Items'!$A$6:$A$5000="Risk",ROW('Work Items'!$A$6:$A$5000)-ROW('Work Items'!$A$6)+1),234)),INDEX('Work Items'!$U$6:$U$5000,SMALL(IF('Work Items'!$A$6:$A$5000="Risk",ROW('Work Items'!$A$6:$A$5000)-ROW('Work Items'!$A$6)+1),234))),"")</f>
        <v/>
      </c>
      <c r="L238" s="217">
        <f t="array" ref="L238">IFERROR(INDEX('Work Items'!$Q$6:$Q$5000,SMALL(IF('Work Items'!$A$6:$A$5000="Risk",ROW('Work Items'!$A$6:$A$5000)-ROW('Work Items'!$A$6)+1),234)),"")</f>
        <v/>
      </c>
      <c r="M238">
        <f t="array" ref="M238">IFERROR(INDEX('Work Items'!$T$6:$T$5000,SMALL(IF('Work Items'!$A$6:$A$5000="Risk",ROW('Work Items'!$A$6:$A$5000)-ROW('Work Items'!$A$6)+1),234)),"")</f>
        <v/>
      </c>
    </row>
    <row r="239">
      <c r="A239">
        <f t="array" ref="A239">IFERROR(INDEX('Work Items'!$A$6:$A$5000,SMALL(IF('Work Items'!$A$6:$A$5000="Risk",ROW('Work Items'!$A$6:$A$5000)-ROW('Work Items'!$A$6)+1),235)),"")</f>
        <v/>
      </c>
      <c r="B239">
        <f t="array" ref="B239">IFERROR(INDEX('Work Items'!$B$6:$B$5000,SMALL(IF('Work Items'!$A$6:$A$5000="Risk",ROW('Work Items'!$A$6:$A$5000)-ROW('Work Items'!$A$6)+1),235)),"")</f>
        <v/>
      </c>
      <c r="C239">
        <f>IF(E239="","",IFERROR(INDEX('Projects Master'!$A:$A,MATCH(E239,'Projects Master'!$B:$B,0)),"OrgRisk"))</f>
        <v/>
      </c>
      <c r="D239">
        <f t="array" ref="D239">IFERROR(INDEX('Work Items'!$C$6:$C$5000,SMALL(IF('Work Items'!$A$6:$A$5000="Risk",ROW('Work Items'!$A$6:$A$5000)-ROW('Work Items'!$A$6)+1),235)),"")</f>
        <v/>
      </c>
      <c r="E239">
        <f t="array" ref="E239">IFERROR(INDEX('Work Items'!$D$6:$D$5000,SMALL(IF('Work Items'!$A$6:$A$5000="Risk",ROW('Work Items'!$A$6:$A$5000)-ROW('Work Items'!$A$6)+1),235)),"")</f>
        <v/>
      </c>
      <c r="F239">
        <f t="array" ref="F239">IFERROR(INDEX('Work Items'!$E$6:$E$5000,SMALL(IF('Work Items'!$A$6:$A$5000="Risk",ROW('Work Items'!$A$6:$A$5000)-ROW('Work Items'!$A$6)+1),235)),"")</f>
        <v/>
      </c>
      <c r="G239">
        <f t="array" ref="G239">IFERROR(INDEX('Work Items'!$F$6:$F$5000,SMALL(IF('Work Items'!$A$6:$A$5000="Risk",ROW('Work Items'!$A$6:$A$5000)-ROW('Work Items'!$A$6)+1),235)),"")</f>
        <v/>
      </c>
      <c r="H239">
        <f t="array" ref="H239">IFERROR(INDEX('Work Items'!$J$6:$J$5000,SMALL(IF('Work Items'!$A$6:$A$5000="Risk",ROW('Work Items'!$A$6:$A$5000)-ROW('Work Items'!$A$6)+1),235)),"")</f>
        <v/>
      </c>
      <c r="I239">
        <f t="array" ref="I239">IFERROR(INDEX('Work Items'!$K$6:$K$5000,SMALL(IF('Work Items'!$A$6:$A$5000="Risk",ROW('Work Items'!$A$6:$A$5000)-ROW('Work Items'!$A$6)+1),235)),"")</f>
        <v/>
      </c>
      <c r="J239">
        <f t="array" ref="J239">IFERROR(INDEX('Work Items'!$L$6:$L$5000,SMALL(IF('Work Items'!$A$6:$A$5000="Risk",ROW('Work Items'!$A$6:$A$5000)-ROW('Work Items'!$A$6)+1),235)),"")</f>
        <v/>
      </c>
      <c r="K239">
        <f t="array" ref="K239">IFERROR(IF(AND(INDEX('Work Items'!$R$6:$R$5000,SMALL(IF('Work Items'!$A$6:$A$5000="Risk",ROW('Work Items'!$A$6:$A$5000)-ROW('Work Items'!$A$6)+1),235))&lt;&gt;"",INDEX('Work Items'!$S$6:$S$5000,SMALL(IF('Work Items'!$A$6:$A$5000="Risk",ROW('Work Items'!$A$6:$A$5000)-ROW('Work Items'!$A$6)+1),235))&lt;&gt;""),INDEX('Work Items'!$R$6:$R$5000,SMALL(IF('Work Items'!$A$6:$A$5000="Risk",ROW('Work Items'!$A$6:$A$5000)-ROW('Work Items'!$A$6)+1),235))*INDEX('Work Items'!$S$6:$S$5000,SMALL(IF('Work Items'!$A$6:$A$5000="Risk",ROW('Work Items'!$A$6:$A$5000)-ROW('Work Items'!$A$6)+1),235)),INDEX('Work Items'!$U$6:$U$5000,SMALL(IF('Work Items'!$A$6:$A$5000="Risk",ROW('Work Items'!$A$6:$A$5000)-ROW('Work Items'!$A$6)+1),235))),"")</f>
        <v/>
      </c>
      <c r="L239" s="217">
        <f t="array" ref="L239">IFERROR(INDEX('Work Items'!$Q$6:$Q$5000,SMALL(IF('Work Items'!$A$6:$A$5000="Risk",ROW('Work Items'!$A$6:$A$5000)-ROW('Work Items'!$A$6)+1),235)),"")</f>
        <v/>
      </c>
      <c r="M239">
        <f t="array" ref="M239">IFERROR(INDEX('Work Items'!$T$6:$T$5000,SMALL(IF('Work Items'!$A$6:$A$5000="Risk",ROW('Work Items'!$A$6:$A$5000)-ROW('Work Items'!$A$6)+1),235)),"")</f>
        <v/>
      </c>
    </row>
    <row r="240">
      <c r="A240">
        <f t="array" ref="A240">IFERROR(INDEX('Work Items'!$A$6:$A$5000,SMALL(IF('Work Items'!$A$6:$A$5000="Risk",ROW('Work Items'!$A$6:$A$5000)-ROW('Work Items'!$A$6)+1),236)),"")</f>
        <v/>
      </c>
      <c r="B240">
        <f t="array" ref="B240">IFERROR(INDEX('Work Items'!$B$6:$B$5000,SMALL(IF('Work Items'!$A$6:$A$5000="Risk",ROW('Work Items'!$A$6:$A$5000)-ROW('Work Items'!$A$6)+1),236)),"")</f>
        <v/>
      </c>
      <c r="C240">
        <f>IF(E240="","",IFERROR(INDEX('Projects Master'!$A:$A,MATCH(E240,'Projects Master'!$B:$B,0)),"OrgRisk"))</f>
        <v/>
      </c>
      <c r="D240">
        <f t="array" ref="D240">IFERROR(INDEX('Work Items'!$C$6:$C$5000,SMALL(IF('Work Items'!$A$6:$A$5000="Risk",ROW('Work Items'!$A$6:$A$5000)-ROW('Work Items'!$A$6)+1),236)),"")</f>
        <v/>
      </c>
      <c r="E240">
        <f t="array" ref="E240">IFERROR(INDEX('Work Items'!$D$6:$D$5000,SMALL(IF('Work Items'!$A$6:$A$5000="Risk",ROW('Work Items'!$A$6:$A$5000)-ROW('Work Items'!$A$6)+1),236)),"")</f>
        <v/>
      </c>
      <c r="F240">
        <f t="array" ref="F240">IFERROR(INDEX('Work Items'!$E$6:$E$5000,SMALL(IF('Work Items'!$A$6:$A$5000="Risk",ROW('Work Items'!$A$6:$A$5000)-ROW('Work Items'!$A$6)+1),236)),"")</f>
        <v/>
      </c>
      <c r="G240">
        <f t="array" ref="G240">IFERROR(INDEX('Work Items'!$F$6:$F$5000,SMALL(IF('Work Items'!$A$6:$A$5000="Risk",ROW('Work Items'!$A$6:$A$5000)-ROW('Work Items'!$A$6)+1),236)),"")</f>
        <v/>
      </c>
      <c r="H240">
        <f t="array" ref="H240">IFERROR(INDEX('Work Items'!$J$6:$J$5000,SMALL(IF('Work Items'!$A$6:$A$5000="Risk",ROW('Work Items'!$A$6:$A$5000)-ROW('Work Items'!$A$6)+1),236)),"")</f>
        <v/>
      </c>
      <c r="I240">
        <f t="array" ref="I240">IFERROR(INDEX('Work Items'!$K$6:$K$5000,SMALL(IF('Work Items'!$A$6:$A$5000="Risk",ROW('Work Items'!$A$6:$A$5000)-ROW('Work Items'!$A$6)+1),236)),"")</f>
        <v/>
      </c>
      <c r="J240">
        <f t="array" ref="J240">IFERROR(INDEX('Work Items'!$L$6:$L$5000,SMALL(IF('Work Items'!$A$6:$A$5000="Risk",ROW('Work Items'!$A$6:$A$5000)-ROW('Work Items'!$A$6)+1),236)),"")</f>
        <v/>
      </c>
      <c r="K240">
        <f t="array" ref="K240">IFERROR(IF(AND(INDEX('Work Items'!$R$6:$R$5000,SMALL(IF('Work Items'!$A$6:$A$5000="Risk",ROW('Work Items'!$A$6:$A$5000)-ROW('Work Items'!$A$6)+1),236))&lt;&gt;"",INDEX('Work Items'!$S$6:$S$5000,SMALL(IF('Work Items'!$A$6:$A$5000="Risk",ROW('Work Items'!$A$6:$A$5000)-ROW('Work Items'!$A$6)+1),236))&lt;&gt;""),INDEX('Work Items'!$R$6:$R$5000,SMALL(IF('Work Items'!$A$6:$A$5000="Risk",ROW('Work Items'!$A$6:$A$5000)-ROW('Work Items'!$A$6)+1),236))*INDEX('Work Items'!$S$6:$S$5000,SMALL(IF('Work Items'!$A$6:$A$5000="Risk",ROW('Work Items'!$A$6:$A$5000)-ROW('Work Items'!$A$6)+1),236)),INDEX('Work Items'!$U$6:$U$5000,SMALL(IF('Work Items'!$A$6:$A$5000="Risk",ROW('Work Items'!$A$6:$A$5000)-ROW('Work Items'!$A$6)+1),236))),"")</f>
        <v/>
      </c>
      <c r="L240" s="217">
        <f t="array" ref="L240">IFERROR(INDEX('Work Items'!$Q$6:$Q$5000,SMALL(IF('Work Items'!$A$6:$A$5000="Risk",ROW('Work Items'!$A$6:$A$5000)-ROW('Work Items'!$A$6)+1),236)),"")</f>
        <v/>
      </c>
      <c r="M240">
        <f t="array" ref="M240">IFERROR(INDEX('Work Items'!$T$6:$T$5000,SMALL(IF('Work Items'!$A$6:$A$5000="Risk",ROW('Work Items'!$A$6:$A$5000)-ROW('Work Items'!$A$6)+1),236)),"")</f>
        <v/>
      </c>
    </row>
    <row r="241">
      <c r="A241">
        <f t="array" ref="A241">IFERROR(INDEX('Work Items'!$A$6:$A$5000,SMALL(IF('Work Items'!$A$6:$A$5000="Risk",ROW('Work Items'!$A$6:$A$5000)-ROW('Work Items'!$A$6)+1),237)),"")</f>
        <v/>
      </c>
      <c r="B241">
        <f t="array" ref="B241">IFERROR(INDEX('Work Items'!$B$6:$B$5000,SMALL(IF('Work Items'!$A$6:$A$5000="Risk",ROW('Work Items'!$A$6:$A$5000)-ROW('Work Items'!$A$6)+1),237)),"")</f>
        <v/>
      </c>
      <c r="C241">
        <f>IF(E241="","",IFERROR(INDEX('Projects Master'!$A:$A,MATCH(E241,'Projects Master'!$B:$B,0)),"OrgRisk"))</f>
        <v/>
      </c>
      <c r="D241">
        <f t="array" ref="D241">IFERROR(INDEX('Work Items'!$C$6:$C$5000,SMALL(IF('Work Items'!$A$6:$A$5000="Risk",ROW('Work Items'!$A$6:$A$5000)-ROW('Work Items'!$A$6)+1),237)),"")</f>
        <v/>
      </c>
      <c r="E241">
        <f t="array" ref="E241">IFERROR(INDEX('Work Items'!$D$6:$D$5000,SMALL(IF('Work Items'!$A$6:$A$5000="Risk",ROW('Work Items'!$A$6:$A$5000)-ROW('Work Items'!$A$6)+1),237)),"")</f>
        <v/>
      </c>
      <c r="F241">
        <f t="array" ref="F241">IFERROR(INDEX('Work Items'!$E$6:$E$5000,SMALL(IF('Work Items'!$A$6:$A$5000="Risk",ROW('Work Items'!$A$6:$A$5000)-ROW('Work Items'!$A$6)+1),237)),"")</f>
        <v/>
      </c>
      <c r="G241">
        <f t="array" ref="G241">IFERROR(INDEX('Work Items'!$F$6:$F$5000,SMALL(IF('Work Items'!$A$6:$A$5000="Risk",ROW('Work Items'!$A$6:$A$5000)-ROW('Work Items'!$A$6)+1),237)),"")</f>
        <v/>
      </c>
      <c r="H241">
        <f t="array" ref="H241">IFERROR(INDEX('Work Items'!$J$6:$J$5000,SMALL(IF('Work Items'!$A$6:$A$5000="Risk",ROW('Work Items'!$A$6:$A$5000)-ROW('Work Items'!$A$6)+1),237)),"")</f>
        <v/>
      </c>
      <c r="I241">
        <f t="array" ref="I241">IFERROR(INDEX('Work Items'!$K$6:$K$5000,SMALL(IF('Work Items'!$A$6:$A$5000="Risk",ROW('Work Items'!$A$6:$A$5000)-ROW('Work Items'!$A$6)+1),237)),"")</f>
        <v/>
      </c>
      <c r="J241">
        <f t="array" ref="J241">IFERROR(INDEX('Work Items'!$L$6:$L$5000,SMALL(IF('Work Items'!$A$6:$A$5000="Risk",ROW('Work Items'!$A$6:$A$5000)-ROW('Work Items'!$A$6)+1),237)),"")</f>
        <v/>
      </c>
      <c r="K241">
        <f t="array" ref="K241">IFERROR(IF(AND(INDEX('Work Items'!$R$6:$R$5000,SMALL(IF('Work Items'!$A$6:$A$5000="Risk",ROW('Work Items'!$A$6:$A$5000)-ROW('Work Items'!$A$6)+1),237))&lt;&gt;"",INDEX('Work Items'!$S$6:$S$5000,SMALL(IF('Work Items'!$A$6:$A$5000="Risk",ROW('Work Items'!$A$6:$A$5000)-ROW('Work Items'!$A$6)+1),237))&lt;&gt;""),INDEX('Work Items'!$R$6:$R$5000,SMALL(IF('Work Items'!$A$6:$A$5000="Risk",ROW('Work Items'!$A$6:$A$5000)-ROW('Work Items'!$A$6)+1),237))*INDEX('Work Items'!$S$6:$S$5000,SMALL(IF('Work Items'!$A$6:$A$5000="Risk",ROW('Work Items'!$A$6:$A$5000)-ROW('Work Items'!$A$6)+1),237)),INDEX('Work Items'!$U$6:$U$5000,SMALL(IF('Work Items'!$A$6:$A$5000="Risk",ROW('Work Items'!$A$6:$A$5000)-ROW('Work Items'!$A$6)+1),237))),"")</f>
        <v/>
      </c>
      <c r="L241" s="217">
        <f t="array" ref="L241">IFERROR(INDEX('Work Items'!$Q$6:$Q$5000,SMALL(IF('Work Items'!$A$6:$A$5000="Risk",ROW('Work Items'!$A$6:$A$5000)-ROW('Work Items'!$A$6)+1),237)),"")</f>
        <v/>
      </c>
      <c r="M241">
        <f t="array" ref="M241">IFERROR(INDEX('Work Items'!$T$6:$T$5000,SMALL(IF('Work Items'!$A$6:$A$5000="Risk",ROW('Work Items'!$A$6:$A$5000)-ROW('Work Items'!$A$6)+1),237)),"")</f>
        <v/>
      </c>
    </row>
    <row r="242">
      <c r="A242">
        <f t="array" ref="A242">IFERROR(INDEX('Work Items'!$A$6:$A$5000,SMALL(IF('Work Items'!$A$6:$A$5000="Risk",ROW('Work Items'!$A$6:$A$5000)-ROW('Work Items'!$A$6)+1),238)),"")</f>
        <v/>
      </c>
      <c r="B242">
        <f t="array" ref="B242">IFERROR(INDEX('Work Items'!$B$6:$B$5000,SMALL(IF('Work Items'!$A$6:$A$5000="Risk",ROW('Work Items'!$A$6:$A$5000)-ROW('Work Items'!$A$6)+1),238)),"")</f>
        <v/>
      </c>
      <c r="C242">
        <f>IF(E242="","",IFERROR(INDEX('Projects Master'!$A:$A,MATCH(E242,'Projects Master'!$B:$B,0)),"OrgRisk"))</f>
        <v/>
      </c>
      <c r="D242">
        <f t="array" ref="D242">IFERROR(INDEX('Work Items'!$C$6:$C$5000,SMALL(IF('Work Items'!$A$6:$A$5000="Risk",ROW('Work Items'!$A$6:$A$5000)-ROW('Work Items'!$A$6)+1),238)),"")</f>
        <v/>
      </c>
      <c r="E242">
        <f t="array" ref="E242">IFERROR(INDEX('Work Items'!$D$6:$D$5000,SMALL(IF('Work Items'!$A$6:$A$5000="Risk",ROW('Work Items'!$A$6:$A$5000)-ROW('Work Items'!$A$6)+1),238)),"")</f>
        <v/>
      </c>
      <c r="F242">
        <f t="array" ref="F242">IFERROR(INDEX('Work Items'!$E$6:$E$5000,SMALL(IF('Work Items'!$A$6:$A$5000="Risk",ROW('Work Items'!$A$6:$A$5000)-ROW('Work Items'!$A$6)+1),238)),"")</f>
        <v/>
      </c>
      <c r="G242">
        <f t="array" ref="G242">IFERROR(INDEX('Work Items'!$F$6:$F$5000,SMALL(IF('Work Items'!$A$6:$A$5000="Risk",ROW('Work Items'!$A$6:$A$5000)-ROW('Work Items'!$A$6)+1),238)),"")</f>
        <v/>
      </c>
      <c r="H242">
        <f t="array" ref="H242">IFERROR(INDEX('Work Items'!$J$6:$J$5000,SMALL(IF('Work Items'!$A$6:$A$5000="Risk",ROW('Work Items'!$A$6:$A$5000)-ROW('Work Items'!$A$6)+1),238)),"")</f>
        <v/>
      </c>
      <c r="I242">
        <f t="array" ref="I242">IFERROR(INDEX('Work Items'!$K$6:$K$5000,SMALL(IF('Work Items'!$A$6:$A$5000="Risk",ROW('Work Items'!$A$6:$A$5000)-ROW('Work Items'!$A$6)+1),238)),"")</f>
        <v/>
      </c>
      <c r="J242">
        <f t="array" ref="J242">IFERROR(INDEX('Work Items'!$L$6:$L$5000,SMALL(IF('Work Items'!$A$6:$A$5000="Risk",ROW('Work Items'!$A$6:$A$5000)-ROW('Work Items'!$A$6)+1),238)),"")</f>
        <v/>
      </c>
      <c r="K242">
        <f t="array" ref="K242">IFERROR(IF(AND(INDEX('Work Items'!$R$6:$R$5000,SMALL(IF('Work Items'!$A$6:$A$5000="Risk",ROW('Work Items'!$A$6:$A$5000)-ROW('Work Items'!$A$6)+1),238))&lt;&gt;"",INDEX('Work Items'!$S$6:$S$5000,SMALL(IF('Work Items'!$A$6:$A$5000="Risk",ROW('Work Items'!$A$6:$A$5000)-ROW('Work Items'!$A$6)+1),238))&lt;&gt;""),INDEX('Work Items'!$R$6:$R$5000,SMALL(IF('Work Items'!$A$6:$A$5000="Risk",ROW('Work Items'!$A$6:$A$5000)-ROW('Work Items'!$A$6)+1),238))*INDEX('Work Items'!$S$6:$S$5000,SMALL(IF('Work Items'!$A$6:$A$5000="Risk",ROW('Work Items'!$A$6:$A$5000)-ROW('Work Items'!$A$6)+1),238)),INDEX('Work Items'!$U$6:$U$5000,SMALL(IF('Work Items'!$A$6:$A$5000="Risk",ROW('Work Items'!$A$6:$A$5000)-ROW('Work Items'!$A$6)+1),238))),"")</f>
        <v/>
      </c>
      <c r="L242" s="217">
        <f t="array" ref="L242">IFERROR(INDEX('Work Items'!$Q$6:$Q$5000,SMALL(IF('Work Items'!$A$6:$A$5000="Risk",ROW('Work Items'!$A$6:$A$5000)-ROW('Work Items'!$A$6)+1),238)),"")</f>
        <v/>
      </c>
      <c r="M242">
        <f t="array" ref="M242">IFERROR(INDEX('Work Items'!$T$6:$T$5000,SMALL(IF('Work Items'!$A$6:$A$5000="Risk",ROW('Work Items'!$A$6:$A$5000)-ROW('Work Items'!$A$6)+1),238)),"")</f>
        <v/>
      </c>
    </row>
    <row r="243">
      <c r="A243">
        <f t="array" ref="A243">IFERROR(INDEX('Work Items'!$A$6:$A$5000,SMALL(IF('Work Items'!$A$6:$A$5000="Risk",ROW('Work Items'!$A$6:$A$5000)-ROW('Work Items'!$A$6)+1),239)),"")</f>
        <v/>
      </c>
      <c r="B243">
        <f t="array" ref="B243">IFERROR(INDEX('Work Items'!$B$6:$B$5000,SMALL(IF('Work Items'!$A$6:$A$5000="Risk",ROW('Work Items'!$A$6:$A$5000)-ROW('Work Items'!$A$6)+1),239)),"")</f>
        <v/>
      </c>
      <c r="C243">
        <f>IF(E243="","",IFERROR(INDEX('Projects Master'!$A:$A,MATCH(E243,'Projects Master'!$B:$B,0)),"OrgRisk"))</f>
        <v/>
      </c>
      <c r="D243">
        <f t="array" ref="D243">IFERROR(INDEX('Work Items'!$C$6:$C$5000,SMALL(IF('Work Items'!$A$6:$A$5000="Risk",ROW('Work Items'!$A$6:$A$5000)-ROW('Work Items'!$A$6)+1),239)),"")</f>
        <v/>
      </c>
      <c r="E243">
        <f t="array" ref="E243">IFERROR(INDEX('Work Items'!$D$6:$D$5000,SMALL(IF('Work Items'!$A$6:$A$5000="Risk",ROW('Work Items'!$A$6:$A$5000)-ROW('Work Items'!$A$6)+1),239)),"")</f>
        <v/>
      </c>
      <c r="F243">
        <f t="array" ref="F243">IFERROR(INDEX('Work Items'!$E$6:$E$5000,SMALL(IF('Work Items'!$A$6:$A$5000="Risk",ROW('Work Items'!$A$6:$A$5000)-ROW('Work Items'!$A$6)+1),239)),"")</f>
        <v/>
      </c>
      <c r="G243">
        <f t="array" ref="G243">IFERROR(INDEX('Work Items'!$F$6:$F$5000,SMALL(IF('Work Items'!$A$6:$A$5000="Risk",ROW('Work Items'!$A$6:$A$5000)-ROW('Work Items'!$A$6)+1),239)),"")</f>
        <v/>
      </c>
      <c r="H243">
        <f t="array" ref="H243">IFERROR(INDEX('Work Items'!$J$6:$J$5000,SMALL(IF('Work Items'!$A$6:$A$5000="Risk",ROW('Work Items'!$A$6:$A$5000)-ROW('Work Items'!$A$6)+1),239)),"")</f>
        <v/>
      </c>
      <c r="I243">
        <f t="array" ref="I243">IFERROR(INDEX('Work Items'!$K$6:$K$5000,SMALL(IF('Work Items'!$A$6:$A$5000="Risk",ROW('Work Items'!$A$6:$A$5000)-ROW('Work Items'!$A$6)+1),239)),"")</f>
        <v/>
      </c>
      <c r="J243">
        <f t="array" ref="J243">IFERROR(INDEX('Work Items'!$L$6:$L$5000,SMALL(IF('Work Items'!$A$6:$A$5000="Risk",ROW('Work Items'!$A$6:$A$5000)-ROW('Work Items'!$A$6)+1),239)),"")</f>
        <v/>
      </c>
      <c r="K243">
        <f t="array" ref="K243">IFERROR(IF(AND(INDEX('Work Items'!$R$6:$R$5000,SMALL(IF('Work Items'!$A$6:$A$5000="Risk",ROW('Work Items'!$A$6:$A$5000)-ROW('Work Items'!$A$6)+1),239))&lt;&gt;"",INDEX('Work Items'!$S$6:$S$5000,SMALL(IF('Work Items'!$A$6:$A$5000="Risk",ROW('Work Items'!$A$6:$A$5000)-ROW('Work Items'!$A$6)+1),239))&lt;&gt;""),INDEX('Work Items'!$R$6:$R$5000,SMALL(IF('Work Items'!$A$6:$A$5000="Risk",ROW('Work Items'!$A$6:$A$5000)-ROW('Work Items'!$A$6)+1),239))*INDEX('Work Items'!$S$6:$S$5000,SMALL(IF('Work Items'!$A$6:$A$5000="Risk",ROW('Work Items'!$A$6:$A$5000)-ROW('Work Items'!$A$6)+1),239)),INDEX('Work Items'!$U$6:$U$5000,SMALL(IF('Work Items'!$A$6:$A$5000="Risk",ROW('Work Items'!$A$6:$A$5000)-ROW('Work Items'!$A$6)+1),239))),"")</f>
        <v/>
      </c>
      <c r="L243" s="217">
        <f t="array" ref="L243">IFERROR(INDEX('Work Items'!$Q$6:$Q$5000,SMALL(IF('Work Items'!$A$6:$A$5000="Risk",ROW('Work Items'!$A$6:$A$5000)-ROW('Work Items'!$A$6)+1),239)),"")</f>
        <v/>
      </c>
      <c r="M243">
        <f t="array" ref="M243">IFERROR(INDEX('Work Items'!$T$6:$T$5000,SMALL(IF('Work Items'!$A$6:$A$5000="Risk",ROW('Work Items'!$A$6:$A$5000)-ROW('Work Items'!$A$6)+1),239)),"")</f>
        <v/>
      </c>
    </row>
    <row r="244">
      <c r="A244">
        <f t="array" ref="A244">IFERROR(INDEX('Work Items'!$A$6:$A$5000,SMALL(IF('Work Items'!$A$6:$A$5000="Risk",ROW('Work Items'!$A$6:$A$5000)-ROW('Work Items'!$A$6)+1),240)),"")</f>
        <v/>
      </c>
      <c r="B244">
        <f t="array" ref="B244">IFERROR(INDEX('Work Items'!$B$6:$B$5000,SMALL(IF('Work Items'!$A$6:$A$5000="Risk",ROW('Work Items'!$A$6:$A$5000)-ROW('Work Items'!$A$6)+1),240)),"")</f>
        <v/>
      </c>
      <c r="C244">
        <f>IF(E244="","",IFERROR(INDEX('Projects Master'!$A:$A,MATCH(E244,'Projects Master'!$B:$B,0)),"OrgRisk"))</f>
        <v/>
      </c>
      <c r="D244">
        <f t="array" ref="D244">IFERROR(INDEX('Work Items'!$C$6:$C$5000,SMALL(IF('Work Items'!$A$6:$A$5000="Risk",ROW('Work Items'!$A$6:$A$5000)-ROW('Work Items'!$A$6)+1),240)),"")</f>
        <v/>
      </c>
      <c r="E244">
        <f t="array" ref="E244">IFERROR(INDEX('Work Items'!$D$6:$D$5000,SMALL(IF('Work Items'!$A$6:$A$5000="Risk",ROW('Work Items'!$A$6:$A$5000)-ROW('Work Items'!$A$6)+1),240)),"")</f>
        <v/>
      </c>
      <c r="F244">
        <f t="array" ref="F244">IFERROR(INDEX('Work Items'!$E$6:$E$5000,SMALL(IF('Work Items'!$A$6:$A$5000="Risk",ROW('Work Items'!$A$6:$A$5000)-ROW('Work Items'!$A$6)+1),240)),"")</f>
        <v/>
      </c>
      <c r="G244">
        <f t="array" ref="G244">IFERROR(INDEX('Work Items'!$F$6:$F$5000,SMALL(IF('Work Items'!$A$6:$A$5000="Risk",ROW('Work Items'!$A$6:$A$5000)-ROW('Work Items'!$A$6)+1),240)),"")</f>
        <v/>
      </c>
      <c r="H244">
        <f t="array" ref="H244">IFERROR(INDEX('Work Items'!$J$6:$J$5000,SMALL(IF('Work Items'!$A$6:$A$5000="Risk",ROW('Work Items'!$A$6:$A$5000)-ROW('Work Items'!$A$6)+1),240)),"")</f>
        <v/>
      </c>
      <c r="I244">
        <f t="array" ref="I244">IFERROR(INDEX('Work Items'!$K$6:$K$5000,SMALL(IF('Work Items'!$A$6:$A$5000="Risk",ROW('Work Items'!$A$6:$A$5000)-ROW('Work Items'!$A$6)+1),240)),"")</f>
        <v/>
      </c>
      <c r="J244">
        <f t="array" ref="J244">IFERROR(INDEX('Work Items'!$L$6:$L$5000,SMALL(IF('Work Items'!$A$6:$A$5000="Risk",ROW('Work Items'!$A$6:$A$5000)-ROW('Work Items'!$A$6)+1),240)),"")</f>
        <v/>
      </c>
      <c r="K244">
        <f t="array" ref="K244">IFERROR(IF(AND(INDEX('Work Items'!$R$6:$R$5000,SMALL(IF('Work Items'!$A$6:$A$5000="Risk",ROW('Work Items'!$A$6:$A$5000)-ROW('Work Items'!$A$6)+1),240))&lt;&gt;"",INDEX('Work Items'!$S$6:$S$5000,SMALL(IF('Work Items'!$A$6:$A$5000="Risk",ROW('Work Items'!$A$6:$A$5000)-ROW('Work Items'!$A$6)+1),240))&lt;&gt;""),INDEX('Work Items'!$R$6:$R$5000,SMALL(IF('Work Items'!$A$6:$A$5000="Risk",ROW('Work Items'!$A$6:$A$5000)-ROW('Work Items'!$A$6)+1),240))*INDEX('Work Items'!$S$6:$S$5000,SMALL(IF('Work Items'!$A$6:$A$5000="Risk",ROW('Work Items'!$A$6:$A$5000)-ROW('Work Items'!$A$6)+1),240)),INDEX('Work Items'!$U$6:$U$5000,SMALL(IF('Work Items'!$A$6:$A$5000="Risk",ROW('Work Items'!$A$6:$A$5000)-ROW('Work Items'!$A$6)+1),240))),"")</f>
        <v/>
      </c>
      <c r="L244" s="217">
        <f t="array" ref="L244">IFERROR(INDEX('Work Items'!$Q$6:$Q$5000,SMALL(IF('Work Items'!$A$6:$A$5000="Risk",ROW('Work Items'!$A$6:$A$5000)-ROW('Work Items'!$A$6)+1),240)),"")</f>
        <v/>
      </c>
      <c r="M244">
        <f t="array" ref="M244">IFERROR(INDEX('Work Items'!$T$6:$T$5000,SMALL(IF('Work Items'!$A$6:$A$5000="Risk",ROW('Work Items'!$A$6:$A$5000)-ROW('Work Items'!$A$6)+1),240)),"")</f>
        <v/>
      </c>
    </row>
    <row r="245">
      <c r="A245">
        <f t="array" ref="A245">IFERROR(INDEX('Work Items'!$A$6:$A$5000,SMALL(IF('Work Items'!$A$6:$A$5000="Risk",ROW('Work Items'!$A$6:$A$5000)-ROW('Work Items'!$A$6)+1),241)),"")</f>
        <v/>
      </c>
      <c r="B245">
        <f t="array" ref="B245">IFERROR(INDEX('Work Items'!$B$6:$B$5000,SMALL(IF('Work Items'!$A$6:$A$5000="Risk",ROW('Work Items'!$A$6:$A$5000)-ROW('Work Items'!$A$6)+1),241)),"")</f>
        <v/>
      </c>
      <c r="C245">
        <f>IF(E245="","",IFERROR(INDEX('Projects Master'!$A:$A,MATCH(E245,'Projects Master'!$B:$B,0)),"OrgRisk"))</f>
        <v/>
      </c>
      <c r="D245">
        <f t="array" ref="D245">IFERROR(INDEX('Work Items'!$C$6:$C$5000,SMALL(IF('Work Items'!$A$6:$A$5000="Risk",ROW('Work Items'!$A$6:$A$5000)-ROW('Work Items'!$A$6)+1),241)),"")</f>
        <v/>
      </c>
      <c r="E245">
        <f t="array" ref="E245">IFERROR(INDEX('Work Items'!$D$6:$D$5000,SMALL(IF('Work Items'!$A$6:$A$5000="Risk",ROW('Work Items'!$A$6:$A$5000)-ROW('Work Items'!$A$6)+1),241)),"")</f>
        <v/>
      </c>
      <c r="F245">
        <f t="array" ref="F245">IFERROR(INDEX('Work Items'!$E$6:$E$5000,SMALL(IF('Work Items'!$A$6:$A$5000="Risk",ROW('Work Items'!$A$6:$A$5000)-ROW('Work Items'!$A$6)+1),241)),"")</f>
        <v/>
      </c>
      <c r="G245">
        <f t="array" ref="G245">IFERROR(INDEX('Work Items'!$F$6:$F$5000,SMALL(IF('Work Items'!$A$6:$A$5000="Risk",ROW('Work Items'!$A$6:$A$5000)-ROW('Work Items'!$A$6)+1),241)),"")</f>
        <v/>
      </c>
      <c r="H245">
        <f t="array" ref="H245">IFERROR(INDEX('Work Items'!$J$6:$J$5000,SMALL(IF('Work Items'!$A$6:$A$5000="Risk",ROW('Work Items'!$A$6:$A$5000)-ROW('Work Items'!$A$6)+1),241)),"")</f>
        <v/>
      </c>
      <c r="I245">
        <f t="array" ref="I245">IFERROR(INDEX('Work Items'!$K$6:$K$5000,SMALL(IF('Work Items'!$A$6:$A$5000="Risk",ROW('Work Items'!$A$6:$A$5000)-ROW('Work Items'!$A$6)+1),241)),"")</f>
        <v/>
      </c>
      <c r="J245">
        <f t="array" ref="J245">IFERROR(INDEX('Work Items'!$L$6:$L$5000,SMALL(IF('Work Items'!$A$6:$A$5000="Risk",ROW('Work Items'!$A$6:$A$5000)-ROW('Work Items'!$A$6)+1),241)),"")</f>
        <v/>
      </c>
      <c r="K245">
        <f t="array" ref="K245">IFERROR(IF(AND(INDEX('Work Items'!$R$6:$R$5000,SMALL(IF('Work Items'!$A$6:$A$5000="Risk",ROW('Work Items'!$A$6:$A$5000)-ROW('Work Items'!$A$6)+1),241))&lt;&gt;"",INDEX('Work Items'!$S$6:$S$5000,SMALL(IF('Work Items'!$A$6:$A$5000="Risk",ROW('Work Items'!$A$6:$A$5000)-ROW('Work Items'!$A$6)+1),241))&lt;&gt;""),INDEX('Work Items'!$R$6:$R$5000,SMALL(IF('Work Items'!$A$6:$A$5000="Risk",ROW('Work Items'!$A$6:$A$5000)-ROW('Work Items'!$A$6)+1),241))*INDEX('Work Items'!$S$6:$S$5000,SMALL(IF('Work Items'!$A$6:$A$5000="Risk",ROW('Work Items'!$A$6:$A$5000)-ROW('Work Items'!$A$6)+1),241)),INDEX('Work Items'!$U$6:$U$5000,SMALL(IF('Work Items'!$A$6:$A$5000="Risk",ROW('Work Items'!$A$6:$A$5000)-ROW('Work Items'!$A$6)+1),241))),"")</f>
        <v/>
      </c>
      <c r="L245" s="217">
        <f t="array" ref="L245">IFERROR(INDEX('Work Items'!$Q$6:$Q$5000,SMALL(IF('Work Items'!$A$6:$A$5000="Risk",ROW('Work Items'!$A$6:$A$5000)-ROW('Work Items'!$A$6)+1),241)),"")</f>
        <v/>
      </c>
      <c r="M245">
        <f t="array" ref="M245">IFERROR(INDEX('Work Items'!$T$6:$T$5000,SMALL(IF('Work Items'!$A$6:$A$5000="Risk",ROW('Work Items'!$A$6:$A$5000)-ROW('Work Items'!$A$6)+1),241)),"")</f>
        <v/>
      </c>
    </row>
    <row r="246">
      <c r="A246">
        <f t="array" ref="A246">IFERROR(INDEX('Work Items'!$A$6:$A$5000,SMALL(IF('Work Items'!$A$6:$A$5000="Risk",ROW('Work Items'!$A$6:$A$5000)-ROW('Work Items'!$A$6)+1),242)),"")</f>
        <v/>
      </c>
      <c r="B246">
        <f t="array" ref="B246">IFERROR(INDEX('Work Items'!$B$6:$B$5000,SMALL(IF('Work Items'!$A$6:$A$5000="Risk",ROW('Work Items'!$A$6:$A$5000)-ROW('Work Items'!$A$6)+1),242)),"")</f>
        <v/>
      </c>
      <c r="C246">
        <f>IF(E246="","",IFERROR(INDEX('Projects Master'!$A:$A,MATCH(E246,'Projects Master'!$B:$B,0)),"OrgRisk"))</f>
        <v/>
      </c>
      <c r="D246">
        <f t="array" ref="D246">IFERROR(INDEX('Work Items'!$C$6:$C$5000,SMALL(IF('Work Items'!$A$6:$A$5000="Risk",ROW('Work Items'!$A$6:$A$5000)-ROW('Work Items'!$A$6)+1),242)),"")</f>
        <v/>
      </c>
      <c r="E246">
        <f t="array" ref="E246">IFERROR(INDEX('Work Items'!$D$6:$D$5000,SMALL(IF('Work Items'!$A$6:$A$5000="Risk",ROW('Work Items'!$A$6:$A$5000)-ROW('Work Items'!$A$6)+1),242)),"")</f>
        <v/>
      </c>
      <c r="F246">
        <f t="array" ref="F246">IFERROR(INDEX('Work Items'!$E$6:$E$5000,SMALL(IF('Work Items'!$A$6:$A$5000="Risk",ROW('Work Items'!$A$6:$A$5000)-ROW('Work Items'!$A$6)+1),242)),"")</f>
        <v/>
      </c>
      <c r="G246">
        <f t="array" ref="G246">IFERROR(INDEX('Work Items'!$F$6:$F$5000,SMALL(IF('Work Items'!$A$6:$A$5000="Risk",ROW('Work Items'!$A$6:$A$5000)-ROW('Work Items'!$A$6)+1),242)),"")</f>
        <v/>
      </c>
      <c r="H246">
        <f t="array" ref="H246">IFERROR(INDEX('Work Items'!$J$6:$J$5000,SMALL(IF('Work Items'!$A$6:$A$5000="Risk",ROW('Work Items'!$A$6:$A$5000)-ROW('Work Items'!$A$6)+1),242)),"")</f>
        <v/>
      </c>
      <c r="I246">
        <f t="array" ref="I246">IFERROR(INDEX('Work Items'!$K$6:$K$5000,SMALL(IF('Work Items'!$A$6:$A$5000="Risk",ROW('Work Items'!$A$6:$A$5000)-ROW('Work Items'!$A$6)+1),242)),"")</f>
        <v/>
      </c>
      <c r="J246">
        <f t="array" ref="J246">IFERROR(INDEX('Work Items'!$L$6:$L$5000,SMALL(IF('Work Items'!$A$6:$A$5000="Risk",ROW('Work Items'!$A$6:$A$5000)-ROW('Work Items'!$A$6)+1),242)),"")</f>
        <v/>
      </c>
      <c r="K246">
        <f t="array" ref="K246">IFERROR(IF(AND(INDEX('Work Items'!$R$6:$R$5000,SMALL(IF('Work Items'!$A$6:$A$5000="Risk",ROW('Work Items'!$A$6:$A$5000)-ROW('Work Items'!$A$6)+1),242))&lt;&gt;"",INDEX('Work Items'!$S$6:$S$5000,SMALL(IF('Work Items'!$A$6:$A$5000="Risk",ROW('Work Items'!$A$6:$A$5000)-ROW('Work Items'!$A$6)+1),242))&lt;&gt;""),INDEX('Work Items'!$R$6:$R$5000,SMALL(IF('Work Items'!$A$6:$A$5000="Risk",ROW('Work Items'!$A$6:$A$5000)-ROW('Work Items'!$A$6)+1),242))*INDEX('Work Items'!$S$6:$S$5000,SMALL(IF('Work Items'!$A$6:$A$5000="Risk",ROW('Work Items'!$A$6:$A$5000)-ROW('Work Items'!$A$6)+1),242)),INDEX('Work Items'!$U$6:$U$5000,SMALL(IF('Work Items'!$A$6:$A$5000="Risk",ROW('Work Items'!$A$6:$A$5000)-ROW('Work Items'!$A$6)+1),242))),"")</f>
        <v/>
      </c>
      <c r="L246" s="217">
        <f t="array" ref="L246">IFERROR(INDEX('Work Items'!$Q$6:$Q$5000,SMALL(IF('Work Items'!$A$6:$A$5000="Risk",ROW('Work Items'!$A$6:$A$5000)-ROW('Work Items'!$A$6)+1),242)),"")</f>
        <v/>
      </c>
      <c r="M246">
        <f t="array" ref="M246">IFERROR(INDEX('Work Items'!$T$6:$T$5000,SMALL(IF('Work Items'!$A$6:$A$5000="Risk",ROW('Work Items'!$A$6:$A$5000)-ROW('Work Items'!$A$6)+1),242)),"")</f>
        <v/>
      </c>
    </row>
    <row r="247">
      <c r="A247">
        <f t="array" ref="A247">IFERROR(INDEX('Work Items'!$A$6:$A$5000,SMALL(IF('Work Items'!$A$6:$A$5000="Risk",ROW('Work Items'!$A$6:$A$5000)-ROW('Work Items'!$A$6)+1),243)),"")</f>
        <v/>
      </c>
      <c r="B247">
        <f t="array" ref="B247">IFERROR(INDEX('Work Items'!$B$6:$B$5000,SMALL(IF('Work Items'!$A$6:$A$5000="Risk",ROW('Work Items'!$A$6:$A$5000)-ROW('Work Items'!$A$6)+1),243)),"")</f>
        <v/>
      </c>
      <c r="C247">
        <f>IF(E247="","",IFERROR(INDEX('Projects Master'!$A:$A,MATCH(E247,'Projects Master'!$B:$B,0)),"OrgRisk"))</f>
        <v/>
      </c>
      <c r="D247">
        <f t="array" ref="D247">IFERROR(INDEX('Work Items'!$C$6:$C$5000,SMALL(IF('Work Items'!$A$6:$A$5000="Risk",ROW('Work Items'!$A$6:$A$5000)-ROW('Work Items'!$A$6)+1),243)),"")</f>
        <v/>
      </c>
      <c r="E247">
        <f t="array" ref="E247">IFERROR(INDEX('Work Items'!$D$6:$D$5000,SMALL(IF('Work Items'!$A$6:$A$5000="Risk",ROW('Work Items'!$A$6:$A$5000)-ROW('Work Items'!$A$6)+1),243)),"")</f>
        <v/>
      </c>
      <c r="F247">
        <f t="array" ref="F247">IFERROR(INDEX('Work Items'!$E$6:$E$5000,SMALL(IF('Work Items'!$A$6:$A$5000="Risk",ROW('Work Items'!$A$6:$A$5000)-ROW('Work Items'!$A$6)+1),243)),"")</f>
        <v/>
      </c>
      <c r="G247">
        <f t="array" ref="G247">IFERROR(INDEX('Work Items'!$F$6:$F$5000,SMALL(IF('Work Items'!$A$6:$A$5000="Risk",ROW('Work Items'!$A$6:$A$5000)-ROW('Work Items'!$A$6)+1),243)),"")</f>
        <v/>
      </c>
      <c r="H247">
        <f t="array" ref="H247">IFERROR(INDEX('Work Items'!$J$6:$J$5000,SMALL(IF('Work Items'!$A$6:$A$5000="Risk",ROW('Work Items'!$A$6:$A$5000)-ROW('Work Items'!$A$6)+1),243)),"")</f>
        <v/>
      </c>
      <c r="I247">
        <f t="array" ref="I247">IFERROR(INDEX('Work Items'!$K$6:$K$5000,SMALL(IF('Work Items'!$A$6:$A$5000="Risk",ROW('Work Items'!$A$6:$A$5000)-ROW('Work Items'!$A$6)+1),243)),"")</f>
        <v/>
      </c>
      <c r="J247">
        <f t="array" ref="J247">IFERROR(INDEX('Work Items'!$L$6:$L$5000,SMALL(IF('Work Items'!$A$6:$A$5000="Risk",ROW('Work Items'!$A$6:$A$5000)-ROW('Work Items'!$A$6)+1),243)),"")</f>
        <v/>
      </c>
      <c r="K247">
        <f t="array" ref="K247">IFERROR(IF(AND(INDEX('Work Items'!$R$6:$R$5000,SMALL(IF('Work Items'!$A$6:$A$5000="Risk",ROW('Work Items'!$A$6:$A$5000)-ROW('Work Items'!$A$6)+1),243))&lt;&gt;"",INDEX('Work Items'!$S$6:$S$5000,SMALL(IF('Work Items'!$A$6:$A$5000="Risk",ROW('Work Items'!$A$6:$A$5000)-ROW('Work Items'!$A$6)+1),243))&lt;&gt;""),INDEX('Work Items'!$R$6:$R$5000,SMALL(IF('Work Items'!$A$6:$A$5000="Risk",ROW('Work Items'!$A$6:$A$5000)-ROW('Work Items'!$A$6)+1),243))*INDEX('Work Items'!$S$6:$S$5000,SMALL(IF('Work Items'!$A$6:$A$5000="Risk",ROW('Work Items'!$A$6:$A$5000)-ROW('Work Items'!$A$6)+1),243)),INDEX('Work Items'!$U$6:$U$5000,SMALL(IF('Work Items'!$A$6:$A$5000="Risk",ROW('Work Items'!$A$6:$A$5000)-ROW('Work Items'!$A$6)+1),243))),"")</f>
        <v/>
      </c>
      <c r="L247" s="217">
        <f t="array" ref="L247">IFERROR(INDEX('Work Items'!$Q$6:$Q$5000,SMALL(IF('Work Items'!$A$6:$A$5000="Risk",ROW('Work Items'!$A$6:$A$5000)-ROW('Work Items'!$A$6)+1),243)),"")</f>
        <v/>
      </c>
      <c r="M247">
        <f t="array" ref="M247">IFERROR(INDEX('Work Items'!$T$6:$T$5000,SMALL(IF('Work Items'!$A$6:$A$5000="Risk",ROW('Work Items'!$A$6:$A$5000)-ROW('Work Items'!$A$6)+1),243)),"")</f>
        <v/>
      </c>
    </row>
    <row r="248">
      <c r="A248">
        <f t="array" ref="A248">IFERROR(INDEX('Work Items'!$A$6:$A$5000,SMALL(IF('Work Items'!$A$6:$A$5000="Risk",ROW('Work Items'!$A$6:$A$5000)-ROW('Work Items'!$A$6)+1),244)),"")</f>
        <v/>
      </c>
      <c r="B248">
        <f t="array" ref="B248">IFERROR(INDEX('Work Items'!$B$6:$B$5000,SMALL(IF('Work Items'!$A$6:$A$5000="Risk",ROW('Work Items'!$A$6:$A$5000)-ROW('Work Items'!$A$6)+1),244)),"")</f>
        <v/>
      </c>
      <c r="C248">
        <f>IF(E248="","",IFERROR(INDEX('Projects Master'!$A:$A,MATCH(E248,'Projects Master'!$B:$B,0)),"OrgRisk"))</f>
        <v/>
      </c>
      <c r="D248">
        <f t="array" ref="D248">IFERROR(INDEX('Work Items'!$C$6:$C$5000,SMALL(IF('Work Items'!$A$6:$A$5000="Risk",ROW('Work Items'!$A$6:$A$5000)-ROW('Work Items'!$A$6)+1),244)),"")</f>
        <v/>
      </c>
      <c r="E248">
        <f t="array" ref="E248">IFERROR(INDEX('Work Items'!$D$6:$D$5000,SMALL(IF('Work Items'!$A$6:$A$5000="Risk",ROW('Work Items'!$A$6:$A$5000)-ROW('Work Items'!$A$6)+1),244)),"")</f>
        <v/>
      </c>
      <c r="F248">
        <f t="array" ref="F248">IFERROR(INDEX('Work Items'!$E$6:$E$5000,SMALL(IF('Work Items'!$A$6:$A$5000="Risk",ROW('Work Items'!$A$6:$A$5000)-ROW('Work Items'!$A$6)+1),244)),"")</f>
        <v/>
      </c>
      <c r="G248">
        <f t="array" ref="G248">IFERROR(INDEX('Work Items'!$F$6:$F$5000,SMALL(IF('Work Items'!$A$6:$A$5000="Risk",ROW('Work Items'!$A$6:$A$5000)-ROW('Work Items'!$A$6)+1),244)),"")</f>
        <v/>
      </c>
      <c r="H248">
        <f t="array" ref="H248">IFERROR(INDEX('Work Items'!$J$6:$J$5000,SMALL(IF('Work Items'!$A$6:$A$5000="Risk",ROW('Work Items'!$A$6:$A$5000)-ROW('Work Items'!$A$6)+1),244)),"")</f>
        <v/>
      </c>
      <c r="I248">
        <f t="array" ref="I248">IFERROR(INDEX('Work Items'!$K$6:$K$5000,SMALL(IF('Work Items'!$A$6:$A$5000="Risk",ROW('Work Items'!$A$6:$A$5000)-ROW('Work Items'!$A$6)+1),244)),"")</f>
        <v/>
      </c>
      <c r="J248">
        <f t="array" ref="J248">IFERROR(INDEX('Work Items'!$L$6:$L$5000,SMALL(IF('Work Items'!$A$6:$A$5000="Risk",ROW('Work Items'!$A$6:$A$5000)-ROW('Work Items'!$A$6)+1),244)),"")</f>
        <v/>
      </c>
      <c r="K248">
        <f t="array" ref="K248">IFERROR(IF(AND(INDEX('Work Items'!$R$6:$R$5000,SMALL(IF('Work Items'!$A$6:$A$5000="Risk",ROW('Work Items'!$A$6:$A$5000)-ROW('Work Items'!$A$6)+1),244))&lt;&gt;"",INDEX('Work Items'!$S$6:$S$5000,SMALL(IF('Work Items'!$A$6:$A$5000="Risk",ROW('Work Items'!$A$6:$A$5000)-ROW('Work Items'!$A$6)+1),244))&lt;&gt;""),INDEX('Work Items'!$R$6:$R$5000,SMALL(IF('Work Items'!$A$6:$A$5000="Risk",ROW('Work Items'!$A$6:$A$5000)-ROW('Work Items'!$A$6)+1),244))*INDEX('Work Items'!$S$6:$S$5000,SMALL(IF('Work Items'!$A$6:$A$5000="Risk",ROW('Work Items'!$A$6:$A$5000)-ROW('Work Items'!$A$6)+1),244)),INDEX('Work Items'!$U$6:$U$5000,SMALL(IF('Work Items'!$A$6:$A$5000="Risk",ROW('Work Items'!$A$6:$A$5000)-ROW('Work Items'!$A$6)+1),244))),"")</f>
        <v/>
      </c>
      <c r="L248" s="217">
        <f t="array" ref="L248">IFERROR(INDEX('Work Items'!$Q$6:$Q$5000,SMALL(IF('Work Items'!$A$6:$A$5000="Risk",ROW('Work Items'!$A$6:$A$5000)-ROW('Work Items'!$A$6)+1),244)),"")</f>
        <v/>
      </c>
      <c r="M248">
        <f t="array" ref="M248">IFERROR(INDEX('Work Items'!$T$6:$T$5000,SMALL(IF('Work Items'!$A$6:$A$5000="Risk",ROW('Work Items'!$A$6:$A$5000)-ROW('Work Items'!$A$6)+1),244)),"")</f>
        <v/>
      </c>
    </row>
    <row r="249">
      <c r="A249">
        <f t="array" ref="A249">IFERROR(INDEX('Work Items'!$A$6:$A$5000,SMALL(IF('Work Items'!$A$6:$A$5000="Risk",ROW('Work Items'!$A$6:$A$5000)-ROW('Work Items'!$A$6)+1),245)),"")</f>
        <v/>
      </c>
      <c r="B249">
        <f t="array" ref="B249">IFERROR(INDEX('Work Items'!$B$6:$B$5000,SMALL(IF('Work Items'!$A$6:$A$5000="Risk",ROW('Work Items'!$A$6:$A$5000)-ROW('Work Items'!$A$6)+1),245)),"")</f>
        <v/>
      </c>
      <c r="C249">
        <f>IF(E249="","",IFERROR(INDEX('Projects Master'!$A:$A,MATCH(E249,'Projects Master'!$B:$B,0)),"OrgRisk"))</f>
        <v/>
      </c>
      <c r="D249">
        <f t="array" ref="D249">IFERROR(INDEX('Work Items'!$C$6:$C$5000,SMALL(IF('Work Items'!$A$6:$A$5000="Risk",ROW('Work Items'!$A$6:$A$5000)-ROW('Work Items'!$A$6)+1),245)),"")</f>
        <v/>
      </c>
      <c r="E249">
        <f t="array" ref="E249">IFERROR(INDEX('Work Items'!$D$6:$D$5000,SMALL(IF('Work Items'!$A$6:$A$5000="Risk",ROW('Work Items'!$A$6:$A$5000)-ROW('Work Items'!$A$6)+1),245)),"")</f>
        <v/>
      </c>
      <c r="F249">
        <f t="array" ref="F249">IFERROR(INDEX('Work Items'!$E$6:$E$5000,SMALL(IF('Work Items'!$A$6:$A$5000="Risk",ROW('Work Items'!$A$6:$A$5000)-ROW('Work Items'!$A$6)+1),245)),"")</f>
        <v/>
      </c>
      <c r="G249">
        <f t="array" ref="G249">IFERROR(INDEX('Work Items'!$F$6:$F$5000,SMALL(IF('Work Items'!$A$6:$A$5000="Risk",ROW('Work Items'!$A$6:$A$5000)-ROW('Work Items'!$A$6)+1),245)),"")</f>
        <v/>
      </c>
      <c r="H249">
        <f t="array" ref="H249">IFERROR(INDEX('Work Items'!$J$6:$J$5000,SMALL(IF('Work Items'!$A$6:$A$5000="Risk",ROW('Work Items'!$A$6:$A$5000)-ROW('Work Items'!$A$6)+1),245)),"")</f>
        <v/>
      </c>
      <c r="I249">
        <f t="array" ref="I249">IFERROR(INDEX('Work Items'!$K$6:$K$5000,SMALL(IF('Work Items'!$A$6:$A$5000="Risk",ROW('Work Items'!$A$6:$A$5000)-ROW('Work Items'!$A$6)+1),245)),"")</f>
        <v/>
      </c>
      <c r="J249">
        <f t="array" ref="J249">IFERROR(INDEX('Work Items'!$L$6:$L$5000,SMALL(IF('Work Items'!$A$6:$A$5000="Risk",ROW('Work Items'!$A$6:$A$5000)-ROW('Work Items'!$A$6)+1),245)),"")</f>
        <v/>
      </c>
      <c r="K249">
        <f t="array" ref="K249">IFERROR(IF(AND(INDEX('Work Items'!$R$6:$R$5000,SMALL(IF('Work Items'!$A$6:$A$5000="Risk",ROW('Work Items'!$A$6:$A$5000)-ROW('Work Items'!$A$6)+1),245))&lt;&gt;"",INDEX('Work Items'!$S$6:$S$5000,SMALL(IF('Work Items'!$A$6:$A$5000="Risk",ROW('Work Items'!$A$6:$A$5000)-ROW('Work Items'!$A$6)+1),245))&lt;&gt;""),INDEX('Work Items'!$R$6:$R$5000,SMALL(IF('Work Items'!$A$6:$A$5000="Risk",ROW('Work Items'!$A$6:$A$5000)-ROW('Work Items'!$A$6)+1),245))*INDEX('Work Items'!$S$6:$S$5000,SMALL(IF('Work Items'!$A$6:$A$5000="Risk",ROW('Work Items'!$A$6:$A$5000)-ROW('Work Items'!$A$6)+1),245)),INDEX('Work Items'!$U$6:$U$5000,SMALL(IF('Work Items'!$A$6:$A$5000="Risk",ROW('Work Items'!$A$6:$A$5000)-ROW('Work Items'!$A$6)+1),245))),"")</f>
        <v/>
      </c>
      <c r="L249" s="217">
        <f t="array" ref="L249">IFERROR(INDEX('Work Items'!$Q$6:$Q$5000,SMALL(IF('Work Items'!$A$6:$A$5000="Risk",ROW('Work Items'!$A$6:$A$5000)-ROW('Work Items'!$A$6)+1),245)),"")</f>
        <v/>
      </c>
      <c r="M249">
        <f t="array" ref="M249">IFERROR(INDEX('Work Items'!$T$6:$T$5000,SMALL(IF('Work Items'!$A$6:$A$5000="Risk",ROW('Work Items'!$A$6:$A$5000)-ROW('Work Items'!$A$6)+1),245)),"")</f>
        <v/>
      </c>
    </row>
    <row r="250">
      <c r="A250">
        <f t="array" ref="A250">IFERROR(INDEX('Work Items'!$A$6:$A$5000,SMALL(IF('Work Items'!$A$6:$A$5000="Risk",ROW('Work Items'!$A$6:$A$5000)-ROW('Work Items'!$A$6)+1),246)),"")</f>
        <v/>
      </c>
      <c r="B250">
        <f t="array" ref="B250">IFERROR(INDEX('Work Items'!$B$6:$B$5000,SMALL(IF('Work Items'!$A$6:$A$5000="Risk",ROW('Work Items'!$A$6:$A$5000)-ROW('Work Items'!$A$6)+1),246)),"")</f>
        <v/>
      </c>
      <c r="C250">
        <f>IF(E250="","",IFERROR(INDEX('Projects Master'!$A:$A,MATCH(E250,'Projects Master'!$B:$B,0)),"OrgRisk"))</f>
        <v/>
      </c>
      <c r="D250">
        <f t="array" ref="D250">IFERROR(INDEX('Work Items'!$C$6:$C$5000,SMALL(IF('Work Items'!$A$6:$A$5000="Risk",ROW('Work Items'!$A$6:$A$5000)-ROW('Work Items'!$A$6)+1),246)),"")</f>
        <v/>
      </c>
      <c r="E250">
        <f t="array" ref="E250">IFERROR(INDEX('Work Items'!$D$6:$D$5000,SMALL(IF('Work Items'!$A$6:$A$5000="Risk",ROW('Work Items'!$A$6:$A$5000)-ROW('Work Items'!$A$6)+1),246)),"")</f>
        <v/>
      </c>
      <c r="F250">
        <f t="array" ref="F250">IFERROR(INDEX('Work Items'!$E$6:$E$5000,SMALL(IF('Work Items'!$A$6:$A$5000="Risk",ROW('Work Items'!$A$6:$A$5000)-ROW('Work Items'!$A$6)+1),246)),"")</f>
        <v/>
      </c>
      <c r="G250">
        <f t="array" ref="G250">IFERROR(INDEX('Work Items'!$F$6:$F$5000,SMALL(IF('Work Items'!$A$6:$A$5000="Risk",ROW('Work Items'!$A$6:$A$5000)-ROW('Work Items'!$A$6)+1),246)),"")</f>
        <v/>
      </c>
      <c r="H250">
        <f t="array" ref="H250">IFERROR(INDEX('Work Items'!$J$6:$J$5000,SMALL(IF('Work Items'!$A$6:$A$5000="Risk",ROW('Work Items'!$A$6:$A$5000)-ROW('Work Items'!$A$6)+1),246)),"")</f>
        <v/>
      </c>
      <c r="I250">
        <f t="array" ref="I250">IFERROR(INDEX('Work Items'!$K$6:$K$5000,SMALL(IF('Work Items'!$A$6:$A$5000="Risk",ROW('Work Items'!$A$6:$A$5000)-ROW('Work Items'!$A$6)+1),246)),"")</f>
        <v/>
      </c>
      <c r="J250">
        <f t="array" ref="J250">IFERROR(INDEX('Work Items'!$L$6:$L$5000,SMALL(IF('Work Items'!$A$6:$A$5000="Risk",ROW('Work Items'!$A$6:$A$5000)-ROW('Work Items'!$A$6)+1),246)),"")</f>
        <v/>
      </c>
      <c r="K250">
        <f t="array" ref="K250">IFERROR(IF(AND(INDEX('Work Items'!$R$6:$R$5000,SMALL(IF('Work Items'!$A$6:$A$5000="Risk",ROW('Work Items'!$A$6:$A$5000)-ROW('Work Items'!$A$6)+1),246))&lt;&gt;"",INDEX('Work Items'!$S$6:$S$5000,SMALL(IF('Work Items'!$A$6:$A$5000="Risk",ROW('Work Items'!$A$6:$A$5000)-ROW('Work Items'!$A$6)+1),246))&lt;&gt;""),INDEX('Work Items'!$R$6:$R$5000,SMALL(IF('Work Items'!$A$6:$A$5000="Risk",ROW('Work Items'!$A$6:$A$5000)-ROW('Work Items'!$A$6)+1),246))*INDEX('Work Items'!$S$6:$S$5000,SMALL(IF('Work Items'!$A$6:$A$5000="Risk",ROW('Work Items'!$A$6:$A$5000)-ROW('Work Items'!$A$6)+1),246)),INDEX('Work Items'!$U$6:$U$5000,SMALL(IF('Work Items'!$A$6:$A$5000="Risk",ROW('Work Items'!$A$6:$A$5000)-ROW('Work Items'!$A$6)+1),246))),"")</f>
        <v/>
      </c>
      <c r="L250" s="217">
        <f t="array" ref="L250">IFERROR(INDEX('Work Items'!$Q$6:$Q$5000,SMALL(IF('Work Items'!$A$6:$A$5000="Risk",ROW('Work Items'!$A$6:$A$5000)-ROW('Work Items'!$A$6)+1),246)),"")</f>
        <v/>
      </c>
      <c r="M250">
        <f t="array" ref="M250">IFERROR(INDEX('Work Items'!$T$6:$T$5000,SMALL(IF('Work Items'!$A$6:$A$5000="Risk",ROW('Work Items'!$A$6:$A$5000)-ROW('Work Items'!$A$6)+1),246)),"")</f>
        <v/>
      </c>
    </row>
    <row r="251">
      <c r="A251">
        <f t="array" ref="A251">IFERROR(INDEX('Work Items'!$A$6:$A$5000,SMALL(IF('Work Items'!$A$6:$A$5000="Risk",ROW('Work Items'!$A$6:$A$5000)-ROW('Work Items'!$A$6)+1),247)),"")</f>
        <v/>
      </c>
      <c r="B251">
        <f t="array" ref="B251">IFERROR(INDEX('Work Items'!$B$6:$B$5000,SMALL(IF('Work Items'!$A$6:$A$5000="Risk",ROW('Work Items'!$A$6:$A$5000)-ROW('Work Items'!$A$6)+1),247)),"")</f>
        <v/>
      </c>
      <c r="C251">
        <f>IF(E251="","",IFERROR(INDEX('Projects Master'!$A:$A,MATCH(E251,'Projects Master'!$B:$B,0)),"OrgRisk"))</f>
        <v/>
      </c>
      <c r="D251">
        <f t="array" ref="D251">IFERROR(INDEX('Work Items'!$C$6:$C$5000,SMALL(IF('Work Items'!$A$6:$A$5000="Risk",ROW('Work Items'!$A$6:$A$5000)-ROW('Work Items'!$A$6)+1),247)),"")</f>
        <v/>
      </c>
      <c r="E251">
        <f t="array" ref="E251">IFERROR(INDEX('Work Items'!$D$6:$D$5000,SMALL(IF('Work Items'!$A$6:$A$5000="Risk",ROW('Work Items'!$A$6:$A$5000)-ROW('Work Items'!$A$6)+1),247)),"")</f>
        <v/>
      </c>
      <c r="F251">
        <f t="array" ref="F251">IFERROR(INDEX('Work Items'!$E$6:$E$5000,SMALL(IF('Work Items'!$A$6:$A$5000="Risk",ROW('Work Items'!$A$6:$A$5000)-ROW('Work Items'!$A$6)+1),247)),"")</f>
        <v/>
      </c>
      <c r="G251">
        <f t="array" ref="G251">IFERROR(INDEX('Work Items'!$F$6:$F$5000,SMALL(IF('Work Items'!$A$6:$A$5000="Risk",ROW('Work Items'!$A$6:$A$5000)-ROW('Work Items'!$A$6)+1),247)),"")</f>
        <v/>
      </c>
      <c r="H251">
        <f t="array" ref="H251">IFERROR(INDEX('Work Items'!$J$6:$J$5000,SMALL(IF('Work Items'!$A$6:$A$5000="Risk",ROW('Work Items'!$A$6:$A$5000)-ROW('Work Items'!$A$6)+1),247)),"")</f>
        <v/>
      </c>
      <c r="I251">
        <f t="array" ref="I251">IFERROR(INDEX('Work Items'!$K$6:$K$5000,SMALL(IF('Work Items'!$A$6:$A$5000="Risk",ROW('Work Items'!$A$6:$A$5000)-ROW('Work Items'!$A$6)+1),247)),"")</f>
        <v/>
      </c>
      <c r="J251">
        <f t="array" ref="J251">IFERROR(INDEX('Work Items'!$L$6:$L$5000,SMALL(IF('Work Items'!$A$6:$A$5000="Risk",ROW('Work Items'!$A$6:$A$5000)-ROW('Work Items'!$A$6)+1),247)),"")</f>
        <v/>
      </c>
      <c r="K251">
        <f t="array" ref="K251">IFERROR(IF(AND(INDEX('Work Items'!$R$6:$R$5000,SMALL(IF('Work Items'!$A$6:$A$5000="Risk",ROW('Work Items'!$A$6:$A$5000)-ROW('Work Items'!$A$6)+1),247))&lt;&gt;"",INDEX('Work Items'!$S$6:$S$5000,SMALL(IF('Work Items'!$A$6:$A$5000="Risk",ROW('Work Items'!$A$6:$A$5000)-ROW('Work Items'!$A$6)+1),247))&lt;&gt;""),INDEX('Work Items'!$R$6:$R$5000,SMALL(IF('Work Items'!$A$6:$A$5000="Risk",ROW('Work Items'!$A$6:$A$5000)-ROW('Work Items'!$A$6)+1),247))*INDEX('Work Items'!$S$6:$S$5000,SMALL(IF('Work Items'!$A$6:$A$5000="Risk",ROW('Work Items'!$A$6:$A$5000)-ROW('Work Items'!$A$6)+1),247)),INDEX('Work Items'!$U$6:$U$5000,SMALL(IF('Work Items'!$A$6:$A$5000="Risk",ROW('Work Items'!$A$6:$A$5000)-ROW('Work Items'!$A$6)+1),247))),"")</f>
        <v/>
      </c>
      <c r="L251" s="217">
        <f t="array" ref="L251">IFERROR(INDEX('Work Items'!$Q$6:$Q$5000,SMALL(IF('Work Items'!$A$6:$A$5000="Risk",ROW('Work Items'!$A$6:$A$5000)-ROW('Work Items'!$A$6)+1),247)),"")</f>
        <v/>
      </c>
      <c r="M251">
        <f t="array" ref="M251">IFERROR(INDEX('Work Items'!$T$6:$T$5000,SMALL(IF('Work Items'!$A$6:$A$5000="Risk",ROW('Work Items'!$A$6:$A$5000)-ROW('Work Items'!$A$6)+1),247)),"")</f>
        <v/>
      </c>
    </row>
    <row r="252">
      <c r="A252">
        <f t="array" ref="A252">IFERROR(INDEX('Work Items'!$A$6:$A$5000,SMALL(IF('Work Items'!$A$6:$A$5000="Risk",ROW('Work Items'!$A$6:$A$5000)-ROW('Work Items'!$A$6)+1),248)),"")</f>
        <v/>
      </c>
      <c r="B252">
        <f t="array" ref="B252">IFERROR(INDEX('Work Items'!$B$6:$B$5000,SMALL(IF('Work Items'!$A$6:$A$5000="Risk",ROW('Work Items'!$A$6:$A$5000)-ROW('Work Items'!$A$6)+1),248)),"")</f>
        <v/>
      </c>
      <c r="C252">
        <f>IF(E252="","",IFERROR(INDEX('Projects Master'!$A:$A,MATCH(E252,'Projects Master'!$B:$B,0)),"OrgRisk"))</f>
        <v/>
      </c>
      <c r="D252">
        <f t="array" ref="D252">IFERROR(INDEX('Work Items'!$C$6:$C$5000,SMALL(IF('Work Items'!$A$6:$A$5000="Risk",ROW('Work Items'!$A$6:$A$5000)-ROW('Work Items'!$A$6)+1),248)),"")</f>
        <v/>
      </c>
      <c r="E252">
        <f t="array" ref="E252">IFERROR(INDEX('Work Items'!$D$6:$D$5000,SMALL(IF('Work Items'!$A$6:$A$5000="Risk",ROW('Work Items'!$A$6:$A$5000)-ROW('Work Items'!$A$6)+1),248)),"")</f>
        <v/>
      </c>
      <c r="F252">
        <f t="array" ref="F252">IFERROR(INDEX('Work Items'!$E$6:$E$5000,SMALL(IF('Work Items'!$A$6:$A$5000="Risk",ROW('Work Items'!$A$6:$A$5000)-ROW('Work Items'!$A$6)+1),248)),"")</f>
        <v/>
      </c>
      <c r="G252">
        <f t="array" ref="G252">IFERROR(INDEX('Work Items'!$F$6:$F$5000,SMALL(IF('Work Items'!$A$6:$A$5000="Risk",ROW('Work Items'!$A$6:$A$5000)-ROW('Work Items'!$A$6)+1),248)),"")</f>
        <v/>
      </c>
      <c r="H252">
        <f t="array" ref="H252">IFERROR(INDEX('Work Items'!$J$6:$J$5000,SMALL(IF('Work Items'!$A$6:$A$5000="Risk",ROW('Work Items'!$A$6:$A$5000)-ROW('Work Items'!$A$6)+1),248)),"")</f>
        <v/>
      </c>
      <c r="I252">
        <f t="array" ref="I252">IFERROR(INDEX('Work Items'!$K$6:$K$5000,SMALL(IF('Work Items'!$A$6:$A$5000="Risk",ROW('Work Items'!$A$6:$A$5000)-ROW('Work Items'!$A$6)+1),248)),"")</f>
        <v/>
      </c>
      <c r="J252">
        <f t="array" ref="J252">IFERROR(INDEX('Work Items'!$L$6:$L$5000,SMALL(IF('Work Items'!$A$6:$A$5000="Risk",ROW('Work Items'!$A$6:$A$5000)-ROW('Work Items'!$A$6)+1),248)),"")</f>
        <v/>
      </c>
      <c r="K252">
        <f t="array" ref="K252">IFERROR(IF(AND(INDEX('Work Items'!$R$6:$R$5000,SMALL(IF('Work Items'!$A$6:$A$5000="Risk",ROW('Work Items'!$A$6:$A$5000)-ROW('Work Items'!$A$6)+1),248))&lt;&gt;"",INDEX('Work Items'!$S$6:$S$5000,SMALL(IF('Work Items'!$A$6:$A$5000="Risk",ROW('Work Items'!$A$6:$A$5000)-ROW('Work Items'!$A$6)+1),248))&lt;&gt;""),INDEX('Work Items'!$R$6:$R$5000,SMALL(IF('Work Items'!$A$6:$A$5000="Risk",ROW('Work Items'!$A$6:$A$5000)-ROW('Work Items'!$A$6)+1),248))*INDEX('Work Items'!$S$6:$S$5000,SMALL(IF('Work Items'!$A$6:$A$5000="Risk",ROW('Work Items'!$A$6:$A$5000)-ROW('Work Items'!$A$6)+1),248)),INDEX('Work Items'!$U$6:$U$5000,SMALL(IF('Work Items'!$A$6:$A$5000="Risk",ROW('Work Items'!$A$6:$A$5000)-ROW('Work Items'!$A$6)+1),248))),"")</f>
        <v/>
      </c>
      <c r="L252" s="217">
        <f t="array" ref="L252">IFERROR(INDEX('Work Items'!$Q$6:$Q$5000,SMALL(IF('Work Items'!$A$6:$A$5000="Risk",ROW('Work Items'!$A$6:$A$5000)-ROW('Work Items'!$A$6)+1),248)),"")</f>
        <v/>
      </c>
      <c r="M252">
        <f t="array" ref="M252">IFERROR(INDEX('Work Items'!$T$6:$T$5000,SMALL(IF('Work Items'!$A$6:$A$5000="Risk",ROW('Work Items'!$A$6:$A$5000)-ROW('Work Items'!$A$6)+1),248)),"")</f>
        <v/>
      </c>
    </row>
    <row r="253">
      <c r="A253">
        <f t="array" ref="A253">IFERROR(INDEX('Work Items'!$A$6:$A$5000,SMALL(IF('Work Items'!$A$6:$A$5000="Risk",ROW('Work Items'!$A$6:$A$5000)-ROW('Work Items'!$A$6)+1),249)),"")</f>
        <v/>
      </c>
      <c r="B253">
        <f t="array" ref="B253">IFERROR(INDEX('Work Items'!$B$6:$B$5000,SMALL(IF('Work Items'!$A$6:$A$5000="Risk",ROW('Work Items'!$A$6:$A$5000)-ROW('Work Items'!$A$6)+1),249)),"")</f>
        <v/>
      </c>
      <c r="C253">
        <f>IF(E253="","",IFERROR(INDEX('Projects Master'!$A:$A,MATCH(E253,'Projects Master'!$B:$B,0)),"OrgRisk"))</f>
        <v/>
      </c>
      <c r="D253">
        <f t="array" ref="D253">IFERROR(INDEX('Work Items'!$C$6:$C$5000,SMALL(IF('Work Items'!$A$6:$A$5000="Risk",ROW('Work Items'!$A$6:$A$5000)-ROW('Work Items'!$A$6)+1),249)),"")</f>
        <v/>
      </c>
      <c r="E253">
        <f t="array" ref="E253">IFERROR(INDEX('Work Items'!$D$6:$D$5000,SMALL(IF('Work Items'!$A$6:$A$5000="Risk",ROW('Work Items'!$A$6:$A$5000)-ROW('Work Items'!$A$6)+1),249)),"")</f>
        <v/>
      </c>
      <c r="F253">
        <f t="array" ref="F253">IFERROR(INDEX('Work Items'!$E$6:$E$5000,SMALL(IF('Work Items'!$A$6:$A$5000="Risk",ROW('Work Items'!$A$6:$A$5000)-ROW('Work Items'!$A$6)+1),249)),"")</f>
        <v/>
      </c>
      <c r="G253">
        <f t="array" ref="G253">IFERROR(INDEX('Work Items'!$F$6:$F$5000,SMALL(IF('Work Items'!$A$6:$A$5000="Risk",ROW('Work Items'!$A$6:$A$5000)-ROW('Work Items'!$A$6)+1),249)),"")</f>
        <v/>
      </c>
      <c r="H253">
        <f t="array" ref="H253">IFERROR(INDEX('Work Items'!$J$6:$J$5000,SMALL(IF('Work Items'!$A$6:$A$5000="Risk",ROW('Work Items'!$A$6:$A$5000)-ROW('Work Items'!$A$6)+1),249)),"")</f>
        <v/>
      </c>
      <c r="I253">
        <f t="array" ref="I253">IFERROR(INDEX('Work Items'!$K$6:$K$5000,SMALL(IF('Work Items'!$A$6:$A$5000="Risk",ROW('Work Items'!$A$6:$A$5000)-ROW('Work Items'!$A$6)+1),249)),"")</f>
        <v/>
      </c>
      <c r="J253">
        <f t="array" ref="J253">IFERROR(INDEX('Work Items'!$L$6:$L$5000,SMALL(IF('Work Items'!$A$6:$A$5000="Risk",ROW('Work Items'!$A$6:$A$5000)-ROW('Work Items'!$A$6)+1),249)),"")</f>
        <v/>
      </c>
      <c r="K253">
        <f t="array" ref="K253">IFERROR(IF(AND(INDEX('Work Items'!$R$6:$R$5000,SMALL(IF('Work Items'!$A$6:$A$5000="Risk",ROW('Work Items'!$A$6:$A$5000)-ROW('Work Items'!$A$6)+1),249))&lt;&gt;"",INDEX('Work Items'!$S$6:$S$5000,SMALL(IF('Work Items'!$A$6:$A$5000="Risk",ROW('Work Items'!$A$6:$A$5000)-ROW('Work Items'!$A$6)+1),249))&lt;&gt;""),INDEX('Work Items'!$R$6:$R$5000,SMALL(IF('Work Items'!$A$6:$A$5000="Risk",ROW('Work Items'!$A$6:$A$5000)-ROW('Work Items'!$A$6)+1),249))*INDEX('Work Items'!$S$6:$S$5000,SMALL(IF('Work Items'!$A$6:$A$5000="Risk",ROW('Work Items'!$A$6:$A$5000)-ROW('Work Items'!$A$6)+1),249)),INDEX('Work Items'!$U$6:$U$5000,SMALL(IF('Work Items'!$A$6:$A$5000="Risk",ROW('Work Items'!$A$6:$A$5000)-ROW('Work Items'!$A$6)+1),249))),"")</f>
        <v/>
      </c>
      <c r="L253" s="217">
        <f t="array" ref="L253">IFERROR(INDEX('Work Items'!$Q$6:$Q$5000,SMALL(IF('Work Items'!$A$6:$A$5000="Risk",ROW('Work Items'!$A$6:$A$5000)-ROW('Work Items'!$A$6)+1),249)),"")</f>
        <v/>
      </c>
      <c r="M253">
        <f t="array" ref="M253">IFERROR(INDEX('Work Items'!$T$6:$T$5000,SMALL(IF('Work Items'!$A$6:$A$5000="Risk",ROW('Work Items'!$A$6:$A$5000)-ROW('Work Items'!$A$6)+1),249)),"")</f>
        <v/>
      </c>
    </row>
    <row r="254">
      <c r="A254">
        <f t="array" ref="A254">IFERROR(INDEX('Work Items'!$A$6:$A$5000,SMALL(IF('Work Items'!$A$6:$A$5000="Risk",ROW('Work Items'!$A$6:$A$5000)-ROW('Work Items'!$A$6)+1),250)),"")</f>
        <v/>
      </c>
      <c r="B254">
        <f t="array" ref="B254">IFERROR(INDEX('Work Items'!$B$6:$B$5000,SMALL(IF('Work Items'!$A$6:$A$5000="Risk",ROW('Work Items'!$A$6:$A$5000)-ROW('Work Items'!$A$6)+1),250)),"")</f>
        <v/>
      </c>
      <c r="C254">
        <f>IF(E254="","",IFERROR(INDEX('Projects Master'!$A:$A,MATCH(E254,'Projects Master'!$B:$B,0)),"OrgRisk"))</f>
        <v/>
      </c>
      <c r="D254">
        <f t="array" ref="D254">IFERROR(INDEX('Work Items'!$C$6:$C$5000,SMALL(IF('Work Items'!$A$6:$A$5000="Risk",ROW('Work Items'!$A$6:$A$5000)-ROW('Work Items'!$A$6)+1),250)),"")</f>
        <v/>
      </c>
      <c r="E254">
        <f t="array" ref="E254">IFERROR(INDEX('Work Items'!$D$6:$D$5000,SMALL(IF('Work Items'!$A$6:$A$5000="Risk",ROW('Work Items'!$A$6:$A$5000)-ROW('Work Items'!$A$6)+1),250)),"")</f>
        <v/>
      </c>
      <c r="F254">
        <f t="array" ref="F254">IFERROR(INDEX('Work Items'!$E$6:$E$5000,SMALL(IF('Work Items'!$A$6:$A$5000="Risk",ROW('Work Items'!$A$6:$A$5000)-ROW('Work Items'!$A$6)+1),250)),"")</f>
        <v/>
      </c>
      <c r="G254">
        <f t="array" ref="G254">IFERROR(INDEX('Work Items'!$F$6:$F$5000,SMALL(IF('Work Items'!$A$6:$A$5000="Risk",ROW('Work Items'!$A$6:$A$5000)-ROW('Work Items'!$A$6)+1),250)),"")</f>
        <v/>
      </c>
      <c r="H254">
        <f t="array" ref="H254">IFERROR(INDEX('Work Items'!$J$6:$J$5000,SMALL(IF('Work Items'!$A$6:$A$5000="Risk",ROW('Work Items'!$A$6:$A$5000)-ROW('Work Items'!$A$6)+1),250)),"")</f>
        <v/>
      </c>
      <c r="I254">
        <f t="array" ref="I254">IFERROR(INDEX('Work Items'!$K$6:$K$5000,SMALL(IF('Work Items'!$A$6:$A$5000="Risk",ROW('Work Items'!$A$6:$A$5000)-ROW('Work Items'!$A$6)+1),250)),"")</f>
        <v/>
      </c>
      <c r="J254">
        <f t="array" ref="J254">IFERROR(INDEX('Work Items'!$L$6:$L$5000,SMALL(IF('Work Items'!$A$6:$A$5000="Risk",ROW('Work Items'!$A$6:$A$5000)-ROW('Work Items'!$A$6)+1),250)),"")</f>
        <v/>
      </c>
      <c r="K254">
        <f t="array" ref="K254">IFERROR(IF(AND(INDEX('Work Items'!$R$6:$R$5000,SMALL(IF('Work Items'!$A$6:$A$5000="Risk",ROW('Work Items'!$A$6:$A$5000)-ROW('Work Items'!$A$6)+1),250))&lt;&gt;"",INDEX('Work Items'!$S$6:$S$5000,SMALL(IF('Work Items'!$A$6:$A$5000="Risk",ROW('Work Items'!$A$6:$A$5000)-ROW('Work Items'!$A$6)+1),250))&lt;&gt;""),INDEX('Work Items'!$R$6:$R$5000,SMALL(IF('Work Items'!$A$6:$A$5000="Risk",ROW('Work Items'!$A$6:$A$5000)-ROW('Work Items'!$A$6)+1),250))*INDEX('Work Items'!$S$6:$S$5000,SMALL(IF('Work Items'!$A$6:$A$5000="Risk",ROW('Work Items'!$A$6:$A$5000)-ROW('Work Items'!$A$6)+1),250)),INDEX('Work Items'!$U$6:$U$5000,SMALL(IF('Work Items'!$A$6:$A$5000="Risk",ROW('Work Items'!$A$6:$A$5000)-ROW('Work Items'!$A$6)+1),250))),"")</f>
        <v/>
      </c>
      <c r="L254" s="217">
        <f t="array" ref="L254">IFERROR(INDEX('Work Items'!$Q$6:$Q$5000,SMALL(IF('Work Items'!$A$6:$A$5000="Risk",ROW('Work Items'!$A$6:$A$5000)-ROW('Work Items'!$A$6)+1),250)),"")</f>
        <v/>
      </c>
      <c r="M254">
        <f t="array" ref="M254">IFERROR(INDEX('Work Items'!$T$6:$T$5000,SMALL(IF('Work Items'!$A$6:$A$5000="Risk",ROW('Work Items'!$A$6:$A$5000)-ROW('Work Items'!$A$6)+1),250)),"")</f>
        <v/>
      </c>
    </row>
    <row r="255">
      <c r="A255">
        <f t="array" ref="A255">IFERROR(INDEX('Work Items'!$A$6:$A$5000,SMALL(IF('Work Items'!$A$6:$A$5000="Risk",ROW('Work Items'!$A$6:$A$5000)-ROW('Work Items'!$A$6)+1),251)),"")</f>
        <v/>
      </c>
      <c r="B255">
        <f t="array" ref="B255">IFERROR(INDEX('Work Items'!$B$6:$B$5000,SMALL(IF('Work Items'!$A$6:$A$5000="Risk",ROW('Work Items'!$A$6:$A$5000)-ROW('Work Items'!$A$6)+1),251)),"")</f>
        <v/>
      </c>
      <c r="C255">
        <f>IF(E255="","",IFERROR(INDEX('Projects Master'!$A:$A,MATCH(E255,'Projects Master'!$B:$B,0)),"OrgRisk"))</f>
        <v/>
      </c>
      <c r="D255">
        <f t="array" ref="D255">IFERROR(INDEX('Work Items'!$C$6:$C$5000,SMALL(IF('Work Items'!$A$6:$A$5000="Risk",ROW('Work Items'!$A$6:$A$5000)-ROW('Work Items'!$A$6)+1),251)),"")</f>
        <v/>
      </c>
      <c r="E255">
        <f t="array" ref="E255">IFERROR(INDEX('Work Items'!$D$6:$D$5000,SMALL(IF('Work Items'!$A$6:$A$5000="Risk",ROW('Work Items'!$A$6:$A$5000)-ROW('Work Items'!$A$6)+1),251)),"")</f>
        <v/>
      </c>
      <c r="F255">
        <f t="array" ref="F255">IFERROR(INDEX('Work Items'!$E$6:$E$5000,SMALL(IF('Work Items'!$A$6:$A$5000="Risk",ROW('Work Items'!$A$6:$A$5000)-ROW('Work Items'!$A$6)+1),251)),"")</f>
        <v/>
      </c>
      <c r="G255">
        <f t="array" ref="G255">IFERROR(INDEX('Work Items'!$F$6:$F$5000,SMALL(IF('Work Items'!$A$6:$A$5000="Risk",ROW('Work Items'!$A$6:$A$5000)-ROW('Work Items'!$A$6)+1),251)),"")</f>
        <v/>
      </c>
      <c r="H255">
        <f t="array" ref="H255">IFERROR(INDEX('Work Items'!$J$6:$J$5000,SMALL(IF('Work Items'!$A$6:$A$5000="Risk",ROW('Work Items'!$A$6:$A$5000)-ROW('Work Items'!$A$6)+1),251)),"")</f>
        <v/>
      </c>
      <c r="I255">
        <f t="array" ref="I255">IFERROR(INDEX('Work Items'!$K$6:$K$5000,SMALL(IF('Work Items'!$A$6:$A$5000="Risk",ROW('Work Items'!$A$6:$A$5000)-ROW('Work Items'!$A$6)+1),251)),"")</f>
        <v/>
      </c>
      <c r="J255">
        <f t="array" ref="J255">IFERROR(INDEX('Work Items'!$L$6:$L$5000,SMALL(IF('Work Items'!$A$6:$A$5000="Risk",ROW('Work Items'!$A$6:$A$5000)-ROW('Work Items'!$A$6)+1),251)),"")</f>
        <v/>
      </c>
      <c r="K255">
        <f t="array" ref="K255">IFERROR(IF(AND(INDEX('Work Items'!$R$6:$R$5000,SMALL(IF('Work Items'!$A$6:$A$5000="Risk",ROW('Work Items'!$A$6:$A$5000)-ROW('Work Items'!$A$6)+1),251))&lt;&gt;"",INDEX('Work Items'!$S$6:$S$5000,SMALL(IF('Work Items'!$A$6:$A$5000="Risk",ROW('Work Items'!$A$6:$A$5000)-ROW('Work Items'!$A$6)+1),251))&lt;&gt;""),INDEX('Work Items'!$R$6:$R$5000,SMALL(IF('Work Items'!$A$6:$A$5000="Risk",ROW('Work Items'!$A$6:$A$5000)-ROW('Work Items'!$A$6)+1),251))*INDEX('Work Items'!$S$6:$S$5000,SMALL(IF('Work Items'!$A$6:$A$5000="Risk",ROW('Work Items'!$A$6:$A$5000)-ROW('Work Items'!$A$6)+1),251)),INDEX('Work Items'!$U$6:$U$5000,SMALL(IF('Work Items'!$A$6:$A$5000="Risk",ROW('Work Items'!$A$6:$A$5000)-ROW('Work Items'!$A$6)+1),251))),"")</f>
        <v/>
      </c>
      <c r="L255" s="217">
        <f t="array" ref="L255">IFERROR(INDEX('Work Items'!$Q$6:$Q$5000,SMALL(IF('Work Items'!$A$6:$A$5000="Risk",ROW('Work Items'!$A$6:$A$5000)-ROW('Work Items'!$A$6)+1),251)),"")</f>
        <v/>
      </c>
      <c r="M255">
        <f t="array" ref="M255">IFERROR(INDEX('Work Items'!$T$6:$T$5000,SMALL(IF('Work Items'!$A$6:$A$5000="Risk",ROW('Work Items'!$A$6:$A$5000)-ROW('Work Items'!$A$6)+1),251)),"")</f>
        <v/>
      </c>
    </row>
    <row r="256">
      <c r="A256">
        <f t="array" ref="A256">IFERROR(INDEX('Work Items'!$A$6:$A$5000,SMALL(IF('Work Items'!$A$6:$A$5000="Risk",ROW('Work Items'!$A$6:$A$5000)-ROW('Work Items'!$A$6)+1),252)),"")</f>
        <v/>
      </c>
      <c r="B256">
        <f t="array" ref="B256">IFERROR(INDEX('Work Items'!$B$6:$B$5000,SMALL(IF('Work Items'!$A$6:$A$5000="Risk",ROW('Work Items'!$A$6:$A$5000)-ROW('Work Items'!$A$6)+1),252)),"")</f>
        <v/>
      </c>
      <c r="C256">
        <f>IF(E256="","",IFERROR(INDEX('Projects Master'!$A:$A,MATCH(E256,'Projects Master'!$B:$B,0)),"OrgRisk"))</f>
        <v/>
      </c>
      <c r="D256">
        <f t="array" ref="D256">IFERROR(INDEX('Work Items'!$C$6:$C$5000,SMALL(IF('Work Items'!$A$6:$A$5000="Risk",ROW('Work Items'!$A$6:$A$5000)-ROW('Work Items'!$A$6)+1),252)),"")</f>
        <v/>
      </c>
      <c r="E256">
        <f t="array" ref="E256">IFERROR(INDEX('Work Items'!$D$6:$D$5000,SMALL(IF('Work Items'!$A$6:$A$5000="Risk",ROW('Work Items'!$A$6:$A$5000)-ROW('Work Items'!$A$6)+1),252)),"")</f>
        <v/>
      </c>
      <c r="F256">
        <f t="array" ref="F256">IFERROR(INDEX('Work Items'!$E$6:$E$5000,SMALL(IF('Work Items'!$A$6:$A$5000="Risk",ROW('Work Items'!$A$6:$A$5000)-ROW('Work Items'!$A$6)+1),252)),"")</f>
        <v/>
      </c>
      <c r="G256">
        <f t="array" ref="G256">IFERROR(INDEX('Work Items'!$F$6:$F$5000,SMALL(IF('Work Items'!$A$6:$A$5000="Risk",ROW('Work Items'!$A$6:$A$5000)-ROW('Work Items'!$A$6)+1),252)),"")</f>
        <v/>
      </c>
      <c r="H256">
        <f t="array" ref="H256">IFERROR(INDEX('Work Items'!$J$6:$J$5000,SMALL(IF('Work Items'!$A$6:$A$5000="Risk",ROW('Work Items'!$A$6:$A$5000)-ROW('Work Items'!$A$6)+1),252)),"")</f>
        <v/>
      </c>
      <c r="I256">
        <f t="array" ref="I256">IFERROR(INDEX('Work Items'!$K$6:$K$5000,SMALL(IF('Work Items'!$A$6:$A$5000="Risk",ROW('Work Items'!$A$6:$A$5000)-ROW('Work Items'!$A$6)+1),252)),"")</f>
        <v/>
      </c>
      <c r="J256">
        <f t="array" ref="J256">IFERROR(INDEX('Work Items'!$L$6:$L$5000,SMALL(IF('Work Items'!$A$6:$A$5000="Risk",ROW('Work Items'!$A$6:$A$5000)-ROW('Work Items'!$A$6)+1),252)),"")</f>
        <v/>
      </c>
      <c r="K256">
        <f t="array" ref="K256">IFERROR(IF(AND(INDEX('Work Items'!$R$6:$R$5000,SMALL(IF('Work Items'!$A$6:$A$5000="Risk",ROW('Work Items'!$A$6:$A$5000)-ROW('Work Items'!$A$6)+1),252))&lt;&gt;"",INDEX('Work Items'!$S$6:$S$5000,SMALL(IF('Work Items'!$A$6:$A$5000="Risk",ROW('Work Items'!$A$6:$A$5000)-ROW('Work Items'!$A$6)+1),252))&lt;&gt;""),INDEX('Work Items'!$R$6:$R$5000,SMALL(IF('Work Items'!$A$6:$A$5000="Risk",ROW('Work Items'!$A$6:$A$5000)-ROW('Work Items'!$A$6)+1),252))*INDEX('Work Items'!$S$6:$S$5000,SMALL(IF('Work Items'!$A$6:$A$5000="Risk",ROW('Work Items'!$A$6:$A$5000)-ROW('Work Items'!$A$6)+1),252)),INDEX('Work Items'!$U$6:$U$5000,SMALL(IF('Work Items'!$A$6:$A$5000="Risk",ROW('Work Items'!$A$6:$A$5000)-ROW('Work Items'!$A$6)+1),252))),"")</f>
        <v/>
      </c>
      <c r="L256" s="217">
        <f t="array" ref="L256">IFERROR(INDEX('Work Items'!$Q$6:$Q$5000,SMALL(IF('Work Items'!$A$6:$A$5000="Risk",ROW('Work Items'!$A$6:$A$5000)-ROW('Work Items'!$A$6)+1),252)),"")</f>
        <v/>
      </c>
      <c r="M256">
        <f t="array" ref="M256">IFERROR(INDEX('Work Items'!$T$6:$T$5000,SMALL(IF('Work Items'!$A$6:$A$5000="Risk",ROW('Work Items'!$A$6:$A$5000)-ROW('Work Items'!$A$6)+1),252)),"")</f>
        <v/>
      </c>
    </row>
    <row r="257">
      <c r="A257">
        <f t="array" ref="A257">IFERROR(INDEX('Work Items'!$A$6:$A$5000,SMALL(IF('Work Items'!$A$6:$A$5000="Risk",ROW('Work Items'!$A$6:$A$5000)-ROW('Work Items'!$A$6)+1),253)),"")</f>
        <v/>
      </c>
      <c r="B257">
        <f t="array" ref="B257">IFERROR(INDEX('Work Items'!$B$6:$B$5000,SMALL(IF('Work Items'!$A$6:$A$5000="Risk",ROW('Work Items'!$A$6:$A$5000)-ROW('Work Items'!$A$6)+1),253)),"")</f>
        <v/>
      </c>
      <c r="C257">
        <f>IF(E257="","",IFERROR(INDEX('Projects Master'!$A:$A,MATCH(E257,'Projects Master'!$B:$B,0)),"OrgRisk"))</f>
        <v/>
      </c>
      <c r="D257">
        <f t="array" ref="D257">IFERROR(INDEX('Work Items'!$C$6:$C$5000,SMALL(IF('Work Items'!$A$6:$A$5000="Risk",ROW('Work Items'!$A$6:$A$5000)-ROW('Work Items'!$A$6)+1),253)),"")</f>
        <v/>
      </c>
      <c r="E257">
        <f t="array" ref="E257">IFERROR(INDEX('Work Items'!$D$6:$D$5000,SMALL(IF('Work Items'!$A$6:$A$5000="Risk",ROW('Work Items'!$A$6:$A$5000)-ROW('Work Items'!$A$6)+1),253)),"")</f>
        <v/>
      </c>
      <c r="F257">
        <f t="array" ref="F257">IFERROR(INDEX('Work Items'!$E$6:$E$5000,SMALL(IF('Work Items'!$A$6:$A$5000="Risk",ROW('Work Items'!$A$6:$A$5000)-ROW('Work Items'!$A$6)+1),253)),"")</f>
        <v/>
      </c>
      <c r="G257">
        <f t="array" ref="G257">IFERROR(INDEX('Work Items'!$F$6:$F$5000,SMALL(IF('Work Items'!$A$6:$A$5000="Risk",ROW('Work Items'!$A$6:$A$5000)-ROW('Work Items'!$A$6)+1),253)),"")</f>
        <v/>
      </c>
      <c r="H257">
        <f t="array" ref="H257">IFERROR(INDEX('Work Items'!$J$6:$J$5000,SMALL(IF('Work Items'!$A$6:$A$5000="Risk",ROW('Work Items'!$A$6:$A$5000)-ROW('Work Items'!$A$6)+1),253)),"")</f>
        <v/>
      </c>
      <c r="I257">
        <f t="array" ref="I257">IFERROR(INDEX('Work Items'!$K$6:$K$5000,SMALL(IF('Work Items'!$A$6:$A$5000="Risk",ROW('Work Items'!$A$6:$A$5000)-ROW('Work Items'!$A$6)+1),253)),"")</f>
        <v/>
      </c>
      <c r="J257">
        <f t="array" ref="J257">IFERROR(INDEX('Work Items'!$L$6:$L$5000,SMALL(IF('Work Items'!$A$6:$A$5000="Risk",ROW('Work Items'!$A$6:$A$5000)-ROW('Work Items'!$A$6)+1),253)),"")</f>
        <v/>
      </c>
      <c r="K257">
        <f t="array" ref="K257">IFERROR(IF(AND(INDEX('Work Items'!$R$6:$R$5000,SMALL(IF('Work Items'!$A$6:$A$5000="Risk",ROW('Work Items'!$A$6:$A$5000)-ROW('Work Items'!$A$6)+1),253))&lt;&gt;"",INDEX('Work Items'!$S$6:$S$5000,SMALL(IF('Work Items'!$A$6:$A$5000="Risk",ROW('Work Items'!$A$6:$A$5000)-ROW('Work Items'!$A$6)+1),253))&lt;&gt;""),INDEX('Work Items'!$R$6:$R$5000,SMALL(IF('Work Items'!$A$6:$A$5000="Risk",ROW('Work Items'!$A$6:$A$5000)-ROW('Work Items'!$A$6)+1),253))*INDEX('Work Items'!$S$6:$S$5000,SMALL(IF('Work Items'!$A$6:$A$5000="Risk",ROW('Work Items'!$A$6:$A$5000)-ROW('Work Items'!$A$6)+1),253)),INDEX('Work Items'!$U$6:$U$5000,SMALL(IF('Work Items'!$A$6:$A$5000="Risk",ROW('Work Items'!$A$6:$A$5000)-ROW('Work Items'!$A$6)+1),253))),"")</f>
        <v/>
      </c>
      <c r="L257" s="217">
        <f t="array" ref="L257">IFERROR(INDEX('Work Items'!$Q$6:$Q$5000,SMALL(IF('Work Items'!$A$6:$A$5000="Risk",ROW('Work Items'!$A$6:$A$5000)-ROW('Work Items'!$A$6)+1),253)),"")</f>
        <v/>
      </c>
      <c r="M257">
        <f t="array" ref="M257">IFERROR(INDEX('Work Items'!$T$6:$T$5000,SMALL(IF('Work Items'!$A$6:$A$5000="Risk",ROW('Work Items'!$A$6:$A$5000)-ROW('Work Items'!$A$6)+1),253)),"")</f>
        <v/>
      </c>
    </row>
    <row r="258">
      <c r="A258">
        <f t="array" ref="A258">IFERROR(INDEX('Work Items'!$A$6:$A$5000,SMALL(IF('Work Items'!$A$6:$A$5000="Risk",ROW('Work Items'!$A$6:$A$5000)-ROW('Work Items'!$A$6)+1),254)),"")</f>
        <v/>
      </c>
      <c r="B258">
        <f t="array" ref="B258">IFERROR(INDEX('Work Items'!$B$6:$B$5000,SMALL(IF('Work Items'!$A$6:$A$5000="Risk",ROW('Work Items'!$A$6:$A$5000)-ROW('Work Items'!$A$6)+1),254)),"")</f>
        <v/>
      </c>
      <c r="C258">
        <f>IF(E258="","",IFERROR(INDEX('Projects Master'!$A:$A,MATCH(E258,'Projects Master'!$B:$B,0)),"OrgRisk"))</f>
        <v/>
      </c>
      <c r="D258">
        <f t="array" ref="D258">IFERROR(INDEX('Work Items'!$C$6:$C$5000,SMALL(IF('Work Items'!$A$6:$A$5000="Risk",ROW('Work Items'!$A$6:$A$5000)-ROW('Work Items'!$A$6)+1),254)),"")</f>
        <v/>
      </c>
      <c r="E258">
        <f t="array" ref="E258">IFERROR(INDEX('Work Items'!$D$6:$D$5000,SMALL(IF('Work Items'!$A$6:$A$5000="Risk",ROW('Work Items'!$A$6:$A$5000)-ROW('Work Items'!$A$6)+1),254)),"")</f>
        <v/>
      </c>
      <c r="F258">
        <f t="array" ref="F258">IFERROR(INDEX('Work Items'!$E$6:$E$5000,SMALL(IF('Work Items'!$A$6:$A$5000="Risk",ROW('Work Items'!$A$6:$A$5000)-ROW('Work Items'!$A$6)+1),254)),"")</f>
        <v/>
      </c>
      <c r="G258">
        <f t="array" ref="G258">IFERROR(INDEX('Work Items'!$F$6:$F$5000,SMALL(IF('Work Items'!$A$6:$A$5000="Risk",ROW('Work Items'!$A$6:$A$5000)-ROW('Work Items'!$A$6)+1),254)),"")</f>
        <v/>
      </c>
      <c r="H258">
        <f t="array" ref="H258">IFERROR(INDEX('Work Items'!$J$6:$J$5000,SMALL(IF('Work Items'!$A$6:$A$5000="Risk",ROW('Work Items'!$A$6:$A$5000)-ROW('Work Items'!$A$6)+1),254)),"")</f>
        <v/>
      </c>
      <c r="I258">
        <f t="array" ref="I258">IFERROR(INDEX('Work Items'!$K$6:$K$5000,SMALL(IF('Work Items'!$A$6:$A$5000="Risk",ROW('Work Items'!$A$6:$A$5000)-ROW('Work Items'!$A$6)+1),254)),"")</f>
        <v/>
      </c>
      <c r="J258">
        <f t="array" ref="J258">IFERROR(INDEX('Work Items'!$L$6:$L$5000,SMALL(IF('Work Items'!$A$6:$A$5000="Risk",ROW('Work Items'!$A$6:$A$5000)-ROW('Work Items'!$A$6)+1),254)),"")</f>
        <v/>
      </c>
      <c r="K258">
        <f t="array" ref="K258">IFERROR(IF(AND(INDEX('Work Items'!$R$6:$R$5000,SMALL(IF('Work Items'!$A$6:$A$5000="Risk",ROW('Work Items'!$A$6:$A$5000)-ROW('Work Items'!$A$6)+1),254))&lt;&gt;"",INDEX('Work Items'!$S$6:$S$5000,SMALL(IF('Work Items'!$A$6:$A$5000="Risk",ROW('Work Items'!$A$6:$A$5000)-ROW('Work Items'!$A$6)+1),254))&lt;&gt;""),INDEX('Work Items'!$R$6:$R$5000,SMALL(IF('Work Items'!$A$6:$A$5000="Risk",ROW('Work Items'!$A$6:$A$5000)-ROW('Work Items'!$A$6)+1),254))*INDEX('Work Items'!$S$6:$S$5000,SMALL(IF('Work Items'!$A$6:$A$5000="Risk",ROW('Work Items'!$A$6:$A$5000)-ROW('Work Items'!$A$6)+1),254)),INDEX('Work Items'!$U$6:$U$5000,SMALL(IF('Work Items'!$A$6:$A$5000="Risk",ROW('Work Items'!$A$6:$A$5000)-ROW('Work Items'!$A$6)+1),254))),"")</f>
        <v/>
      </c>
      <c r="L258" s="217">
        <f t="array" ref="L258">IFERROR(INDEX('Work Items'!$Q$6:$Q$5000,SMALL(IF('Work Items'!$A$6:$A$5000="Risk",ROW('Work Items'!$A$6:$A$5000)-ROW('Work Items'!$A$6)+1),254)),"")</f>
        <v/>
      </c>
      <c r="M258">
        <f t="array" ref="M258">IFERROR(INDEX('Work Items'!$T$6:$T$5000,SMALL(IF('Work Items'!$A$6:$A$5000="Risk",ROW('Work Items'!$A$6:$A$5000)-ROW('Work Items'!$A$6)+1),254)),"")</f>
        <v/>
      </c>
    </row>
    <row r="259">
      <c r="A259">
        <f t="array" ref="A259">IFERROR(INDEX('Work Items'!$A$6:$A$5000,SMALL(IF('Work Items'!$A$6:$A$5000="Risk",ROW('Work Items'!$A$6:$A$5000)-ROW('Work Items'!$A$6)+1),255)),"")</f>
        <v/>
      </c>
      <c r="B259">
        <f t="array" ref="B259">IFERROR(INDEX('Work Items'!$B$6:$B$5000,SMALL(IF('Work Items'!$A$6:$A$5000="Risk",ROW('Work Items'!$A$6:$A$5000)-ROW('Work Items'!$A$6)+1),255)),"")</f>
        <v/>
      </c>
      <c r="C259">
        <f>IF(E259="","",IFERROR(INDEX('Projects Master'!$A:$A,MATCH(E259,'Projects Master'!$B:$B,0)),"OrgRisk"))</f>
        <v/>
      </c>
      <c r="D259">
        <f t="array" ref="D259">IFERROR(INDEX('Work Items'!$C$6:$C$5000,SMALL(IF('Work Items'!$A$6:$A$5000="Risk",ROW('Work Items'!$A$6:$A$5000)-ROW('Work Items'!$A$6)+1),255)),"")</f>
        <v/>
      </c>
      <c r="E259">
        <f t="array" ref="E259">IFERROR(INDEX('Work Items'!$D$6:$D$5000,SMALL(IF('Work Items'!$A$6:$A$5000="Risk",ROW('Work Items'!$A$6:$A$5000)-ROW('Work Items'!$A$6)+1),255)),"")</f>
        <v/>
      </c>
      <c r="F259">
        <f t="array" ref="F259">IFERROR(INDEX('Work Items'!$E$6:$E$5000,SMALL(IF('Work Items'!$A$6:$A$5000="Risk",ROW('Work Items'!$A$6:$A$5000)-ROW('Work Items'!$A$6)+1),255)),"")</f>
        <v/>
      </c>
      <c r="G259">
        <f t="array" ref="G259">IFERROR(INDEX('Work Items'!$F$6:$F$5000,SMALL(IF('Work Items'!$A$6:$A$5000="Risk",ROW('Work Items'!$A$6:$A$5000)-ROW('Work Items'!$A$6)+1),255)),"")</f>
        <v/>
      </c>
      <c r="H259">
        <f t="array" ref="H259">IFERROR(INDEX('Work Items'!$J$6:$J$5000,SMALL(IF('Work Items'!$A$6:$A$5000="Risk",ROW('Work Items'!$A$6:$A$5000)-ROW('Work Items'!$A$6)+1),255)),"")</f>
        <v/>
      </c>
      <c r="I259">
        <f t="array" ref="I259">IFERROR(INDEX('Work Items'!$K$6:$K$5000,SMALL(IF('Work Items'!$A$6:$A$5000="Risk",ROW('Work Items'!$A$6:$A$5000)-ROW('Work Items'!$A$6)+1),255)),"")</f>
        <v/>
      </c>
      <c r="J259">
        <f t="array" ref="J259">IFERROR(INDEX('Work Items'!$L$6:$L$5000,SMALL(IF('Work Items'!$A$6:$A$5000="Risk",ROW('Work Items'!$A$6:$A$5000)-ROW('Work Items'!$A$6)+1),255)),"")</f>
        <v/>
      </c>
      <c r="K259">
        <f t="array" ref="K259">IFERROR(IF(AND(INDEX('Work Items'!$R$6:$R$5000,SMALL(IF('Work Items'!$A$6:$A$5000="Risk",ROW('Work Items'!$A$6:$A$5000)-ROW('Work Items'!$A$6)+1),255))&lt;&gt;"",INDEX('Work Items'!$S$6:$S$5000,SMALL(IF('Work Items'!$A$6:$A$5000="Risk",ROW('Work Items'!$A$6:$A$5000)-ROW('Work Items'!$A$6)+1),255))&lt;&gt;""),INDEX('Work Items'!$R$6:$R$5000,SMALL(IF('Work Items'!$A$6:$A$5000="Risk",ROW('Work Items'!$A$6:$A$5000)-ROW('Work Items'!$A$6)+1),255))*INDEX('Work Items'!$S$6:$S$5000,SMALL(IF('Work Items'!$A$6:$A$5000="Risk",ROW('Work Items'!$A$6:$A$5000)-ROW('Work Items'!$A$6)+1),255)),INDEX('Work Items'!$U$6:$U$5000,SMALL(IF('Work Items'!$A$6:$A$5000="Risk",ROW('Work Items'!$A$6:$A$5000)-ROW('Work Items'!$A$6)+1),255))),"")</f>
        <v/>
      </c>
      <c r="L259" s="217">
        <f t="array" ref="L259">IFERROR(INDEX('Work Items'!$Q$6:$Q$5000,SMALL(IF('Work Items'!$A$6:$A$5000="Risk",ROW('Work Items'!$A$6:$A$5000)-ROW('Work Items'!$A$6)+1),255)),"")</f>
        <v/>
      </c>
      <c r="M259">
        <f t="array" ref="M259">IFERROR(INDEX('Work Items'!$T$6:$T$5000,SMALL(IF('Work Items'!$A$6:$A$5000="Risk",ROW('Work Items'!$A$6:$A$5000)-ROW('Work Items'!$A$6)+1),255)),"")</f>
        <v/>
      </c>
    </row>
    <row r="260">
      <c r="A260">
        <f t="array" ref="A260">IFERROR(INDEX('Work Items'!$A$6:$A$5000,SMALL(IF('Work Items'!$A$6:$A$5000="Risk",ROW('Work Items'!$A$6:$A$5000)-ROW('Work Items'!$A$6)+1),256)),"")</f>
        <v/>
      </c>
      <c r="B260">
        <f t="array" ref="B260">IFERROR(INDEX('Work Items'!$B$6:$B$5000,SMALL(IF('Work Items'!$A$6:$A$5000="Risk",ROW('Work Items'!$A$6:$A$5000)-ROW('Work Items'!$A$6)+1),256)),"")</f>
        <v/>
      </c>
      <c r="C260">
        <f>IF(E260="","",IFERROR(INDEX('Projects Master'!$A:$A,MATCH(E260,'Projects Master'!$B:$B,0)),"OrgRisk"))</f>
        <v/>
      </c>
      <c r="D260">
        <f t="array" ref="D260">IFERROR(INDEX('Work Items'!$C$6:$C$5000,SMALL(IF('Work Items'!$A$6:$A$5000="Risk",ROW('Work Items'!$A$6:$A$5000)-ROW('Work Items'!$A$6)+1),256)),"")</f>
        <v/>
      </c>
      <c r="E260">
        <f t="array" ref="E260">IFERROR(INDEX('Work Items'!$D$6:$D$5000,SMALL(IF('Work Items'!$A$6:$A$5000="Risk",ROW('Work Items'!$A$6:$A$5000)-ROW('Work Items'!$A$6)+1),256)),"")</f>
        <v/>
      </c>
      <c r="F260">
        <f t="array" ref="F260">IFERROR(INDEX('Work Items'!$E$6:$E$5000,SMALL(IF('Work Items'!$A$6:$A$5000="Risk",ROW('Work Items'!$A$6:$A$5000)-ROW('Work Items'!$A$6)+1),256)),"")</f>
        <v/>
      </c>
      <c r="G260">
        <f t="array" ref="G260">IFERROR(INDEX('Work Items'!$F$6:$F$5000,SMALL(IF('Work Items'!$A$6:$A$5000="Risk",ROW('Work Items'!$A$6:$A$5000)-ROW('Work Items'!$A$6)+1),256)),"")</f>
        <v/>
      </c>
      <c r="H260">
        <f t="array" ref="H260">IFERROR(INDEX('Work Items'!$J$6:$J$5000,SMALL(IF('Work Items'!$A$6:$A$5000="Risk",ROW('Work Items'!$A$6:$A$5000)-ROW('Work Items'!$A$6)+1),256)),"")</f>
        <v/>
      </c>
      <c r="I260">
        <f t="array" ref="I260">IFERROR(INDEX('Work Items'!$K$6:$K$5000,SMALL(IF('Work Items'!$A$6:$A$5000="Risk",ROW('Work Items'!$A$6:$A$5000)-ROW('Work Items'!$A$6)+1),256)),"")</f>
        <v/>
      </c>
      <c r="J260">
        <f t="array" ref="J260">IFERROR(INDEX('Work Items'!$L$6:$L$5000,SMALL(IF('Work Items'!$A$6:$A$5000="Risk",ROW('Work Items'!$A$6:$A$5000)-ROW('Work Items'!$A$6)+1),256)),"")</f>
        <v/>
      </c>
      <c r="K260">
        <f t="array" ref="K260">IFERROR(IF(AND(INDEX('Work Items'!$R$6:$R$5000,SMALL(IF('Work Items'!$A$6:$A$5000="Risk",ROW('Work Items'!$A$6:$A$5000)-ROW('Work Items'!$A$6)+1),256))&lt;&gt;"",INDEX('Work Items'!$S$6:$S$5000,SMALL(IF('Work Items'!$A$6:$A$5000="Risk",ROW('Work Items'!$A$6:$A$5000)-ROW('Work Items'!$A$6)+1),256))&lt;&gt;""),INDEX('Work Items'!$R$6:$R$5000,SMALL(IF('Work Items'!$A$6:$A$5000="Risk",ROW('Work Items'!$A$6:$A$5000)-ROW('Work Items'!$A$6)+1),256))*INDEX('Work Items'!$S$6:$S$5000,SMALL(IF('Work Items'!$A$6:$A$5000="Risk",ROW('Work Items'!$A$6:$A$5000)-ROW('Work Items'!$A$6)+1),256)),INDEX('Work Items'!$U$6:$U$5000,SMALL(IF('Work Items'!$A$6:$A$5000="Risk",ROW('Work Items'!$A$6:$A$5000)-ROW('Work Items'!$A$6)+1),256))),"")</f>
        <v/>
      </c>
      <c r="L260" s="217">
        <f t="array" ref="L260">IFERROR(INDEX('Work Items'!$Q$6:$Q$5000,SMALL(IF('Work Items'!$A$6:$A$5000="Risk",ROW('Work Items'!$A$6:$A$5000)-ROW('Work Items'!$A$6)+1),256)),"")</f>
        <v/>
      </c>
      <c r="M260">
        <f t="array" ref="M260">IFERROR(INDEX('Work Items'!$T$6:$T$5000,SMALL(IF('Work Items'!$A$6:$A$5000="Risk",ROW('Work Items'!$A$6:$A$5000)-ROW('Work Items'!$A$6)+1),256)),"")</f>
        <v/>
      </c>
    </row>
    <row r="261">
      <c r="A261">
        <f t="array" ref="A261">IFERROR(INDEX('Work Items'!$A$6:$A$5000,SMALL(IF('Work Items'!$A$6:$A$5000="Risk",ROW('Work Items'!$A$6:$A$5000)-ROW('Work Items'!$A$6)+1),257)),"")</f>
        <v/>
      </c>
      <c r="B261">
        <f t="array" ref="B261">IFERROR(INDEX('Work Items'!$B$6:$B$5000,SMALL(IF('Work Items'!$A$6:$A$5000="Risk",ROW('Work Items'!$A$6:$A$5000)-ROW('Work Items'!$A$6)+1),257)),"")</f>
        <v/>
      </c>
      <c r="C261">
        <f>IF(E261="","",IFERROR(INDEX('Projects Master'!$A:$A,MATCH(E261,'Projects Master'!$B:$B,0)),"OrgRisk"))</f>
        <v/>
      </c>
      <c r="D261">
        <f t="array" ref="D261">IFERROR(INDEX('Work Items'!$C$6:$C$5000,SMALL(IF('Work Items'!$A$6:$A$5000="Risk",ROW('Work Items'!$A$6:$A$5000)-ROW('Work Items'!$A$6)+1),257)),"")</f>
        <v/>
      </c>
      <c r="E261">
        <f t="array" ref="E261">IFERROR(INDEX('Work Items'!$D$6:$D$5000,SMALL(IF('Work Items'!$A$6:$A$5000="Risk",ROW('Work Items'!$A$6:$A$5000)-ROW('Work Items'!$A$6)+1),257)),"")</f>
        <v/>
      </c>
      <c r="F261">
        <f t="array" ref="F261">IFERROR(INDEX('Work Items'!$E$6:$E$5000,SMALL(IF('Work Items'!$A$6:$A$5000="Risk",ROW('Work Items'!$A$6:$A$5000)-ROW('Work Items'!$A$6)+1),257)),"")</f>
        <v/>
      </c>
      <c r="G261">
        <f t="array" ref="G261">IFERROR(INDEX('Work Items'!$F$6:$F$5000,SMALL(IF('Work Items'!$A$6:$A$5000="Risk",ROW('Work Items'!$A$6:$A$5000)-ROW('Work Items'!$A$6)+1),257)),"")</f>
        <v/>
      </c>
      <c r="H261">
        <f t="array" ref="H261">IFERROR(INDEX('Work Items'!$J$6:$J$5000,SMALL(IF('Work Items'!$A$6:$A$5000="Risk",ROW('Work Items'!$A$6:$A$5000)-ROW('Work Items'!$A$6)+1),257)),"")</f>
        <v/>
      </c>
      <c r="I261">
        <f t="array" ref="I261">IFERROR(INDEX('Work Items'!$K$6:$K$5000,SMALL(IF('Work Items'!$A$6:$A$5000="Risk",ROW('Work Items'!$A$6:$A$5000)-ROW('Work Items'!$A$6)+1),257)),"")</f>
        <v/>
      </c>
      <c r="J261">
        <f t="array" ref="J261">IFERROR(INDEX('Work Items'!$L$6:$L$5000,SMALL(IF('Work Items'!$A$6:$A$5000="Risk",ROW('Work Items'!$A$6:$A$5000)-ROW('Work Items'!$A$6)+1),257)),"")</f>
        <v/>
      </c>
      <c r="K261">
        <f t="array" ref="K261">IFERROR(IF(AND(INDEX('Work Items'!$R$6:$R$5000,SMALL(IF('Work Items'!$A$6:$A$5000="Risk",ROW('Work Items'!$A$6:$A$5000)-ROW('Work Items'!$A$6)+1),257))&lt;&gt;"",INDEX('Work Items'!$S$6:$S$5000,SMALL(IF('Work Items'!$A$6:$A$5000="Risk",ROW('Work Items'!$A$6:$A$5000)-ROW('Work Items'!$A$6)+1),257))&lt;&gt;""),INDEX('Work Items'!$R$6:$R$5000,SMALL(IF('Work Items'!$A$6:$A$5000="Risk",ROW('Work Items'!$A$6:$A$5000)-ROW('Work Items'!$A$6)+1),257))*INDEX('Work Items'!$S$6:$S$5000,SMALL(IF('Work Items'!$A$6:$A$5000="Risk",ROW('Work Items'!$A$6:$A$5000)-ROW('Work Items'!$A$6)+1),257)),INDEX('Work Items'!$U$6:$U$5000,SMALL(IF('Work Items'!$A$6:$A$5000="Risk",ROW('Work Items'!$A$6:$A$5000)-ROW('Work Items'!$A$6)+1),257))),"")</f>
        <v/>
      </c>
      <c r="L261" s="217">
        <f t="array" ref="L261">IFERROR(INDEX('Work Items'!$Q$6:$Q$5000,SMALL(IF('Work Items'!$A$6:$A$5000="Risk",ROW('Work Items'!$A$6:$A$5000)-ROW('Work Items'!$A$6)+1),257)),"")</f>
        <v/>
      </c>
      <c r="M261">
        <f t="array" ref="M261">IFERROR(INDEX('Work Items'!$T$6:$T$5000,SMALL(IF('Work Items'!$A$6:$A$5000="Risk",ROW('Work Items'!$A$6:$A$5000)-ROW('Work Items'!$A$6)+1),257)),"")</f>
        <v/>
      </c>
    </row>
    <row r="262">
      <c r="A262">
        <f t="array" ref="A262">IFERROR(INDEX('Work Items'!$A$6:$A$5000,SMALL(IF('Work Items'!$A$6:$A$5000="Risk",ROW('Work Items'!$A$6:$A$5000)-ROW('Work Items'!$A$6)+1),258)),"")</f>
        <v/>
      </c>
      <c r="B262">
        <f t="array" ref="B262">IFERROR(INDEX('Work Items'!$B$6:$B$5000,SMALL(IF('Work Items'!$A$6:$A$5000="Risk",ROW('Work Items'!$A$6:$A$5000)-ROW('Work Items'!$A$6)+1),258)),"")</f>
        <v/>
      </c>
      <c r="C262">
        <f>IF(E262="","",IFERROR(INDEX('Projects Master'!$A:$A,MATCH(E262,'Projects Master'!$B:$B,0)),"OrgRisk"))</f>
        <v/>
      </c>
      <c r="D262">
        <f t="array" ref="D262">IFERROR(INDEX('Work Items'!$C$6:$C$5000,SMALL(IF('Work Items'!$A$6:$A$5000="Risk",ROW('Work Items'!$A$6:$A$5000)-ROW('Work Items'!$A$6)+1),258)),"")</f>
        <v/>
      </c>
      <c r="E262">
        <f t="array" ref="E262">IFERROR(INDEX('Work Items'!$D$6:$D$5000,SMALL(IF('Work Items'!$A$6:$A$5000="Risk",ROW('Work Items'!$A$6:$A$5000)-ROW('Work Items'!$A$6)+1),258)),"")</f>
        <v/>
      </c>
      <c r="F262">
        <f t="array" ref="F262">IFERROR(INDEX('Work Items'!$E$6:$E$5000,SMALL(IF('Work Items'!$A$6:$A$5000="Risk",ROW('Work Items'!$A$6:$A$5000)-ROW('Work Items'!$A$6)+1),258)),"")</f>
        <v/>
      </c>
      <c r="G262">
        <f t="array" ref="G262">IFERROR(INDEX('Work Items'!$F$6:$F$5000,SMALL(IF('Work Items'!$A$6:$A$5000="Risk",ROW('Work Items'!$A$6:$A$5000)-ROW('Work Items'!$A$6)+1),258)),"")</f>
        <v/>
      </c>
      <c r="H262">
        <f t="array" ref="H262">IFERROR(INDEX('Work Items'!$J$6:$J$5000,SMALL(IF('Work Items'!$A$6:$A$5000="Risk",ROW('Work Items'!$A$6:$A$5000)-ROW('Work Items'!$A$6)+1),258)),"")</f>
        <v/>
      </c>
      <c r="I262">
        <f t="array" ref="I262">IFERROR(INDEX('Work Items'!$K$6:$K$5000,SMALL(IF('Work Items'!$A$6:$A$5000="Risk",ROW('Work Items'!$A$6:$A$5000)-ROW('Work Items'!$A$6)+1),258)),"")</f>
        <v/>
      </c>
      <c r="J262">
        <f t="array" ref="J262">IFERROR(INDEX('Work Items'!$L$6:$L$5000,SMALL(IF('Work Items'!$A$6:$A$5000="Risk",ROW('Work Items'!$A$6:$A$5000)-ROW('Work Items'!$A$6)+1),258)),"")</f>
        <v/>
      </c>
      <c r="K262">
        <f t="array" ref="K262">IFERROR(IF(AND(INDEX('Work Items'!$R$6:$R$5000,SMALL(IF('Work Items'!$A$6:$A$5000="Risk",ROW('Work Items'!$A$6:$A$5000)-ROW('Work Items'!$A$6)+1),258))&lt;&gt;"",INDEX('Work Items'!$S$6:$S$5000,SMALL(IF('Work Items'!$A$6:$A$5000="Risk",ROW('Work Items'!$A$6:$A$5000)-ROW('Work Items'!$A$6)+1),258))&lt;&gt;""),INDEX('Work Items'!$R$6:$R$5000,SMALL(IF('Work Items'!$A$6:$A$5000="Risk",ROW('Work Items'!$A$6:$A$5000)-ROW('Work Items'!$A$6)+1),258))*INDEX('Work Items'!$S$6:$S$5000,SMALL(IF('Work Items'!$A$6:$A$5000="Risk",ROW('Work Items'!$A$6:$A$5000)-ROW('Work Items'!$A$6)+1),258)),INDEX('Work Items'!$U$6:$U$5000,SMALL(IF('Work Items'!$A$6:$A$5000="Risk",ROW('Work Items'!$A$6:$A$5000)-ROW('Work Items'!$A$6)+1),258))),"")</f>
        <v/>
      </c>
      <c r="L262" s="217">
        <f t="array" ref="L262">IFERROR(INDEX('Work Items'!$Q$6:$Q$5000,SMALL(IF('Work Items'!$A$6:$A$5000="Risk",ROW('Work Items'!$A$6:$A$5000)-ROW('Work Items'!$A$6)+1),258)),"")</f>
        <v/>
      </c>
      <c r="M262">
        <f t="array" ref="M262">IFERROR(INDEX('Work Items'!$T$6:$T$5000,SMALL(IF('Work Items'!$A$6:$A$5000="Risk",ROW('Work Items'!$A$6:$A$5000)-ROW('Work Items'!$A$6)+1),258)),"")</f>
        <v/>
      </c>
    </row>
    <row r="263">
      <c r="A263">
        <f t="array" ref="A263">IFERROR(INDEX('Work Items'!$A$6:$A$5000,SMALL(IF('Work Items'!$A$6:$A$5000="Risk",ROW('Work Items'!$A$6:$A$5000)-ROW('Work Items'!$A$6)+1),259)),"")</f>
        <v/>
      </c>
      <c r="B263">
        <f t="array" ref="B263">IFERROR(INDEX('Work Items'!$B$6:$B$5000,SMALL(IF('Work Items'!$A$6:$A$5000="Risk",ROW('Work Items'!$A$6:$A$5000)-ROW('Work Items'!$A$6)+1),259)),"")</f>
        <v/>
      </c>
      <c r="C263">
        <f>IF(E263="","",IFERROR(INDEX('Projects Master'!$A:$A,MATCH(E263,'Projects Master'!$B:$B,0)),"OrgRisk"))</f>
        <v/>
      </c>
      <c r="D263">
        <f t="array" ref="D263">IFERROR(INDEX('Work Items'!$C$6:$C$5000,SMALL(IF('Work Items'!$A$6:$A$5000="Risk",ROW('Work Items'!$A$6:$A$5000)-ROW('Work Items'!$A$6)+1),259)),"")</f>
        <v/>
      </c>
      <c r="E263">
        <f t="array" ref="E263">IFERROR(INDEX('Work Items'!$D$6:$D$5000,SMALL(IF('Work Items'!$A$6:$A$5000="Risk",ROW('Work Items'!$A$6:$A$5000)-ROW('Work Items'!$A$6)+1),259)),"")</f>
        <v/>
      </c>
      <c r="F263">
        <f t="array" ref="F263">IFERROR(INDEX('Work Items'!$E$6:$E$5000,SMALL(IF('Work Items'!$A$6:$A$5000="Risk",ROW('Work Items'!$A$6:$A$5000)-ROW('Work Items'!$A$6)+1),259)),"")</f>
        <v/>
      </c>
      <c r="G263">
        <f t="array" ref="G263">IFERROR(INDEX('Work Items'!$F$6:$F$5000,SMALL(IF('Work Items'!$A$6:$A$5000="Risk",ROW('Work Items'!$A$6:$A$5000)-ROW('Work Items'!$A$6)+1),259)),"")</f>
        <v/>
      </c>
      <c r="H263">
        <f t="array" ref="H263">IFERROR(INDEX('Work Items'!$J$6:$J$5000,SMALL(IF('Work Items'!$A$6:$A$5000="Risk",ROW('Work Items'!$A$6:$A$5000)-ROW('Work Items'!$A$6)+1),259)),"")</f>
        <v/>
      </c>
      <c r="I263">
        <f t="array" ref="I263">IFERROR(INDEX('Work Items'!$K$6:$K$5000,SMALL(IF('Work Items'!$A$6:$A$5000="Risk",ROW('Work Items'!$A$6:$A$5000)-ROW('Work Items'!$A$6)+1),259)),"")</f>
        <v/>
      </c>
      <c r="J263">
        <f t="array" ref="J263">IFERROR(INDEX('Work Items'!$L$6:$L$5000,SMALL(IF('Work Items'!$A$6:$A$5000="Risk",ROW('Work Items'!$A$6:$A$5000)-ROW('Work Items'!$A$6)+1),259)),"")</f>
        <v/>
      </c>
      <c r="K263">
        <f t="array" ref="K263">IFERROR(IF(AND(INDEX('Work Items'!$R$6:$R$5000,SMALL(IF('Work Items'!$A$6:$A$5000="Risk",ROW('Work Items'!$A$6:$A$5000)-ROW('Work Items'!$A$6)+1),259))&lt;&gt;"",INDEX('Work Items'!$S$6:$S$5000,SMALL(IF('Work Items'!$A$6:$A$5000="Risk",ROW('Work Items'!$A$6:$A$5000)-ROW('Work Items'!$A$6)+1),259))&lt;&gt;""),INDEX('Work Items'!$R$6:$R$5000,SMALL(IF('Work Items'!$A$6:$A$5000="Risk",ROW('Work Items'!$A$6:$A$5000)-ROW('Work Items'!$A$6)+1),259))*INDEX('Work Items'!$S$6:$S$5000,SMALL(IF('Work Items'!$A$6:$A$5000="Risk",ROW('Work Items'!$A$6:$A$5000)-ROW('Work Items'!$A$6)+1),259)),INDEX('Work Items'!$U$6:$U$5000,SMALL(IF('Work Items'!$A$6:$A$5000="Risk",ROW('Work Items'!$A$6:$A$5000)-ROW('Work Items'!$A$6)+1),259))),"")</f>
        <v/>
      </c>
      <c r="L263" s="217">
        <f t="array" ref="L263">IFERROR(INDEX('Work Items'!$Q$6:$Q$5000,SMALL(IF('Work Items'!$A$6:$A$5000="Risk",ROW('Work Items'!$A$6:$A$5000)-ROW('Work Items'!$A$6)+1),259)),"")</f>
        <v/>
      </c>
      <c r="M263">
        <f t="array" ref="M263">IFERROR(INDEX('Work Items'!$T$6:$T$5000,SMALL(IF('Work Items'!$A$6:$A$5000="Risk",ROW('Work Items'!$A$6:$A$5000)-ROW('Work Items'!$A$6)+1),259)),"")</f>
        <v/>
      </c>
    </row>
    <row r="264">
      <c r="A264">
        <f t="array" ref="A264">IFERROR(INDEX('Work Items'!$A$6:$A$5000,SMALL(IF('Work Items'!$A$6:$A$5000="Risk",ROW('Work Items'!$A$6:$A$5000)-ROW('Work Items'!$A$6)+1),260)),"")</f>
        <v/>
      </c>
      <c r="B264">
        <f t="array" ref="B264">IFERROR(INDEX('Work Items'!$B$6:$B$5000,SMALL(IF('Work Items'!$A$6:$A$5000="Risk",ROW('Work Items'!$A$6:$A$5000)-ROW('Work Items'!$A$6)+1),260)),"")</f>
        <v/>
      </c>
      <c r="C264">
        <f>IF(E264="","",IFERROR(INDEX('Projects Master'!$A:$A,MATCH(E264,'Projects Master'!$B:$B,0)),"OrgRisk"))</f>
        <v/>
      </c>
      <c r="D264">
        <f t="array" ref="D264">IFERROR(INDEX('Work Items'!$C$6:$C$5000,SMALL(IF('Work Items'!$A$6:$A$5000="Risk",ROW('Work Items'!$A$6:$A$5000)-ROW('Work Items'!$A$6)+1),260)),"")</f>
        <v/>
      </c>
      <c r="E264">
        <f t="array" ref="E264">IFERROR(INDEX('Work Items'!$D$6:$D$5000,SMALL(IF('Work Items'!$A$6:$A$5000="Risk",ROW('Work Items'!$A$6:$A$5000)-ROW('Work Items'!$A$6)+1),260)),"")</f>
        <v/>
      </c>
      <c r="F264">
        <f t="array" ref="F264">IFERROR(INDEX('Work Items'!$E$6:$E$5000,SMALL(IF('Work Items'!$A$6:$A$5000="Risk",ROW('Work Items'!$A$6:$A$5000)-ROW('Work Items'!$A$6)+1),260)),"")</f>
        <v/>
      </c>
      <c r="G264">
        <f t="array" ref="G264">IFERROR(INDEX('Work Items'!$F$6:$F$5000,SMALL(IF('Work Items'!$A$6:$A$5000="Risk",ROW('Work Items'!$A$6:$A$5000)-ROW('Work Items'!$A$6)+1),260)),"")</f>
        <v/>
      </c>
      <c r="H264">
        <f t="array" ref="H264">IFERROR(INDEX('Work Items'!$J$6:$J$5000,SMALL(IF('Work Items'!$A$6:$A$5000="Risk",ROW('Work Items'!$A$6:$A$5000)-ROW('Work Items'!$A$6)+1),260)),"")</f>
        <v/>
      </c>
      <c r="I264">
        <f t="array" ref="I264">IFERROR(INDEX('Work Items'!$K$6:$K$5000,SMALL(IF('Work Items'!$A$6:$A$5000="Risk",ROW('Work Items'!$A$6:$A$5000)-ROW('Work Items'!$A$6)+1),260)),"")</f>
        <v/>
      </c>
      <c r="J264">
        <f t="array" ref="J264">IFERROR(INDEX('Work Items'!$L$6:$L$5000,SMALL(IF('Work Items'!$A$6:$A$5000="Risk",ROW('Work Items'!$A$6:$A$5000)-ROW('Work Items'!$A$6)+1),260)),"")</f>
        <v/>
      </c>
      <c r="K264">
        <f t="array" ref="K264">IFERROR(IF(AND(INDEX('Work Items'!$R$6:$R$5000,SMALL(IF('Work Items'!$A$6:$A$5000="Risk",ROW('Work Items'!$A$6:$A$5000)-ROW('Work Items'!$A$6)+1),260))&lt;&gt;"",INDEX('Work Items'!$S$6:$S$5000,SMALL(IF('Work Items'!$A$6:$A$5000="Risk",ROW('Work Items'!$A$6:$A$5000)-ROW('Work Items'!$A$6)+1),260))&lt;&gt;""),INDEX('Work Items'!$R$6:$R$5000,SMALL(IF('Work Items'!$A$6:$A$5000="Risk",ROW('Work Items'!$A$6:$A$5000)-ROW('Work Items'!$A$6)+1),260))*INDEX('Work Items'!$S$6:$S$5000,SMALL(IF('Work Items'!$A$6:$A$5000="Risk",ROW('Work Items'!$A$6:$A$5000)-ROW('Work Items'!$A$6)+1),260)),INDEX('Work Items'!$U$6:$U$5000,SMALL(IF('Work Items'!$A$6:$A$5000="Risk",ROW('Work Items'!$A$6:$A$5000)-ROW('Work Items'!$A$6)+1),260))),"")</f>
        <v/>
      </c>
      <c r="L264" s="217">
        <f t="array" ref="L264">IFERROR(INDEX('Work Items'!$Q$6:$Q$5000,SMALL(IF('Work Items'!$A$6:$A$5000="Risk",ROW('Work Items'!$A$6:$A$5000)-ROW('Work Items'!$A$6)+1),260)),"")</f>
        <v/>
      </c>
      <c r="M264">
        <f t="array" ref="M264">IFERROR(INDEX('Work Items'!$T$6:$T$5000,SMALL(IF('Work Items'!$A$6:$A$5000="Risk",ROW('Work Items'!$A$6:$A$5000)-ROW('Work Items'!$A$6)+1),260)),"")</f>
        <v/>
      </c>
    </row>
    <row r="265">
      <c r="A265">
        <f t="array" ref="A265">IFERROR(INDEX('Work Items'!$A$6:$A$5000,SMALL(IF('Work Items'!$A$6:$A$5000="Risk",ROW('Work Items'!$A$6:$A$5000)-ROW('Work Items'!$A$6)+1),261)),"")</f>
        <v/>
      </c>
      <c r="B265">
        <f t="array" ref="B265">IFERROR(INDEX('Work Items'!$B$6:$B$5000,SMALL(IF('Work Items'!$A$6:$A$5000="Risk",ROW('Work Items'!$A$6:$A$5000)-ROW('Work Items'!$A$6)+1),261)),"")</f>
        <v/>
      </c>
      <c r="C265">
        <f>IF(E265="","",IFERROR(INDEX('Projects Master'!$A:$A,MATCH(E265,'Projects Master'!$B:$B,0)),"OrgRisk"))</f>
        <v/>
      </c>
      <c r="D265">
        <f t="array" ref="D265">IFERROR(INDEX('Work Items'!$C$6:$C$5000,SMALL(IF('Work Items'!$A$6:$A$5000="Risk",ROW('Work Items'!$A$6:$A$5000)-ROW('Work Items'!$A$6)+1),261)),"")</f>
        <v/>
      </c>
      <c r="E265">
        <f t="array" ref="E265">IFERROR(INDEX('Work Items'!$D$6:$D$5000,SMALL(IF('Work Items'!$A$6:$A$5000="Risk",ROW('Work Items'!$A$6:$A$5000)-ROW('Work Items'!$A$6)+1),261)),"")</f>
        <v/>
      </c>
      <c r="F265">
        <f t="array" ref="F265">IFERROR(INDEX('Work Items'!$E$6:$E$5000,SMALL(IF('Work Items'!$A$6:$A$5000="Risk",ROW('Work Items'!$A$6:$A$5000)-ROW('Work Items'!$A$6)+1),261)),"")</f>
        <v/>
      </c>
      <c r="G265">
        <f t="array" ref="G265">IFERROR(INDEX('Work Items'!$F$6:$F$5000,SMALL(IF('Work Items'!$A$6:$A$5000="Risk",ROW('Work Items'!$A$6:$A$5000)-ROW('Work Items'!$A$6)+1),261)),"")</f>
        <v/>
      </c>
      <c r="H265">
        <f t="array" ref="H265">IFERROR(INDEX('Work Items'!$J$6:$J$5000,SMALL(IF('Work Items'!$A$6:$A$5000="Risk",ROW('Work Items'!$A$6:$A$5000)-ROW('Work Items'!$A$6)+1),261)),"")</f>
        <v/>
      </c>
      <c r="I265">
        <f t="array" ref="I265">IFERROR(INDEX('Work Items'!$K$6:$K$5000,SMALL(IF('Work Items'!$A$6:$A$5000="Risk",ROW('Work Items'!$A$6:$A$5000)-ROW('Work Items'!$A$6)+1),261)),"")</f>
        <v/>
      </c>
      <c r="J265">
        <f t="array" ref="J265">IFERROR(INDEX('Work Items'!$L$6:$L$5000,SMALL(IF('Work Items'!$A$6:$A$5000="Risk",ROW('Work Items'!$A$6:$A$5000)-ROW('Work Items'!$A$6)+1),261)),"")</f>
        <v/>
      </c>
      <c r="K265">
        <f t="array" ref="K265">IFERROR(IF(AND(INDEX('Work Items'!$R$6:$R$5000,SMALL(IF('Work Items'!$A$6:$A$5000="Risk",ROW('Work Items'!$A$6:$A$5000)-ROW('Work Items'!$A$6)+1),261))&lt;&gt;"",INDEX('Work Items'!$S$6:$S$5000,SMALL(IF('Work Items'!$A$6:$A$5000="Risk",ROW('Work Items'!$A$6:$A$5000)-ROW('Work Items'!$A$6)+1),261))&lt;&gt;""),INDEX('Work Items'!$R$6:$R$5000,SMALL(IF('Work Items'!$A$6:$A$5000="Risk",ROW('Work Items'!$A$6:$A$5000)-ROW('Work Items'!$A$6)+1),261))*INDEX('Work Items'!$S$6:$S$5000,SMALL(IF('Work Items'!$A$6:$A$5000="Risk",ROW('Work Items'!$A$6:$A$5000)-ROW('Work Items'!$A$6)+1),261)),INDEX('Work Items'!$U$6:$U$5000,SMALL(IF('Work Items'!$A$6:$A$5000="Risk",ROW('Work Items'!$A$6:$A$5000)-ROW('Work Items'!$A$6)+1),261))),"")</f>
        <v/>
      </c>
      <c r="L265" s="217">
        <f t="array" ref="L265">IFERROR(INDEX('Work Items'!$Q$6:$Q$5000,SMALL(IF('Work Items'!$A$6:$A$5000="Risk",ROW('Work Items'!$A$6:$A$5000)-ROW('Work Items'!$A$6)+1),261)),"")</f>
        <v/>
      </c>
      <c r="M265">
        <f t="array" ref="M265">IFERROR(INDEX('Work Items'!$T$6:$T$5000,SMALL(IF('Work Items'!$A$6:$A$5000="Risk",ROW('Work Items'!$A$6:$A$5000)-ROW('Work Items'!$A$6)+1),261)),"")</f>
        <v/>
      </c>
    </row>
    <row r="266">
      <c r="A266">
        <f t="array" ref="A266">IFERROR(INDEX('Work Items'!$A$6:$A$5000,SMALL(IF('Work Items'!$A$6:$A$5000="Risk",ROW('Work Items'!$A$6:$A$5000)-ROW('Work Items'!$A$6)+1),262)),"")</f>
        <v/>
      </c>
      <c r="B266">
        <f t="array" ref="B266">IFERROR(INDEX('Work Items'!$B$6:$B$5000,SMALL(IF('Work Items'!$A$6:$A$5000="Risk",ROW('Work Items'!$A$6:$A$5000)-ROW('Work Items'!$A$6)+1),262)),"")</f>
        <v/>
      </c>
      <c r="C266">
        <f>IF(E266="","",IFERROR(INDEX('Projects Master'!$A:$A,MATCH(E266,'Projects Master'!$B:$B,0)),"OrgRisk"))</f>
        <v/>
      </c>
      <c r="D266">
        <f t="array" ref="D266">IFERROR(INDEX('Work Items'!$C$6:$C$5000,SMALL(IF('Work Items'!$A$6:$A$5000="Risk",ROW('Work Items'!$A$6:$A$5000)-ROW('Work Items'!$A$6)+1),262)),"")</f>
        <v/>
      </c>
      <c r="E266">
        <f t="array" ref="E266">IFERROR(INDEX('Work Items'!$D$6:$D$5000,SMALL(IF('Work Items'!$A$6:$A$5000="Risk",ROW('Work Items'!$A$6:$A$5000)-ROW('Work Items'!$A$6)+1),262)),"")</f>
        <v/>
      </c>
      <c r="F266">
        <f t="array" ref="F266">IFERROR(INDEX('Work Items'!$E$6:$E$5000,SMALL(IF('Work Items'!$A$6:$A$5000="Risk",ROW('Work Items'!$A$6:$A$5000)-ROW('Work Items'!$A$6)+1),262)),"")</f>
        <v/>
      </c>
      <c r="G266">
        <f t="array" ref="G266">IFERROR(INDEX('Work Items'!$F$6:$F$5000,SMALL(IF('Work Items'!$A$6:$A$5000="Risk",ROW('Work Items'!$A$6:$A$5000)-ROW('Work Items'!$A$6)+1),262)),"")</f>
        <v/>
      </c>
      <c r="H266">
        <f t="array" ref="H266">IFERROR(INDEX('Work Items'!$J$6:$J$5000,SMALL(IF('Work Items'!$A$6:$A$5000="Risk",ROW('Work Items'!$A$6:$A$5000)-ROW('Work Items'!$A$6)+1),262)),"")</f>
        <v/>
      </c>
      <c r="I266">
        <f t="array" ref="I266">IFERROR(INDEX('Work Items'!$K$6:$K$5000,SMALL(IF('Work Items'!$A$6:$A$5000="Risk",ROW('Work Items'!$A$6:$A$5000)-ROW('Work Items'!$A$6)+1),262)),"")</f>
        <v/>
      </c>
      <c r="J266">
        <f t="array" ref="J266">IFERROR(INDEX('Work Items'!$L$6:$L$5000,SMALL(IF('Work Items'!$A$6:$A$5000="Risk",ROW('Work Items'!$A$6:$A$5000)-ROW('Work Items'!$A$6)+1),262)),"")</f>
        <v/>
      </c>
      <c r="K266">
        <f t="array" ref="K266">IFERROR(IF(AND(INDEX('Work Items'!$R$6:$R$5000,SMALL(IF('Work Items'!$A$6:$A$5000="Risk",ROW('Work Items'!$A$6:$A$5000)-ROW('Work Items'!$A$6)+1),262))&lt;&gt;"",INDEX('Work Items'!$S$6:$S$5000,SMALL(IF('Work Items'!$A$6:$A$5000="Risk",ROW('Work Items'!$A$6:$A$5000)-ROW('Work Items'!$A$6)+1),262))&lt;&gt;""),INDEX('Work Items'!$R$6:$R$5000,SMALL(IF('Work Items'!$A$6:$A$5000="Risk",ROW('Work Items'!$A$6:$A$5000)-ROW('Work Items'!$A$6)+1),262))*INDEX('Work Items'!$S$6:$S$5000,SMALL(IF('Work Items'!$A$6:$A$5000="Risk",ROW('Work Items'!$A$6:$A$5000)-ROW('Work Items'!$A$6)+1),262)),INDEX('Work Items'!$U$6:$U$5000,SMALL(IF('Work Items'!$A$6:$A$5000="Risk",ROW('Work Items'!$A$6:$A$5000)-ROW('Work Items'!$A$6)+1),262))),"")</f>
        <v/>
      </c>
      <c r="L266" s="217">
        <f t="array" ref="L266">IFERROR(INDEX('Work Items'!$Q$6:$Q$5000,SMALL(IF('Work Items'!$A$6:$A$5000="Risk",ROW('Work Items'!$A$6:$A$5000)-ROW('Work Items'!$A$6)+1),262)),"")</f>
        <v/>
      </c>
      <c r="M266">
        <f t="array" ref="M266">IFERROR(INDEX('Work Items'!$T$6:$T$5000,SMALL(IF('Work Items'!$A$6:$A$5000="Risk",ROW('Work Items'!$A$6:$A$5000)-ROW('Work Items'!$A$6)+1),262)),"")</f>
        <v/>
      </c>
    </row>
    <row r="267">
      <c r="A267">
        <f t="array" ref="A267">IFERROR(INDEX('Work Items'!$A$6:$A$5000,SMALL(IF('Work Items'!$A$6:$A$5000="Risk",ROW('Work Items'!$A$6:$A$5000)-ROW('Work Items'!$A$6)+1),263)),"")</f>
        <v/>
      </c>
      <c r="B267">
        <f t="array" ref="B267">IFERROR(INDEX('Work Items'!$B$6:$B$5000,SMALL(IF('Work Items'!$A$6:$A$5000="Risk",ROW('Work Items'!$A$6:$A$5000)-ROW('Work Items'!$A$6)+1),263)),"")</f>
        <v/>
      </c>
      <c r="C267">
        <f>IF(E267="","",IFERROR(INDEX('Projects Master'!$A:$A,MATCH(E267,'Projects Master'!$B:$B,0)),"OrgRisk"))</f>
        <v/>
      </c>
      <c r="D267">
        <f t="array" ref="D267">IFERROR(INDEX('Work Items'!$C$6:$C$5000,SMALL(IF('Work Items'!$A$6:$A$5000="Risk",ROW('Work Items'!$A$6:$A$5000)-ROW('Work Items'!$A$6)+1),263)),"")</f>
        <v/>
      </c>
      <c r="E267">
        <f t="array" ref="E267">IFERROR(INDEX('Work Items'!$D$6:$D$5000,SMALL(IF('Work Items'!$A$6:$A$5000="Risk",ROW('Work Items'!$A$6:$A$5000)-ROW('Work Items'!$A$6)+1),263)),"")</f>
        <v/>
      </c>
      <c r="F267">
        <f t="array" ref="F267">IFERROR(INDEX('Work Items'!$E$6:$E$5000,SMALL(IF('Work Items'!$A$6:$A$5000="Risk",ROW('Work Items'!$A$6:$A$5000)-ROW('Work Items'!$A$6)+1),263)),"")</f>
        <v/>
      </c>
      <c r="G267">
        <f t="array" ref="G267">IFERROR(INDEX('Work Items'!$F$6:$F$5000,SMALL(IF('Work Items'!$A$6:$A$5000="Risk",ROW('Work Items'!$A$6:$A$5000)-ROW('Work Items'!$A$6)+1),263)),"")</f>
        <v/>
      </c>
      <c r="H267">
        <f t="array" ref="H267">IFERROR(INDEX('Work Items'!$J$6:$J$5000,SMALL(IF('Work Items'!$A$6:$A$5000="Risk",ROW('Work Items'!$A$6:$A$5000)-ROW('Work Items'!$A$6)+1),263)),"")</f>
        <v/>
      </c>
      <c r="I267">
        <f t="array" ref="I267">IFERROR(INDEX('Work Items'!$K$6:$K$5000,SMALL(IF('Work Items'!$A$6:$A$5000="Risk",ROW('Work Items'!$A$6:$A$5000)-ROW('Work Items'!$A$6)+1),263)),"")</f>
        <v/>
      </c>
      <c r="J267">
        <f t="array" ref="J267">IFERROR(INDEX('Work Items'!$L$6:$L$5000,SMALL(IF('Work Items'!$A$6:$A$5000="Risk",ROW('Work Items'!$A$6:$A$5000)-ROW('Work Items'!$A$6)+1),263)),"")</f>
        <v/>
      </c>
      <c r="K267">
        <f t="array" ref="K267">IFERROR(IF(AND(INDEX('Work Items'!$R$6:$R$5000,SMALL(IF('Work Items'!$A$6:$A$5000="Risk",ROW('Work Items'!$A$6:$A$5000)-ROW('Work Items'!$A$6)+1),263))&lt;&gt;"",INDEX('Work Items'!$S$6:$S$5000,SMALL(IF('Work Items'!$A$6:$A$5000="Risk",ROW('Work Items'!$A$6:$A$5000)-ROW('Work Items'!$A$6)+1),263))&lt;&gt;""),INDEX('Work Items'!$R$6:$R$5000,SMALL(IF('Work Items'!$A$6:$A$5000="Risk",ROW('Work Items'!$A$6:$A$5000)-ROW('Work Items'!$A$6)+1),263))*INDEX('Work Items'!$S$6:$S$5000,SMALL(IF('Work Items'!$A$6:$A$5000="Risk",ROW('Work Items'!$A$6:$A$5000)-ROW('Work Items'!$A$6)+1),263)),INDEX('Work Items'!$U$6:$U$5000,SMALL(IF('Work Items'!$A$6:$A$5000="Risk",ROW('Work Items'!$A$6:$A$5000)-ROW('Work Items'!$A$6)+1),263))),"")</f>
        <v/>
      </c>
      <c r="L267" s="217">
        <f t="array" ref="L267">IFERROR(INDEX('Work Items'!$Q$6:$Q$5000,SMALL(IF('Work Items'!$A$6:$A$5000="Risk",ROW('Work Items'!$A$6:$A$5000)-ROW('Work Items'!$A$6)+1),263)),"")</f>
        <v/>
      </c>
      <c r="M267">
        <f t="array" ref="M267">IFERROR(INDEX('Work Items'!$T$6:$T$5000,SMALL(IF('Work Items'!$A$6:$A$5000="Risk",ROW('Work Items'!$A$6:$A$5000)-ROW('Work Items'!$A$6)+1),263)),"")</f>
        <v/>
      </c>
    </row>
    <row r="268">
      <c r="A268">
        <f t="array" ref="A268">IFERROR(INDEX('Work Items'!$A$6:$A$5000,SMALL(IF('Work Items'!$A$6:$A$5000="Risk",ROW('Work Items'!$A$6:$A$5000)-ROW('Work Items'!$A$6)+1),264)),"")</f>
        <v/>
      </c>
      <c r="B268">
        <f t="array" ref="B268">IFERROR(INDEX('Work Items'!$B$6:$B$5000,SMALL(IF('Work Items'!$A$6:$A$5000="Risk",ROW('Work Items'!$A$6:$A$5000)-ROW('Work Items'!$A$6)+1),264)),"")</f>
        <v/>
      </c>
      <c r="C268">
        <f>IF(E268="","",IFERROR(INDEX('Projects Master'!$A:$A,MATCH(E268,'Projects Master'!$B:$B,0)),"OrgRisk"))</f>
        <v/>
      </c>
      <c r="D268">
        <f t="array" ref="D268">IFERROR(INDEX('Work Items'!$C$6:$C$5000,SMALL(IF('Work Items'!$A$6:$A$5000="Risk",ROW('Work Items'!$A$6:$A$5000)-ROW('Work Items'!$A$6)+1),264)),"")</f>
        <v/>
      </c>
      <c r="E268">
        <f t="array" ref="E268">IFERROR(INDEX('Work Items'!$D$6:$D$5000,SMALL(IF('Work Items'!$A$6:$A$5000="Risk",ROW('Work Items'!$A$6:$A$5000)-ROW('Work Items'!$A$6)+1),264)),"")</f>
        <v/>
      </c>
      <c r="F268">
        <f t="array" ref="F268">IFERROR(INDEX('Work Items'!$E$6:$E$5000,SMALL(IF('Work Items'!$A$6:$A$5000="Risk",ROW('Work Items'!$A$6:$A$5000)-ROW('Work Items'!$A$6)+1),264)),"")</f>
        <v/>
      </c>
      <c r="G268">
        <f t="array" ref="G268">IFERROR(INDEX('Work Items'!$F$6:$F$5000,SMALL(IF('Work Items'!$A$6:$A$5000="Risk",ROW('Work Items'!$A$6:$A$5000)-ROW('Work Items'!$A$6)+1),264)),"")</f>
        <v/>
      </c>
      <c r="H268">
        <f t="array" ref="H268">IFERROR(INDEX('Work Items'!$J$6:$J$5000,SMALL(IF('Work Items'!$A$6:$A$5000="Risk",ROW('Work Items'!$A$6:$A$5000)-ROW('Work Items'!$A$6)+1),264)),"")</f>
        <v/>
      </c>
      <c r="I268">
        <f t="array" ref="I268">IFERROR(INDEX('Work Items'!$K$6:$K$5000,SMALL(IF('Work Items'!$A$6:$A$5000="Risk",ROW('Work Items'!$A$6:$A$5000)-ROW('Work Items'!$A$6)+1),264)),"")</f>
        <v/>
      </c>
      <c r="J268">
        <f t="array" ref="J268">IFERROR(INDEX('Work Items'!$L$6:$L$5000,SMALL(IF('Work Items'!$A$6:$A$5000="Risk",ROW('Work Items'!$A$6:$A$5000)-ROW('Work Items'!$A$6)+1),264)),"")</f>
        <v/>
      </c>
      <c r="K268">
        <f t="array" ref="K268">IFERROR(IF(AND(INDEX('Work Items'!$R$6:$R$5000,SMALL(IF('Work Items'!$A$6:$A$5000="Risk",ROW('Work Items'!$A$6:$A$5000)-ROW('Work Items'!$A$6)+1),264))&lt;&gt;"",INDEX('Work Items'!$S$6:$S$5000,SMALL(IF('Work Items'!$A$6:$A$5000="Risk",ROW('Work Items'!$A$6:$A$5000)-ROW('Work Items'!$A$6)+1),264))&lt;&gt;""),INDEX('Work Items'!$R$6:$R$5000,SMALL(IF('Work Items'!$A$6:$A$5000="Risk",ROW('Work Items'!$A$6:$A$5000)-ROW('Work Items'!$A$6)+1),264))*INDEX('Work Items'!$S$6:$S$5000,SMALL(IF('Work Items'!$A$6:$A$5000="Risk",ROW('Work Items'!$A$6:$A$5000)-ROW('Work Items'!$A$6)+1),264)),INDEX('Work Items'!$U$6:$U$5000,SMALL(IF('Work Items'!$A$6:$A$5000="Risk",ROW('Work Items'!$A$6:$A$5000)-ROW('Work Items'!$A$6)+1),264))),"")</f>
        <v/>
      </c>
      <c r="L268" s="217">
        <f t="array" ref="L268">IFERROR(INDEX('Work Items'!$Q$6:$Q$5000,SMALL(IF('Work Items'!$A$6:$A$5000="Risk",ROW('Work Items'!$A$6:$A$5000)-ROW('Work Items'!$A$6)+1),264)),"")</f>
        <v/>
      </c>
      <c r="M268">
        <f t="array" ref="M268">IFERROR(INDEX('Work Items'!$T$6:$T$5000,SMALL(IF('Work Items'!$A$6:$A$5000="Risk",ROW('Work Items'!$A$6:$A$5000)-ROW('Work Items'!$A$6)+1),264)),"")</f>
        <v/>
      </c>
    </row>
    <row r="269">
      <c r="A269">
        <f t="array" ref="A269">IFERROR(INDEX('Work Items'!$A$6:$A$5000,SMALL(IF('Work Items'!$A$6:$A$5000="Risk",ROW('Work Items'!$A$6:$A$5000)-ROW('Work Items'!$A$6)+1),265)),"")</f>
        <v/>
      </c>
      <c r="B269">
        <f t="array" ref="B269">IFERROR(INDEX('Work Items'!$B$6:$B$5000,SMALL(IF('Work Items'!$A$6:$A$5000="Risk",ROW('Work Items'!$A$6:$A$5000)-ROW('Work Items'!$A$6)+1),265)),"")</f>
        <v/>
      </c>
      <c r="C269">
        <f>IF(E269="","",IFERROR(INDEX('Projects Master'!$A:$A,MATCH(E269,'Projects Master'!$B:$B,0)),"OrgRisk"))</f>
        <v/>
      </c>
      <c r="D269">
        <f t="array" ref="D269">IFERROR(INDEX('Work Items'!$C$6:$C$5000,SMALL(IF('Work Items'!$A$6:$A$5000="Risk",ROW('Work Items'!$A$6:$A$5000)-ROW('Work Items'!$A$6)+1),265)),"")</f>
        <v/>
      </c>
      <c r="E269">
        <f t="array" ref="E269">IFERROR(INDEX('Work Items'!$D$6:$D$5000,SMALL(IF('Work Items'!$A$6:$A$5000="Risk",ROW('Work Items'!$A$6:$A$5000)-ROW('Work Items'!$A$6)+1),265)),"")</f>
        <v/>
      </c>
      <c r="F269">
        <f t="array" ref="F269">IFERROR(INDEX('Work Items'!$E$6:$E$5000,SMALL(IF('Work Items'!$A$6:$A$5000="Risk",ROW('Work Items'!$A$6:$A$5000)-ROW('Work Items'!$A$6)+1),265)),"")</f>
        <v/>
      </c>
      <c r="G269">
        <f t="array" ref="G269">IFERROR(INDEX('Work Items'!$F$6:$F$5000,SMALL(IF('Work Items'!$A$6:$A$5000="Risk",ROW('Work Items'!$A$6:$A$5000)-ROW('Work Items'!$A$6)+1),265)),"")</f>
        <v/>
      </c>
      <c r="H269">
        <f t="array" ref="H269">IFERROR(INDEX('Work Items'!$J$6:$J$5000,SMALL(IF('Work Items'!$A$6:$A$5000="Risk",ROW('Work Items'!$A$6:$A$5000)-ROW('Work Items'!$A$6)+1),265)),"")</f>
        <v/>
      </c>
      <c r="I269">
        <f t="array" ref="I269">IFERROR(INDEX('Work Items'!$K$6:$K$5000,SMALL(IF('Work Items'!$A$6:$A$5000="Risk",ROW('Work Items'!$A$6:$A$5000)-ROW('Work Items'!$A$6)+1),265)),"")</f>
        <v/>
      </c>
      <c r="J269">
        <f t="array" ref="J269">IFERROR(INDEX('Work Items'!$L$6:$L$5000,SMALL(IF('Work Items'!$A$6:$A$5000="Risk",ROW('Work Items'!$A$6:$A$5000)-ROW('Work Items'!$A$6)+1),265)),"")</f>
        <v/>
      </c>
      <c r="K269">
        <f t="array" ref="K269">IFERROR(IF(AND(INDEX('Work Items'!$R$6:$R$5000,SMALL(IF('Work Items'!$A$6:$A$5000="Risk",ROW('Work Items'!$A$6:$A$5000)-ROW('Work Items'!$A$6)+1),265))&lt;&gt;"",INDEX('Work Items'!$S$6:$S$5000,SMALL(IF('Work Items'!$A$6:$A$5000="Risk",ROW('Work Items'!$A$6:$A$5000)-ROW('Work Items'!$A$6)+1),265))&lt;&gt;""),INDEX('Work Items'!$R$6:$R$5000,SMALL(IF('Work Items'!$A$6:$A$5000="Risk",ROW('Work Items'!$A$6:$A$5000)-ROW('Work Items'!$A$6)+1),265))*INDEX('Work Items'!$S$6:$S$5000,SMALL(IF('Work Items'!$A$6:$A$5000="Risk",ROW('Work Items'!$A$6:$A$5000)-ROW('Work Items'!$A$6)+1),265)),INDEX('Work Items'!$U$6:$U$5000,SMALL(IF('Work Items'!$A$6:$A$5000="Risk",ROW('Work Items'!$A$6:$A$5000)-ROW('Work Items'!$A$6)+1),265))),"")</f>
        <v/>
      </c>
      <c r="L269" s="217">
        <f t="array" ref="L269">IFERROR(INDEX('Work Items'!$Q$6:$Q$5000,SMALL(IF('Work Items'!$A$6:$A$5000="Risk",ROW('Work Items'!$A$6:$A$5000)-ROW('Work Items'!$A$6)+1),265)),"")</f>
        <v/>
      </c>
      <c r="M269">
        <f t="array" ref="M269">IFERROR(INDEX('Work Items'!$T$6:$T$5000,SMALL(IF('Work Items'!$A$6:$A$5000="Risk",ROW('Work Items'!$A$6:$A$5000)-ROW('Work Items'!$A$6)+1),265)),"")</f>
        <v/>
      </c>
    </row>
    <row r="270">
      <c r="A270">
        <f t="array" ref="A270">IFERROR(INDEX('Work Items'!$A$6:$A$5000,SMALL(IF('Work Items'!$A$6:$A$5000="Risk",ROW('Work Items'!$A$6:$A$5000)-ROW('Work Items'!$A$6)+1),266)),"")</f>
        <v/>
      </c>
      <c r="B270">
        <f t="array" ref="B270">IFERROR(INDEX('Work Items'!$B$6:$B$5000,SMALL(IF('Work Items'!$A$6:$A$5000="Risk",ROW('Work Items'!$A$6:$A$5000)-ROW('Work Items'!$A$6)+1),266)),"")</f>
        <v/>
      </c>
      <c r="C270">
        <f>IF(E270="","",IFERROR(INDEX('Projects Master'!$A:$A,MATCH(E270,'Projects Master'!$B:$B,0)),"OrgRisk"))</f>
        <v/>
      </c>
      <c r="D270">
        <f t="array" ref="D270">IFERROR(INDEX('Work Items'!$C$6:$C$5000,SMALL(IF('Work Items'!$A$6:$A$5000="Risk",ROW('Work Items'!$A$6:$A$5000)-ROW('Work Items'!$A$6)+1),266)),"")</f>
        <v/>
      </c>
      <c r="E270">
        <f t="array" ref="E270">IFERROR(INDEX('Work Items'!$D$6:$D$5000,SMALL(IF('Work Items'!$A$6:$A$5000="Risk",ROW('Work Items'!$A$6:$A$5000)-ROW('Work Items'!$A$6)+1),266)),"")</f>
        <v/>
      </c>
      <c r="F270">
        <f t="array" ref="F270">IFERROR(INDEX('Work Items'!$E$6:$E$5000,SMALL(IF('Work Items'!$A$6:$A$5000="Risk",ROW('Work Items'!$A$6:$A$5000)-ROW('Work Items'!$A$6)+1),266)),"")</f>
        <v/>
      </c>
      <c r="G270">
        <f t="array" ref="G270">IFERROR(INDEX('Work Items'!$F$6:$F$5000,SMALL(IF('Work Items'!$A$6:$A$5000="Risk",ROW('Work Items'!$A$6:$A$5000)-ROW('Work Items'!$A$6)+1),266)),"")</f>
        <v/>
      </c>
      <c r="H270">
        <f t="array" ref="H270">IFERROR(INDEX('Work Items'!$J$6:$J$5000,SMALL(IF('Work Items'!$A$6:$A$5000="Risk",ROW('Work Items'!$A$6:$A$5000)-ROW('Work Items'!$A$6)+1),266)),"")</f>
        <v/>
      </c>
      <c r="I270">
        <f t="array" ref="I270">IFERROR(INDEX('Work Items'!$K$6:$K$5000,SMALL(IF('Work Items'!$A$6:$A$5000="Risk",ROW('Work Items'!$A$6:$A$5000)-ROW('Work Items'!$A$6)+1),266)),"")</f>
        <v/>
      </c>
      <c r="J270">
        <f t="array" ref="J270">IFERROR(INDEX('Work Items'!$L$6:$L$5000,SMALL(IF('Work Items'!$A$6:$A$5000="Risk",ROW('Work Items'!$A$6:$A$5000)-ROW('Work Items'!$A$6)+1),266)),"")</f>
        <v/>
      </c>
      <c r="K270">
        <f t="array" ref="K270">IFERROR(IF(AND(INDEX('Work Items'!$R$6:$R$5000,SMALL(IF('Work Items'!$A$6:$A$5000="Risk",ROW('Work Items'!$A$6:$A$5000)-ROW('Work Items'!$A$6)+1),266))&lt;&gt;"",INDEX('Work Items'!$S$6:$S$5000,SMALL(IF('Work Items'!$A$6:$A$5000="Risk",ROW('Work Items'!$A$6:$A$5000)-ROW('Work Items'!$A$6)+1),266))&lt;&gt;""),INDEX('Work Items'!$R$6:$R$5000,SMALL(IF('Work Items'!$A$6:$A$5000="Risk",ROW('Work Items'!$A$6:$A$5000)-ROW('Work Items'!$A$6)+1),266))*INDEX('Work Items'!$S$6:$S$5000,SMALL(IF('Work Items'!$A$6:$A$5000="Risk",ROW('Work Items'!$A$6:$A$5000)-ROW('Work Items'!$A$6)+1),266)),INDEX('Work Items'!$U$6:$U$5000,SMALL(IF('Work Items'!$A$6:$A$5000="Risk",ROW('Work Items'!$A$6:$A$5000)-ROW('Work Items'!$A$6)+1),266))),"")</f>
        <v/>
      </c>
      <c r="L270" s="217">
        <f t="array" ref="L270">IFERROR(INDEX('Work Items'!$Q$6:$Q$5000,SMALL(IF('Work Items'!$A$6:$A$5000="Risk",ROW('Work Items'!$A$6:$A$5000)-ROW('Work Items'!$A$6)+1),266)),"")</f>
        <v/>
      </c>
      <c r="M270">
        <f t="array" ref="M270">IFERROR(INDEX('Work Items'!$T$6:$T$5000,SMALL(IF('Work Items'!$A$6:$A$5000="Risk",ROW('Work Items'!$A$6:$A$5000)-ROW('Work Items'!$A$6)+1),266)),"")</f>
        <v/>
      </c>
    </row>
    <row r="271">
      <c r="A271">
        <f t="array" ref="A271">IFERROR(INDEX('Work Items'!$A$6:$A$5000,SMALL(IF('Work Items'!$A$6:$A$5000="Risk",ROW('Work Items'!$A$6:$A$5000)-ROW('Work Items'!$A$6)+1),267)),"")</f>
        <v/>
      </c>
      <c r="B271">
        <f t="array" ref="B271">IFERROR(INDEX('Work Items'!$B$6:$B$5000,SMALL(IF('Work Items'!$A$6:$A$5000="Risk",ROW('Work Items'!$A$6:$A$5000)-ROW('Work Items'!$A$6)+1),267)),"")</f>
        <v/>
      </c>
      <c r="C271">
        <f>IF(E271="","",IFERROR(INDEX('Projects Master'!$A:$A,MATCH(E271,'Projects Master'!$B:$B,0)),"OrgRisk"))</f>
        <v/>
      </c>
      <c r="D271">
        <f t="array" ref="D271">IFERROR(INDEX('Work Items'!$C$6:$C$5000,SMALL(IF('Work Items'!$A$6:$A$5000="Risk",ROW('Work Items'!$A$6:$A$5000)-ROW('Work Items'!$A$6)+1),267)),"")</f>
        <v/>
      </c>
      <c r="E271">
        <f t="array" ref="E271">IFERROR(INDEX('Work Items'!$D$6:$D$5000,SMALL(IF('Work Items'!$A$6:$A$5000="Risk",ROW('Work Items'!$A$6:$A$5000)-ROW('Work Items'!$A$6)+1),267)),"")</f>
        <v/>
      </c>
      <c r="F271">
        <f t="array" ref="F271">IFERROR(INDEX('Work Items'!$E$6:$E$5000,SMALL(IF('Work Items'!$A$6:$A$5000="Risk",ROW('Work Items'!$A$6:$A$5000)-ROW('Work Items'!$A$6)+1),267)),"")</f>
        <v/>
      </c>
      <c r="G271">
        <f t="array" ref="G271">IFERROR(INDEX('Work Items'!$F$6:$F$5000,SMALL(IF('Work Items'!$A$6:$A$5000="Risk",ROW('Work Items'!$A$6:$A$5000)-ROW('Work Items'!$A$6)+1),267)),"")</f>
        <v/>
      </c>
      <c r="H271">
        <f t="array" ref="H271">IFERROR(INDEX('Work Items'!$J$6:$J$5000,SMALL(IF('Work Items'!$A$6:$A$5000="Risk",ROW('Work Items'!$A$6:$A$5000)-ROW('Work Items'!$A$6)+1),267)),"")</f>
        <v/>
      </c>
      <c r="I271">
        <f t="array" ref="I271">IFERROR(INDEX('Work Items'!$K$6:$K$5000,SMALL(IF('Work Items'!$A$6:$A$5000="Risk",ROW('Work Items'!$A$6:$A$5000)-ROW('Work Items'!$A$6)+1),267)),"")</f>
        <v/>
      </c>
      <c r="J271">
        <f t="array" ref="J271">IFERROR(INDEX('Work Items'!$L$6:$L$5000,SMALL(IF('Work Items'!$A$6:$A$5000="Risk",ROW('Work Items'!$A$6:$A$5000)-ROW('Work Items'!$A$6)+1),267)),"")</f>
        <v/>
      </c>
      <c r="K271">
        <f t="array" ref="K271">IFERROR(IF(AND(INDEX('Work Items'!$R$6:$R$5000,SMALL(IF('Work Items'!$A$6:$A$5000="Risk",ROW('Work Items'!$A$6:$A$5000)-ROW('Work Items'!$A$6)+1),267))&lt;&gt;"",INDEX('Work Items'!$S$6:$S$5000,SMALL(IF('Work Items'!$A$6:$A$5000="Risk",ROW('Work Items'!$A$6:$A$5000)-ROW('Work Items'!$A$6)+1),267))&lt;&gt;""),INDEX('Work Items'!$R$6:$R$5000,SMALL(IF('Work Items'!$A$6:$A$5000="Risk",ROW('Work Items'!$A$6:$A$5000)-ROW('Work Items'!$A$6)+1),267))*INDEX('Work Items'!$S$6:$S$5000,SMALL(IF('Work Items'!$A$6:$A$5000="Risk",ROW('Work Items'!$A$6:$A$5000)-ROW('Work Items'!$A$6)+1),267)),INDEX('Work Items'!$U$6:$U$5000,SMALL(IF('Work Items'!$A$6:$A$5000="Risk",ROW('Work Items'!$A$6:$A$5000)-ROW('Work Items'!$A$6)+1),267))),"")</f>
        <v/>
      </c>
      <c r="L271" s="217">
        <f t="array" ref="L271">IFERROR(INDEX('Work Items'!$Q$6:$Q$5000,SMALL(IF('Work Items'!$A$6:$A$5000="Risk",ROW('Work Items'!$A$6:$A$5000)-ROW('Work Items'!$A$6)+1),267)),"")</f>
        <v/>
      </c>
      <c r="M271">
        <f t="array" ref="M271">IFERROR(INDEX('Work Items'!$T$6:$T$5000,SMALL(IF('Work Items'!$A$6:$A$5000="Risk",ROW('Work Items'!$A$6:$A$5000)-ROW('Work Items'!$A$6)+1),267)),"")</f>
        <v/>
      </c>
    </row>
    <row r="272">
      <c r="A272">
        <f t="array" ref="A272">IFERROR(INDEX('Work Items'!$A$6:$A$5000,SMALL(IF('Work Items'!$A$6:$A$5000="Risk",ROW('Work Items'!$A$6:$A$5000)-ROW('Work Items'!$A$6)+1),268)),"")</f>
        <v/>
      </c>
      <c r="B272">
        <f t="array" ref="B272">IFERROR(INDEX('Work Items'!$B$6:$B$5000,SMALL(IF('Work Items'!$A$6:$A$5000="Risk",ROW('Work Items'!$A$6:$A$5000)-ROW('Work Items'!$A$6)+1),268)),"")</f>
        <v/>
      </c>
      <c r="C272">
        <f>IF(E272="","",IFERROR(INDEX('Projects Master'!$A:$A,MATCH(E272,'Projects Master'!$B:$B,0)),"OrgRisk"))</f>
        <v/>
      </c>
      <c r="D272">
        <f t="array" ref="D272">IFERROR(INDEX('Work Items'!$C$6:$C$5000,SMALL(IF('Work Items'!$A$6:$A$5000="Risk",ROW('Work Items'!$A$6:$A$5000)-ROW('Work Items'!$A$6)+1),268)),"")</f>
        <v/>
      </c>
      <c r="E272">
        <f t="array" ref="E272">IFERROR(INDEX('Work Items'!$D$6:$D$5000,SMALL(IF('Work Items'!$A$6:$A$5000="Risk",ROW('Work Items'!$A$6:$A$5000)-ROW('Work Items'!$A$6)+1),268)),"")</f>
        <v/>
      </c>
      <c r="F272">
        <f t="array" ref="F272">IFERROR(INDEX('Work Items'!$E$6:$E$5000,SMALL(IF('Work Items'!$A$6:$A$5000="Risk",ROW('Work Items'!$A$6:$A$5000)-ROW('Work Items'!$A$6)+1),268)),"")</f>
        <v/>
      </c>
      <c r="G272">
        <f t="array" ref="G272">IFERROR(INDEX('Work Items'!$F$6:$F$5000,SMALL(IF('Work Items'!$A$6:$A$5000="Risk",ROW('Work Items'!$A$6:$A$5000)-ROW('Work Items'!$A$6)+1),268)),"")</f>
        <v/>
      </c>
      <c r="H272">
        <f t="array" ref="H272">IFERROR(INDEX('Work Items'!$J$6:$J$5000,SMALL(IF('Work Items'!$A$6:$A$5000="Risk",ROW('Work Items'!$A$6:$A$5000)-ROW('Work Items'!$A$6)+1),268)),"")</f>
        <v/>
      </c>
      <c r="I272">
        <f t="array" ref="I272">IFERROR(INDEX('Work Items'!$K$6:$K$5000,SMALL(IF('Work Items'!$A$6:$A$5000="Risk",ROW('Work Items'!$A$6:$A$5000)-ROW('Work Items'!$A$6)+1),268)),"")</f>
        <v/>
      </c>
      <c r="J272">
        <f t="array" ref="J272">IFERROR(INDEX('Work Items'!$L$6:$L$5000,SMALL(IF('Work Items'!$A$6:$A$5000="Risk",ROW('Work Items'!$A$6:$A$5000)-ROW('Work Items'!$A$6)+1),268)),"")</f>
        <v/>
      </c>
      <c r="K272">
        <f t="array" ref="K272">IFERROR(IF(AND(INDEX('Work Items'!$R$6:$R$5000,SMALL(IF('Work Items'!$A$6:$A$5000="Risk",ROW('Work Items'!$A$6:$A$5000)-ROW('Work Items'!$A$6)+1),268))&lt;&gt;"",INDEX('Work Items'!$S$6:$S$5000,SMALL(IF('Work Items'!$A$6:$A$5000="Risk",ROW('Work Items'!$A$6:$A$5000)-ROW('Work Items'!$A$6)+1),268))&lt;&gt;""),INDEX('Work Items'!$R$6:$R$5000,SMALL(IF('Work Items'!$A$6:$A$5000="Risk",ROW('Work Items'!$A$6:$A$5000)-ROW('Work Items'!$A$6)+1),268))*INDEX('Work Items'!$S$6:$S$5000,SMALL(IF('Work Items'!$A$6:$A$5000="Risk",ROW('Work Items'!$A$6:$A$5000)-ROW('Work Items'!$A$6)+1),268)),INDEX('Work Items'!$U$6:$U$5000,SMALL(IF('Work Items'!$A$6:$A$5000="Risk",ROW('Work Items'!$A$6:$A$5000)-ROW('Work Items'!$A$6)+1),268))),"")</f>
        <v/>
      </c>
      <c r="L272" s="217">
        <f t="array" ref="L272">IFERROR(INDEX('Work Items'!$Q$6:$Q$5000,SMALL(IF('Work Items'!$A$6:$A$5000="Risk",ROW('Work Items'!$A$6:$A$5000)-ROW('Work Items'!$A$6)+1),268)),"")</f>
        <v/>
      </c>
      <c r="M272">
        <f t="array" ref="M272">IFERROR(INDEX('Work Items'!$T$6:$T$5000,SMALL(IF('Work Items'!$A$6:$A$5000="Risk",ROW('Work Items'!$A$6:$A$5000)-ROW('Work Items'!$A$6)+1),268)),"")</f>
        <v/>
      </c>
    </row>
    <row r="273">
      <c r="A273">
        <f t="array" ref="A273">IFERROR(INDEX('Work Items'!$A$6:$A$5000,SMALL(IF('Work Items'!$A$6:$A$5000="Risk",ROW('Work Items'!$A$6:$A$5000)-ROW('Work Items'!$A$6)+1),269)),"")</f>
        <v/>
      </c>
      <c r="B273">
        <f t="array" ref="B273">IFERROR(INDEX('Work Items'!$B$6:$B$5000,SMALL(IF('Work Items'!$A$6:$A$5000="Risk",ROW('Work Items'!$A$6:$A$5000)-ROW('Work Items'!$A$6)+1),269)),"")</f>
        <v/>
      </c>
      <c r="C273">
        <f>IF(E273="","",IFERROR(INDEX('Projects Master'!$A:$A,MATCH(E273,'Projects Master'!$B:$B,0)),"OrgRisk"))</f>
        <v/>
      </c>
      <c r="D273">
        <f t="array" ref="D273">IFERROR(INDEX('Work Items'!$C$6:$C$5000,SMALL(IF('Work Items'!$A$6:$A$5000="Risk",ROW('Work Items'!$A$6:$A$5000)-ROW('Work Items'!$A$6)+1),269)),"")</f>
        <v/>
      </c>
      <c r="E273">
        <f t="array" ref="E273">IFERROR(INDEX('Work Items'!$D$6:$D$5000,SMALL(IF('Work Items'!$A$6:$A$5000="Risk",ROW('Work Items'!$A$6:$A$5000)-ROW('Work Items'!$A$6)+1),269)),"")</f>
        <v/>
      </c>
      <c r="F273">
        <f t="array" ref="F273">IFERROR(INDEX('Work Items'!$E$6:$E$5000,SMALL(IF('Work Items'!$A$6:$A$5000="Risk",ROW('Work Items'!$A$6:$A$5000)-ROW('Work Items'!$A$6)+1),269)),"")</f>
        <v/>
      </c>
      <c r="G273">
        <f t="array" ref="G273">IFERROR(INDEX('Work Items'!$F$6:$F$5000,SMALL(IF('Work Items'!$A$6:$A$5000="Risk",ROW('Work Items'!$A$6:$A$5000)-ROW('Work Items'!$A$6)+1),269)),"")</f>
        <v/>
      </c>
      <c r="H273">
        <f t="array" ref="H273">IFERROR(INDEX('Work Items'!$J$6:$J$5000,SMALL(IF('Work Items'!$A$6:$A$5000="Risk",ROW('Work Items'!$A$6:$A$5000)-ROW('Work Items'!$A$6)+1),269)),"")</f>
        <v/>
      </c>
      <c r="I273">
        <f t="array" ref="I273">IFERROR(INDEX('Work Items'!$K$6:$K$5000,SMALL(IF('Work Items'!$A$6:$A$5000="Risk",ROW('Work Items'!$A$6:$A$5000)-ROW('Work Items'!$A$6)+1),269)),"")</f>
        <v/>
      </c>
      <c r="J273">
        <f t="array" ref="J273">IFERROR(INDEX('Work Items'!$L$6:$L$5000,SMALL(IF('Work Items'!$A$6:$A$5000="Risk",ROW('Work Items'!$A$6:$A$5000)-ROW('Work Items'!$A$6)+1),269)),"")</f>
        <v/>
      </c>
      <c r="K273">
        <f t="array" ref="K273">IFERROR(IF(AND(INDEX('Work Items'!$R$6:$R$5000,SMALL(IF('Work Items'!$A$6:$A$5000="Risk",ROW('Work Items'!$A$6:$A$5000)-ROW('Work Items'!$A$6)+1),269))&lt;&gt;"",INDEX('Work Items'!$S$6:$S$5000,SMALL(IF('Work Items'!$A$6:$A$5000="Risk",ROW('Work Items'!$A$6:$A$5000)-ROW('Work Items'!$A$6)+1),269))&lt;&gt;""),INDEX('Work Items'!$R$6:$R$5000,SMALL(IF('Work Items'!$A$6:$A$5000="Risk",ROW('Work Items'!$A$6:$A$5000)-ROW('Work Items'!$A$6)+1),269))*INDEX('Work Items'!$S$6:$S$5000,SMALL(IF('Work Items'!$A$6:$A$5000="Risk",ROW('Work Items'!$A$6:$A$5000)-ROW('Work Items'!$A$6)+1),269)),INDEX('Work Items'!$U$6:$U$5000,SMALL(IF('Work Items'!$A$6:$A$5000="Risk",ROW('Work Items'!$A$6:$A$5000)-ROW('Work Items'!$A$6)+1),269))),"")</f>
        <v/>
      </c>
      <c r="L273" s="217">
        <f t="array" ref="L273">IFERROR(INDEX('Work Items'!$Q$6:$Q$5000,SMALL(IF('Work Items'!$A$6:$A$5000="Risk",ROW('Work Items'!$A$6:$A$5000)-ROW('Work Items'!$A$6)+1),269)),"")</f>
        <v/>
      </c>
      <c r="M273">
        <f t="array" ref="M273">IFERROR(INDEX('Work Items'!$T$6:$T$5000,SMALL(IF('Work Items'!$A$6:$A$5000="Risk",ROW('Work Items'!$A$6:$A$5000)-ROW('Work Items'!$A$6)+1),269)),"")</f>
        <v/>
      </c>
    </row>
    <row r="274">
      <c r="A274">
        <f t="array" ref="A274">IFERROR(INDEX('Work Items'!$A$6:$A$5000,SMALL(IF('Work Items'!$A$6:$A$5000="Risk",ROW('Work Items'!$A$6:$A$5000)-ROW('Work Items'!$A$6)+1),270)),"")</f>
        <v/>
      </c>
      <c r="B274">
        <f t="array" ref="B274">IFERROR(INDEX('Work Items'!$B$6:$B$5000,SMALL(IF('Work Items'!$A$6:$A$5000="Risk",ROW('Work Items'!$A$6:$A$5000)-ROW('Work Items'!$A$6)+1),270)),"")</f>
        <v/>
      </c>
      <c r="C274">
        <f>IF(E274="","",IFERROR(INDEX('Projects Master'!$A:$A,MATCH(E274,'Projects Master'!$B:$B,0)),"OrgRisk"))</f>
        <v/>
      </c>
      <c r="D274">
        <f t="array" ref="D274">IFERROR(INDEX('Work Items'!$C$6:$C$5000,SMALL(IF('Work Items'!$A$6:$A$5000="Risk",ROW('Work Items'!$A$6:$A$5000)-ROW('Work Items'!$A$6)+1),270)),"")</f>
        <v/>
      </c>
      <c r="E274">
        <f t="array" ref="E274">IFERROR(INDEX('Work Items'!$D$6:$D$5000,SMALL(IF('Work Items'!$A$6:$A$5000="Risk",ROW('Work Items'!$A$6:$A$5000)-ROW('Work Items'!$A$6)+1),270)),"")</f>
        <v/>
      </c>
      <c r="F274">
        <f t="array" ref="F274">IFERROR(INDEX('Work Items'!$E$6:$E$5000,SMALL(IF('Work Items'!$A$6:$A$5000="Risk",ROW('Work Items'!$A$6:$A$5000)-ROW('Work Items'!$A$6)+1),270)),"")</f>
        <v/>
      </c>
      <c r="G274">
        <f t="array" ref="G274">IFERROR(INDEX('Work Items'!$F$6:$F$5000,SMALL(IF('Work Items'!$A$6:$A$5000="Risk",ROW('Work Items'!$A$6:$A$5000)-ROW('Work Items'!$A$6)+1),270)),"")</f>
        <v/>
      </c>
      <c r="H274">
        <f t="array" ref="H274">IFERROR(INDEX('Work Items'!$J$6:$J$5000,SMALL(IF('Work Items'!$A$6:$A$5000="Risk",ROW('Work Items'!$A$6:$A$5000)-ROW('Work Items'!$A$6)+1),270)),"")</f>
        <v/>
      </c>
      <c r="I274">
        <f t="array" ref="I274">IFERROR(INDEX('Work Items'!$K$6:$K$5000,SMALL(IF('Work Items'!$A$6:$A$5000="Risk",ROW('Work Items'!$A$6:$A$5000)-ROW('Work Items'!$A$6)+1),270)),"")</f>
        <v/>
      </c>
      <c r="J274">
        <f t="array" ref="J274">IFERROR(INDEX('Work Items'!$L$6:$L$5000,SMALL(IF('Work Items'!$A$6:$A$5000="Risk",ROW('Work Items'!$A$6:$A$5000)-ROW('Work Items'!$A$6)+1),270)),"")</f>
        <v/>
      </c>
      <c r="K274">
        <f t="array" ref="K274">IFERROR(IF(AND(INDEX('Work Items'!$R$6:$R$5000,SMALL(IF('Work Items'!$A$6:$A$5000="Risk",ROW('Work Items'!$A$6:$A$5000)-ROW('Work Items'!$A$6)+1),270))&lt;&gt;"",INDEX('Work Items'!$S$6:$S$5000,SMALL(IF('Work Items'!$A$6:$A$5000="Risk",ROW('Work Items'!$A$6:$A$5000)-ROW('Work Items'!$A$6)+1),270))&lt;&gt;""),INDEX('Work Items'!$R$6:$R$5000,SMALL(IF('Work Items'!$A$6:$A$5000="Risk",ROW('Work Items'!$A$6:$A$5000)-ROW('Work Items'!$A$6)+1),270))*INDEX('Work Items'!$S$6:$S$5000,SMALL(IF('Work Items'!$A$6:$A$5000="Risk",ROW('Work Items'!$A$6:$A$5000)-ROW('Work Items'!$A$6)+1),270)),INDEX('Work Items'!$U$6:$U$5000,SMALL(IF('Work Items'!$A$6:$A$5000="Risk",ROW('Work Items'!$A$6:$A$5000)-ROW('Work Items'!$A$6)+1),270))),"")</f>
        <v/>
      </c>
      <c r="L274" s="217">
        <f t="array" ref="L274">IFERROR(INDEX('Work Items'!$Q$6:$Q$5000,SMALL(IF('Work Items'!$A$6:$A$5000="Risk",ROW('Work Items'!$A$6:$A$5000)-ROW('Work Items'!$A$6)+1),270)),"")</f>
        <v/>
      </c>
      <c r="M274">
        <f t="array" ref="M274">IFERROR(INDEX('Work Items'!$T$6:$T$5000,SMALL(IF('Work Items'!$A$6:$A$5000="Risk",ROW('Work Items'!$A$6:$A$5000)-ROW('Work Items'!$A$6)+1),270)),"")</f>
        <v/>
      </c>
    </row>
    <row r="275">
      <c r="A275">
        <f t="array" ref="A275">IFERROR(INDEX('Work Items'!$A$6:$A$5000,SMALL(IF('Work Items'!$A$6:$A$5000="Risk",ROW('Work Items'!$A$6:$A$5000)-ROW('Work Items'!$A$6)+1),271)),"")</f>
        <v/>
      </c>
      <c r="B275">
        <f t="array" ref="B275">IFERROR(INDEX('Work Items'!$B$6:$B$5000,SMALL(IF('Work Items'!$A$6:$A$5000="Risk",ROW('Work Items'!$A$6:$A$5000)-ROW('Work Items'!$A$6)+1),271)),"")</f>
        <v/>
      </c>
      <c r="C275">
        <f>IF(E275="","",IFERROR(INDEX('Projects Master'!$A:$A,MATCH(E275,'Projects Master'!$B:$B,0)),"OrgRisk"))</f>
        <v/>
      </c>
      <c r="D275">
        <f t="array" ref="D275">IFERROR(INDEX('Work Items'!$C$6:$C$5000,SMALL(IF('Work Items'!$A$6:$A$5000="Risk",ROW('Work Items'!$A$6:$A$5000)-ROW('Work Items'!$A$6)+1),271)),"")</f>
        <v/>
      </c>
      <c r="E275">
        <f t="array" ref="E275">IFERROR(INDEX('Work Items'!$D$6:$D$5000,SMALL(IF('Work Items'!$A$6:$A$5000="Risk",ROW('Work Items'!$A$6:$A$5000)-ROW('Work Items'!$A$6)+1),271)),"")</f>
        <v/>
      </c>
      <c r="F275">
        <f t="array" ref="F275">IFERROR(INDEX('Work Items'!$E$6:$E$5000,SMALL(IF('Work Items'!$A$6:$A$5000="Risk",ROW('Work Items'!$A$6:$A$5000)-ROW('Work Items'!$A$6)+1),271)),"")</f>
        <v/>
      </c>
      <c r="G275">
        <f t="array" ref="G275">IFERROR(INDEX('Work Items'!$F$6:$F$5000,SMALL(IF('Work Items'!$A$6:$A$5000="Risk",ROW('Work Items'!$A$6:$A$5000)-ROW('Work Items'!$A$6)+1),271)),"")</f>
        <v/>
      </c>
      <c r="H275">
        <f t="array" ref="H275">IFERROR(INDEX('Work Items'!$J$6:$J$5000,SMALL(IF('Work Items'!$A$6:$A$5000="Risk",ROW('Work Items'!$A$6:$A$5000)-ROW('Work Items'!$A$6)+1),271)),"")</f>
        <v/>
      </c>
      <c r="I275">
        <f t="array" ref="I275">IFERROR(INDEX('Work Items'!$K$6:$K$5000,SMALL(IF('Work Items'!$A$6:$A$5000="Risk",ROW('Work Items'!$A$6:$A$5000)-ROW('Work Items'!$A$6)+1),271)),"")</f>
        <v/>
      </c>
      <c r="J275">
        <f t="array" ref="J275">IFERROR(INDEX('Work Items'!$L$6:$L$5000,SMALL(IF('Work Items'!$A$6:$A$5000="Risk",ROW('Work Items'!$A$6:$A$5000)-ROW('Work Items'!$A$6)+1),271)),"")</f>
        <v/>
      </c>
      <c r="K275">
        <f t="array" ref="K275">IFERROR(IF(AND(INDEX('Work Items'!$R$6:$R$5000,SMALL(IF('Work Items'!$A$6:$A$5000="Risk",ROW('Work Items'!$A$6:$A$5000)-ROW('Work Items'!$A$6)+1),271))&lt;&gt;"",INDEX('Work Items'!$S$6:$S$5000,SMALL(IF('Work Items'!$A$6:$A$5000="Risk",ROW('Work Items'!$A$6:$A$5000)-ROW('Work Items'!$A$6)+1),271))&lt;&gt;""),INDEX('Work Items'!$R$6:$R$5000,SMALL(IF('Work Items'!$A$6:$A$5000="Risk",ROW('Work Items'!$A$6:$A$5000)-ROW('Work Items'!$A$6)+1),271))*INDEX('Work Items'!$S$6:$S$5000,SMALL(IF('Work Items'!$A$6:$A$5000="Risk",ROW('Work Items'!$A$6:$A$5000)-ROW('Work Items'!$A$6)+1),271)),INDEX('Work Items'!$U$6:$U$5000,SMALL(IF('Work Items'!$A$6:$A$5000="Risk",ROW('Work Items'!$A$6:$A$5000)-ROW('Work Items'!$A$6)+1),271))),"")</f>
        <v/>
      </c>
      <c r="L275" s="217">
        <f t="array" ref="L275">IFERROR(INDEX('Work Items'!$Q$6:$Q$5000,SMALL(IF('Work Items'!$A$6:$A$5000="Risk",ROW('Work Items'!$A$6:$A$5000)-ROW('Work Items'!$A$6)+1),271)),"")</f>
        <v/>
      </c>
      <c r="M275">
        <f t="array" ref="M275">IFERROR(INDEX('Work Items'!$T$6:$T$5000,SMALL(IF('Work Items'!$A$6:$A$5000="Risk",ROW('Work Items'!$A$6:$A$5000)-ROW('Work Items'!$A$6)+1),271)),"")</f>
        <v/>
      </c>
    </row>
    <row r="276">
      <c r="A276">
        <f t="array" ref="A276">IFERROR(INDEX('Work Items'!$A$6:$A$5000,SMALL(IF('Work Items'!$A$6:$A$5000="Risk",ROW('Work Items'!$A$6:$A$5000)-ROW('Work Items'!$A$6)+1),272)),"")</f>
        <v/>
      </c>
      <c r="B276">
        <f t="array" ref="B276">IFERROR(INDEX('Work Items'!$B$6:$B$5000,SMALL(IF('Work Items'!$A$6:$A$5000="Risk",ROW('Work Items'!$A$6:$A$5000)-ROW('Work Items'!$A$6)+1),272)),"")</f>
        <v/>
      </c>
      <c r="C276">
        <f>IF(E276="","",IFERROR(INDEX('Projects Master'!$A:$A,MATCH(E276,'Projects Master'!$B:$B,0)),"OrgRisk"))</f>
        <v/>
      </c>
      <c r="D276">
        <f t="array" ref="D276">IFERROR(INDEX('Work Items'!$C$6:$C$5000,SMALL(IF('Work Items'!$A$6:$A$5000="Risk",ROW('Work Items'!$A$6:$A$5000)-ROW('Work Items'!$A$6)+1),272)),"")</f>
        <v/>
      </c>
      <c r="E276">
        <f t="array" ref="E276">IFERROR(INDEX('Work Items'!$D$6:$D$5000,SMALL(IF('Work Items'!$A$6:$A$5000="Risk",ROW('Work Items'!$A$6:$A$5000)-ROW('Work Items'!$A$6)+1),272)),"")</f>
        <v/>
      </c>
      <c r="F276">
        <f t="array" ref="F276">IFERROR(INDEX('Work Items'!$E$6:$E$5000,SMALL(IF('Work Items'!$A$6:$A$5000="Risk",ROW('Work Items'!$A$6:$A$5000)-ROW('Work Items'!$A$6)+1),272)),"")</f>
        <v/>
      </c>
      <c r="G276">
        <f t="array" ref="G276">IFERROR(INDEX('Work Items'!$F$6:$F$5000,SMALL(IF('Work Items'!$A$6:$A$5000="Risk",ROW('Work Items'!$A$6:$A$5000)-ROW('Work Items'!$A$6)+1),272)),"")</f>
        <v/>
      </c>
      <c r="H276">
        <f t="array" ref="H276">IFERROR(INDEX('Work Items'!$J$6:$J$5000,SMALL(IF('Work Items'!$A$6:$A$5000="Risk",ROW('Work Items'!$A$6:$A$5000)-ROW('Work Items'!$A$6)+1),272)),"")</f>
        <v/>
      </c>
      <c r="I276">
        <f t="array" ref="I276">IFERROR(INDEX('Work Items'!$K$6:$K$5000,SMALL(IF('Work Items'!$A$6:$A$5000="Risk",ROW('Work Items'!$A$6:$A$5000)-ROW('Work Items'!$A$6)+1),272)),"")</f>
        <v/>
      </c>
      <c r="J276">
        <f t="array" ref="J276">IFERROR(INDEX('Work Items'!$L$6:$L$5000,SMALL(IF('Work Items'!$A$6:$A$5000="Risk",ROW('Work Items'!$A$6:$A$5000)-ROW('Work Items'!$A$6)+1),272)),"")</f>
        <v/>
      </c>
      <c r="K276">
        <f t="array" ref="K276">IFERROR(IF(AND(INDEX('Work Items'!$R$6:$R$5000,SMALL(IF('Work Items'!$A$6:$A$5000="Risk",ROW('Work Items'!$A$6:$A$5000)-ROW('Work Items'!$A$6)+1),272))&lt;&gt;"",INDEX('Work Items'!$S$6:$S$5000,SMALL(IF('Work Items'!$A$6:$A$5000="Risk",ROW('Work Items'!$A$6:$A$5000)-ROW('Work Items'!$A$6)+1),272))&lt;&gt;""),INDEX('Work Items'!$R$6:$R$5000,SMALL(IF('Work Items'!$A$6:$A$5000="Risk",ROW('Work Items'!$A$6:$A$5000)-ROW('Work Items'!$A$6)+1),272))*INDEX('Work Items'!$S$6:$S$5000,SMALL(IF('Work Items'!$A$6:$A$5000="Risk",ROW('Work Items'!$A$6:$A$5000)-ROW('Work Items'!$A$6)+1),272)),INDEX('Work Items'!$U$6:$U$5000,SMALL(IF('Work Items'!$A$6:$A$5000="Risk",ROW('Work Items'!$A$6:$A$5000)-ROW('Work Items'!$A$6)+1),272))),"")</f>
        <v/>
      </c>
      <c r="L276" s="217">
        <f t="array" ref="L276">IFERROR(INDEX('Work Items'!$Q$6:$Q$5000,SMALL(IF('Work Items'!$A$6:$A$5000="Risk",ROW('Work Items'!$A$6:$A$5000)-ROW('Work Items'!$A$6)+1),272)),"")</f>
        <v/>
      </c>
      <c r="M276">
        <f t="array" ref="M276">IFERROR(INDEX('Work Items'!$T$6:$T$5000,SMALL(IF('Work Items'!$A$6:$A$5000="Risk",ROW('Work Items'!$A$6:$A$5000)-ROW('Work Items'!$A$6)+1),272)),"")</f>
        <v/>
      </c>
    </row>
    <row r="277">
      <c r="A277">
        <f t="array" ref="A277">IFERROR(INDEX('Work Items'!$A$6:$A$5000,SMALL(IF('Work Items'!$A$6:$A$5000="Risk",ROW('Work Items'!$A$6:$A$5000)-ROW('Work Items'!$A$6)+1),273)),"")</f>
        <v/>
      </c>
      <c r="B277">
        <f t="array" ref="B277">IFERROR(INDEX('Work Items'!$B$6:$B$5000,SMALL(IF('Work Items'!$A$6:$A$5000="Risk",ROW('Work Items'!$A$6:$A$5000)-ROW('Work Items'!$A$6)+1),273)),"")</f>
        <v/>
      </c>
      <c r="C277">
        <f>IF(E277="","",IFERROR(INDEX('Projects Master'!$A:$A,MATCH(E277,'Projects Master'!$B:$B,0)),"OrgRisk"))</f>
        <v/>
      </c>
      <c r="D277">
        <f t="array" ref="D277">IFERROR(INDEX('Work Items'!$C$6:$C$5000,SMALL(IF('Work Items'!$A$6:$A$5000="Risk",ROW('Work Items'!$A$6:$A$5000)-ROW('Work Items'!$A$6)+1),273)),"")</f>
        <v/>
      </c>
      <c r="E277">
        <f t="array" ref="E277">IFERROR(INDEX('Work Items'!$D$6:$D$5000,SMALL(IF('Work Items'!$A$6:$A$5000="Risk",ROW('Work Items'!$A$6:$A$5000)-ROW('Work Items'!$A$6)+1),273)),"")</f>
        <v/>
      </c>
      <c r="F277">
        <f t="array" ref="F277">IFERROR(INDEX('Work Items'!$E$6:$E$5000,SMALL(IF('Work Items'!$A$6:$A$5000="Risk",ROW('Work Items'!$A$6:$A$5000)-ROW('Work Items'!$A$6)+1),273)),"")</f>
        <v/>
      </c>
      <c r="G277">
        <f t="array" ref="G277">IFERROR(INDEX('Work Items'!$F$6:$F$5000,SMALL(IF('Work Items'!$A$6:$A$5000="Risk",ROW('Work Items'!$A$6:$A$5000)-ROW('Work Items'!$A$6)+1),273)),"")</f>
        <v/>
      </c>
      <c r="H277">
        <f t="array" ref="H277">IFERROR(INDEX('Work Items'!$J$6:$J$5000,SMALL(IF('Work Items'!$A$6:$A$5000="Risk",ROW('Work Items'!$A$6:$A$5000)-ROW('Work Items'!$A$6)+1),273)),"")</f>
        <v/>
      </c>
      <c r="I277">
        <f t="array" ref="I277">IFERROR(INDEX('Work Items'!$K$6:$K$5000,SMALL(IF('Work Items'!$A$6:$A$5000="Risk",ROW('Work Items'!$A$6:$A$5000)-ROW('Work Items'!$A$6)+1),273)),"")</f>
        <v/>
      </c>
      <c r="J277">
        <f t="array" ref="J277">IFERROR(INDEX('Work Items'!$L$6:$L$5000,SMALL(IF('Work Items'!$A$6:$A$5000="Risk",ROW('Work Items'!$A$6:$A$5000)-ROW('Work Items'!$A$6)+1),273)),"")</f>
        <v/>
      </c>
      <c r="K277">
        <f t="array" ref="K277">IFERROR(IF(AND(INDEX('Work Items'!$R$6:$R$5000,SMALL(IF('Work Items'!$A$6:$A$5000="Risk",ROW('Work Items'!$A$6:$A$5000)-ROW('Work Items'!$A$6)+1),273))&lt;&gt;"",INDEX('Work Items'!$S$6:$S$5000,SMALL(IF('Work Items'!$A$6:$A$5000="Risk",ROW('Work Items'!$A$6:$A$5000)-ROW('Work Items'!$A$6)+1),273))&lt;&gt;""),INDEX('Work Items'!$R$6:$R$5000,SMALL(IF('Work Items'!$A$6:$A$5000="Risk",ROW('Work Items'!$A$6:$A$5000)-ROW('Work Items'!$A$6)+1),273))*INDEX('Work Items'!$S$6:$S$5000,SMALL(IF('Work Items'!$A$6:$A$5000="Risk",ROW('Work Items'!$A$6:$A$5000)-ROW('Work Items'!$A$6)+1),273)),INDEX('Work Items'!$U$6:$U$5000,SMALL(IF('Work Items'!$A$6:$A$5000="Risk",ROW('Work Items'!$A$6:$A$5000)-ROW('Work Items'!$A$6)+1),273))),"")</f>
        <v/>
      </c>
      <c r="L277" s="217">
        <f t="array" ref="L277">IFERROR(INDEX('Work Items'!$Q$6:$Q$5000,SMALL(IF('Work Items'!$A$6:$A$5000="Risk",ROW('Work Items'!$A$6:$A$5000)-ROW('Work Items'!$A$6)+1),273)),"")</f>
        <v/>
      </c>
      <c r="M277">
        <f t="array" ref="M277">IFERROR(INDEX('Work Items'!$T$6:$T$5000,SMALL(IF('Work Items'!$A$6:$A$5000="Risk",ROW('Work Items'!$A$6:$A$5000)-ROW('Work Items'!$A$6)+1),273)),"")</f>
        <v/>
      </c>
    </row>
    <row r="278">
      <c r="A278">
        <f t="array" ref="A278">IFERROR(INDEX('Work Items'!$A$6:$A$5000,SMALL(IF('Work Items'!$A$6:$A$5000="Risk",ROW('Work Items'!$A$6:$A$5000)-ROW('Work Items'!$A$6)+1),274)),"")</f>
        <v/>
      </c>
      <c r="B278">
        <f t="array" ref="B278">IFERROR(INDEX('Work Items'!$B$6:$B$5000,SMALL(IF('Work Items'!$A$6:$A$5000="Risk",ROW('Work Items'!$A$6:$A$5000)-ROW('Work Items'!$A$6)+1),274)),"")</f>
        <v/>
      </c>
      <c r="C278">
        <f>IF(E278="","",IFERROR(INDEX('Projects Master'!$A:$A,MATCH(E278,'Projects Master'!$B:$B,0)),"OrgRisk"))</f>
        <v/>
      </c>
      <c r="D278">
        <f t="array" ref="D278">IFERROR(INDEX('Work Items'!$C$6:$C$5000,SMALL(IF('Work Items'!$A$6:$A$5000="Risk",ROW('Work Items'!$A$6:$A$5000)-ROW('Work Items'!$A$6)+1),274)),"")</f>
        <v/>
      </c>
      <c r="E278">
        <f t="array" ref="E278">IFERROR(INDEX('Work Items'!$D$6:$D$5000,SMALL(IF('Work Items'!$A$6:$A$5000="Risk",ROW('Work Items'!$A$6:$A$5000)-ROW('Work Items'!$A$6)+1),274)),"")</f>
        <v/>
      </c>
      <c r="F278">
        <f t="array" ref="F278">IFERROR(INDEX('Work Items'!$E$6:$E$5000,SMALL(IF('Work Items'!$A$6:$A$5000="Risk",ROW('Work Items'!$A$6:$A$5000)-ROW('Work Items'!$A$6)+1),274)),"")</f>
        <v/>
      </c>
      <c r="G278">
        <f t="array" ref="G278">IFERROR(INDEX('Work Items'!$F$6:$F$5000,SMALL(IF('Work Items'!$A$6:$A$5000="Risk",ROW('Work Items'!$A$6:$A$5000)-ROW('Work Items'!$A$6)+1),274)),"")</f>
        <v/>
      </c>
      <c r="H278">
        <f t="array" ref="H278">IFERROR(INDEX('Work Items'!$J$6:$J$5000,SMALL(IF('Work Items'!$A$6:$A$5000="Risk",ROW('Work Items'!$A$6:$A$5000)-ROW('Work Items'!$A$6)+1),274)),"")</f>
        <v/>
      </c>
      <c r="I278">
        <f t="array" ref="I278">IFERROR(INDEX('Work Items'!$K$6:$K$5000,SMALL(IF('Work Items'!$A$6:$A$5000="Risk",ROW('Work Items'!$A$6:$A$5000)-ROW('Work Items'!$A$6)+1),274)),"")</f>
        <v/>
      </c>
      <c r="J278">
        <f t="array" ref="J278">IFERROR(INDEX('Work Items'!$L$6:$L$5000,SMALL(IF('Work Items'!$A$6:$A$5000="Risk",ROW('Work Items'!$A$6:$A$5000)-ROW('Work Items'!$A$6)+1),274)),"")</f>
        <v/>
      </c>
      <c r="K278">
        <f t="array" ref="K278">IFERROR(IF(AND(INDEX('Work Items'!$R$6:$R$5000,SMALL(IF('Work Items'!$A$6:$A$5000="Risk",ROW('Work Items'!$A$6:$A$5000)-ROW('Work Items'!$A$6)+1),274))&lt;&gt;"",INDEX('Work Items'!$S$6:$S$5000,SMALL(IF('Work Items'!$A$6:$A$5000="Risk",ROW('Work Items'!$A$6:$A$5000)-ROW('Work Items'!$A$6)+1),274))&lt;&gt;""),INDEX('Work Items'!$R$6:$R$5000,SMALL(IF('Work Items'!$A$6:$A$5000="Risk",ROW('Work Items'!$A$6:$A$5000)-ROW('Work Items'!$A$6)+1),274))*INDEX('Work Items'!$S$6:$S$5000,SMALL(IF('Work Items'!$A$6:$A$5000="Risk",ROW('Work Items'!$A$6:$A$5000)-ROW('Work Items'!$A$6)+1),274)),INDEX('Work Items'!$U$6:$U$5000,SMALL(IF('Work Items'!$A$6:$A$5000="Risk",ROW('Work Items'!$A$6:$A$5000)-ROW('Work Items'!$A$6)+1),274))),"")</f>
        <v/>
      </c>
      <c r="L278" s="217">
        <f t="array" ref="L278">IFERROR(INDEX('Work Items'!$Q$6:$Q$5000,SMALL(IF('Work Items'!$A$6:$A$5000="Risk",ROW('Work Items'!$A$6:$A$5000)-ROW('Work Items'!$A$6)+1),274)),"")</f>
        <v/>
      </c>
      <c r="M278">
        <f t="array" ref="M278">IFERROR(INDEX('Work Items'!$T$6:$T$5000,SMALL(IF('Work Items'!$A$6:$A$5000="Risk",ROW('Work Items'!$A$6:$A$5000)-ROW('Work Items'!$A$6)+1),274)),"")</f>
        <v/>
      </c>
    </row>
    <row r="279">
      <c r="A279">
        <f t="array" ref="A279">IFERROR(INDEX('Work Items'!$A$6:$A$5000,SMALL(IF('Work Items'!$A$6:$A$5000="Risk",ROW('Work Items'!$A$6:$A$5000)-ROW('Work Items'!$A$6)+1),275)),"")</f>
        <v/>
      </c>
      <c r="B279">
        <f t="array" ref="B279">IFERROR(INDEX('Work Items'!$B$6:$B$5000,SMALL(IF('Work Items'!$A$6:$A$5000="Risk",ROW('Work Items'!$A$6:$A$5000)-ROW('Work Items'!$A$6)+1),275)),"")</f>
        <v/>
      </c>
      <c r="C279">
        <f>IF(E279="","",IFERROR(INDEX('Projects Master'!$A:$A,MATCH(E279,'Projects Master'!$B:$B,0)),"OrgRisk"))</f>
        <v/>
      </c>
      <c r="D279">
        <f t="array" ref="D279">IFERROR(INDEX('Work Items'!$C$6:$C$5000,SMALL(IF('Work Items'!$A$6:$A$5000="Risk",ROW('Work Items'!$A$6:$A$5000)-ROW('Work Items'!$A$6)+1),275)),"")</f>
        <v/>
      </c>
      <c r="E279">
        <f t="array" ref="E279">IFERROR(INDEX('Work Items'!$D$6:$D$5000,SMALL(IF('Work Items'!$A$6:$A$5000="Risk",ROW('Work Items'!$A$6:$A$5000)-ROW('Work Items'!$A$6)+1),275)),"")</f>
        <v/>
      </c>
      <c r="F279">
        <f t="array" ref="F279">IFERROR(INDEX('Work Items'!$E$6:$E$5000,SMALL(IF('Work Items'!$A$6:$A$5000="Risk",ROW('Work Items'!$A$6:$A$5000)-ROW('Work Items'!$A$6)+1),275)),"")</f>
        <v/>
      </c>
      <c r="G279">
        <f t="array" ref="G279">IFERROR(INDEX('Work Items'!$F$6:$F$5000,SMALL(IF('Work Items'!$A$6:$A$5000="Risk",ROW('Work Items'!$A$6:$A$5000)-ROW('Work Items'!$A$6)+1),275)),"")</f>
        <v/>
      </c>
      <c r="H279">
        <f t="array" ref="H279">IFERROR(INDEX('Work Items'!$J$6:$J$5000,SMALL(IF('Work Items'!$A$6:$A$5000="Risk",ROW('Work Items'!$A$6:$A$5000)-ROW('Work Items'!$A$6)+1),275)),"")</f>
        <v/>
      </c>
      <c r="I279">
        <f t="array" ref="I279">IFERROR(INDEX('Work Items'!$K$6:$K$5000,SMALL(IF('Work Items'!$A$6:$A$5000="Risk",ROW('Work Items'!$A$6:$A$5000)-ROW('Work Items'!$A$6)+1),275)),"")</f>
        <v/>
      </c>
      <c r="J279">
        <f t="array" ref="J279">IFERROR(INDEX('Work Items'!$L$6:$L$5000,SMALL(IF('Work Items'!$A$6:$A$5000="Risk",ROW('Work Items'!$A$6:$A$5000)-ROW('Work Items'!$A$6)+1),275)),"")</f>
        <v/>
      </c>
      <c r="K279">
        <f t="array" ref="K279">IFERROR(IF(AND(INDEX('Work Items'!$R$6:$R$5000,SMALL(IF('Work Items'!$A$6:$A$5000="Risk",ROW('Work Items'!$A$6:$A$5000)-ROW('Work Items'!$A$6)+1),275))&lt;&gt;"",INDEX('Work Items'!$S$6:$S$5000,SMALL(IF('Work Items'!$A$6:$A$5000="Risk",ROW('Work Items'!$A$6:$A$5000)-ROW('Work Items'!$A$6)+1),275))&lt;&gt;""),INDEX('Work Items'!$R$6:$R$5000,SMALL(IF('Work Items'!$A$6:$A$5000="Risk",ROW('Work Items'!$A$6:$A$5000)-ROW('Work Items'!$A$6)+1),275))*INDEX('Work Items'!$S$6:$S$5000,SMALL(IF('Work Items'!$A$6:$A$5000="Risk",ROW('Work Items'!$A$6:$A$5000)-ROW('Work Items'!$A$6)+1),275)),INDEX('Work Items'!$U$6:$U$5000,SMALL(IF('Work Items'!$A$6:$A$5000="Risk",ROW('Work Items'!$A$6:$A$5000)-ROW('Work Items'!$A$6)+1),275))),"")</f>
        <v/>
      </c>
      <c r="L279" s="217">
        <f t="array" ref="L279">IFERROR(INDEX('Work Items'!$Q$6:$Q$5000,SMALL(IF('Work Items'!$A$6:$A$5000="Risk",ROW('Work Items'!$A$6:$A$5000)-ROW('Work Items'!$A$6)+1),275)),"")</f>
        <v/>
      </c>
      <c r="M279">
        <f t="array" ref="M279">IFERROR(INDEX('Work Items'!$T$6:$T$5000,SMALL(IF('Work Items'!$A$6:$A$5000="Risk",ROW('Work Items'!$A$6:$A$5000)-ROW('Work Items'!$A$6)+1),275)),"")</f>
        <v/>
      </c>
    </row>
    <row r="280">
      <c r="A280">
        <f t="array" ref="A280">IFERROR(INDEX('Work Items'!$A$6:$A$5000,SMALL(IF('Work Items'!$A$6:$A$5000="Risk",ROW('Work Items'!$A$6:$A$5000)-ROW('Work Items'!$A$6)+1),276)),"")</f>
        <v/>
      </c>
      <c r="B280">
        <f t="array" ref="B280">IFERROR(INDEX('Work Items'!$B$6:$B$5000,SMALL(IF('Work Items'!$A$6:$A$5000="Risk",ROW('Work Items'!$A$6:$A$5000)-ROW('Work Items'!$A$6)+1),276)),"")</f>
        <v/>
      </c>
      <c r="C280">
        <f>IF(E280="","",IFERROR(INDEX('Projects Master'!$A:$A,MATCH(E280,'Projects Master'!$B:$B,0)),"OrgRisk"))</f>
        <v/>
      </c>
      <c r="D280">
        <f t="array" ref="D280">IFERROR(INDEX('Work Items'!$C$6:$C$5000,SMALL(IF('Work Items'!$A$6:$A$5000="Risk",ROW('Work Items'!$A$6:$A$5000)-ROW('Work Items'!$A$6)+1),276)),"")</f>
        <v/>
      </c>
      <c r="E280">
        <f t="array" ref="E280">IFERROR(INDEX('Work Items'!$D$6:$D$5000,SMALL(IF('Work Items'!$A$6:$A$5000="Risk",ROW('Work Items'!$A$6:$A$5000)-ROW('Work Items'!$A$6)+1),276)),"")</f>
        <v/>
      </c>
      <c r="F280">
        <f t="array" ref="F280">IFERROR(INDEX('Work Items'!$E$6:$E$5000,SMALL(IF('Work Items'!$A$6:$A$5000="Risk",ROW('Work Items'!$A$6:$A$5000)-ROW('Work Items'!$A$6)+1),276)),"")</f>
        <v/>
      </c>
      <c r="G280">
        <f t="array" ref="G280">IFERROR(INDEX('Work Items'!$F$6:$F$5000,SMALL(IF('Work Items'!$A$6:$A$5000="Risk",ROW('Work Items'!$A$6:$A$5000)-ROW('Work Items'!$A$6)+1),276)),"")</f>
        <v/>
      </c>
      <c r="H280">
        <f t="array" ref="H280">IFERROR(INDEX('Work Items'!$J$6:$J$5000,SMALL(IF('Work Items'!$A$6:$A$5000="Risk",ROW('Work Items'!$A$6:$A$5000)-ROW('Work Items'!$A$6)+1),276)),"")</f>
        <v/>
      </c>
      <c r="I280">
        <f t="array" ref="I280">IFERROR(INDEX('Work Items'!$K$6:$K$5000,SMALL(IF('Work Items'!$A$6:$A$5000="Risk",ROW('Work Items'!$A$6:$A$5000)-ROW('Work Items'!$A$6)+1),276)),"")</f>
        <v/>
      </c>
      <c r="J280">
        <f t="array" ref="J280">IFERROR(INDEX('Work Items'!$L$6:$L$5000,SMALL(IF('Work Items'!$A$6:$A$5000="Risk",ROW('Work Items'!$A$6:$A$5000)-ROW('Work Items'!$A$6)+1),276)),"")</f>
        <v/>
      </c>
      <c r="K280">
        <f t="array" ref="K280">IFERROR(IF(AND(INDEX('Work Items'!$R$6:$R$5000,SMALL(IF('Work Items'!$A$6:$A$5000="Risk",ROW('Work Items'!$A$6:$A$5000)-ROW('Work Items'!$A$6)+1),276))&lt;&gt;"",INDEX('Work Items'!$S$6:$S$5000,SMALL(IF('Work Items'!$A$6:$A$5000="Risk",ROW('Work Items'!$A$6:$A$5000)-ROW('Work Items'!$A$6)+1),276))&lt;&gt;""),INDEX('Work Items'!$R$6:$R$5000,SMALL(IF('Work Items'!$A$6:$A$5000="Risk",ROW('Work Items'!$A$6:$A$5000)-ROW('Work Items'!$A$6)+1),276))*INDEX('Work Items'!$S$6:$S$5000,SMALL(IF('Work Items'!$A$6:$A$5000="Risk",ROW('Work Items'!$A$6:$A$5000)-ROW('Work Items'!$A$6)+1),276)),INDEX('Work Items'!$U$6:$U$5000,SMALL(IF('Work Items'!$A$6:$A$5000="Risk",ROW('Work Items'!$A$6:$A$5000)-ROW('Work Items'!$A$6)+1),276))),"")</f>
        <v/>
      </c>
      <c r="L280" s="217">
        <f t="array" ref="L280">IFERROR(INDEX('Work Items'!$Q$6:$Q$5000,SMALL(IF('Work Items'!$A$6:$A$5000="Risk",ROW('Work Items'!$A$6:$A$5000)-ROW('Work Items'!$A$6)+1),276)),"")</f>
        <v/>
      </c>
      <c r="M280">
        <f t="array" ref="M280">IFERROR(INDEX('Work Items'!$T$6:$T$5000,SMALL(IF('Work Items'!$A$6:$A$5000="Risk",ROW('Work Items'!$A$6:$A$5000)-ROW('Work Items'!$A$6)+1),276)),"")</f>
        <v/>
      </c>
    </row>
    <row r="281">
      <c r="A281">
        <f t="array" ref="A281">IFERROR(INDEX('Work Items'!$A$6:$A$5000,SMALL(IF('Work Items'!$A$6:$A$5000="Risk",ROW('Work Items'!$A$6:$A$5000)-ROW('Work Items'!$A$6)+1),277)),"")</f>
        <v/>
      </c>
      <c r="B281">
        <f t="array" ref="B281">IFERROR(INDEX('Work Items'!$B$6:$B$5000,SMALL(IF('Work Items'!$A$6:$A$5000="Risk",ROW('Work Items'!$A$6:$A$5000)-ROW('Work Items'!$A$6)+1),277)),"")</f>
        <v/>
      </c>
      <c r="C281">
        <f>IF(E281="","",IFERROR(INDEX('Projects Master'!$A:$A,MATCH(E281,'Projects Master'!$B:$B,0)),"OrgRisk"))</f>
        <v/>
      </c>
      <c r="D281">
        <f t="array" ref="D281">IFERROR(INDEX('Work Items'!$C$6:$C$5000,SMALL(IF('Work Items'!$A$6:$A$5000="Risk",ROW('Work Items'!$A$6:$A$5000)-ROW('Work Items'!$A$6)+1),277)),"")</f>
        <v/>
      </c>
      <c r="E281">
        <f t="array" ref="E281">IFERROR(INDEX('Work Items'!$D$6:$D$5000,SMALL(IF('Work Items'!$A$6:$A$5000="Risk",ROW('Work Items'!$A$6:$A$5000)-ROW('Work Items'!$A$6)+1),277)),"")</f>
        <v/>
      </c>
      <c r="F281">
        <f t="array" ref="F281">IFERROR(INDEX('Work Items'!$E$6:$E$5000,SMALL(IF('Work Items'!$A$6:$A$5000="Risk",ROW('Work Items'!$A$6:$A$5000)-ROW('Work Items'!$A$6)+1),277)),"")</f>
        <v/>
      </c>
      <c r="G281">
        <f t="array" ref="G281">IFERROR(INDEX('Work Items'!$F$6:$F$5000,SMALL(IF('Work Items'!$A$6:$A$5000="Risk",ROW('Work Items'!$A$6:$A$5000)-ROW('Work Items'!$A$6)+1),277)),"")</f>
        <v/>
      </c>
      <c r="H281">
        <f t="array" ref="H281">IFERROR(INDEX('Work Items'!$J$6:$J$5000,SMALL(IF('Work Items'!$A$6:$A$5000="Risk",ROW('Work Items'!$A$6:$A$5000)-ROW('Work Items'!$A$6)+1),277)),"")</f>
        <v/>
      </c>
      <c r="I281">
        <f t="array" ref="I281">IFERROR(INDEX('Work Items'!$K$6:$K$5000,SMALL(IF('Work Items'!$A$6:$A$5000="Risk",ROW('Work Items'!$A$6:$A$5000)-ROW('Work Items'!$A$6)+1),277)),"")</f>
        <v/>
      </c>
      <c r="J281">
        <f t="array" ref="J281">IFERROR(INDEX('Work Items'!$L$6:$L$5000,SMALL(IF('Work Items'!$A$6:$A$5000="Risk",ROW('Work Items'!$A$6:$A$5000)-ROW('Work Items'!$A$6)+1),277)),"")</f>
        <v/>
      </c>
      <c r="K281">
        <f t="array" ref="K281">IFERROR(IF(AND(INDEX('Work Items'!$R$6:$R$5000,SMALL(IF('Work Items'!$A$6:$A$5000="Risk",ROW('Work Items'!$A$6:$A$5000)-ROW('Work Items'!$A$6)+1),277))&lt;&gt;"",INDEX('Work Items'!$S$6:$S$5000,SMALL(IF('Work Items'!$A$6:$A$5000="Risk",ROW('Work Items'!$A$6:$A$5000)-ROW('Work Items'!$A$6)+1),277))&lt;&gt;""),INDEX('Work Items'!$R$6:$R$5000,SMALL(IF('Work Items'!$A$6:$A$5000="Risk",ROW('Work Items'!$A$6:$A$5000)-ROW('Work Items'!$A$6)+1),277))*INDEX('Work Items'!$S$6:$S$5000,SMALL(IF('Work Items'!$A$6:$A$5000="Risk",ROW('Work Items'!$A$6:$A$5000)-ROW('Work Items'!$A$6)+1),277)),INDEX('Work Items'!$U$6:$U$5000,SMALL(IF('Work Items'!$A$6:$A$5000="Risk",ROW('Work Items'!$A$6:$A$5000)-ROW('Work Items'!$A$6)+1),277))),"")</f>
        <v/>
      </c>
      <c r="L281" s="217">
        <f t="array" ref="L281">IFERROR(INDEX('Work Items'!$Q$6:$Q$5000,SMALL(IF('Work Items'!$A$6:$A$5000="Risk",ROW('Work Items'!$A$6:$A$5000)-ROW('Work Items'!$A$6)+1),277)),"")</f>
        <v/>
      </c>
      <c r="M281">
        <f t="array" ref="M281">IFERROR(INDEX('Work Items'!$T$6:$T$5000,SMALL(IF('Work Items'!$A$6:$A$5000="Risk",ROW('Work Items'!$A$6:$A$5000)-ROW('Work Items'!$A$6)+1),277)),"")</f>
        <v/>
      </c>
    </row>
    <row r="282">
      <c r="A282">
        <f t="array" ref="A282">IFERROR(INDEX('Work Items'!$A$6:$A$5000,SMALL(IF('Work Items'!$A$6:$A$5000="Risk",ROW('Work Items'!$A$6:$A$5000)-ROW('Work Items'!$A$6)+1),278)),"")</f>
        <v/>
      </c>
      <c r="B282">
        <f t="array" ref="B282">IFERROR(INDEX('Work Items'!$B$6:$B$5000,SMALL(IF('Work Items'!$A$6:$A$5000="Risk",ROW('Work Items'!$A$6:$A$5000)-ROW('Work Items'!$A$6)+1),278)),"")</f>
        <v/>
      </c>
      <c r="C282">
        <f>IF(E282="","",IFERROR(INDEX('Projects Master'!$A:$A,MATCH(E282,'Projects Master'!$B:$B,0)),"OrgRisk"))</f>
        <v/>
      </c>
      <c r="D282">
        <f t="array" ref="D282">IFERROR(INDEX('Work Items'!$C$6:$C$5000,SMALL(IF('Work Items'!$A$6:$A$5000="Risk",ROW('Work Items'!$A$6:$A$5000)-ROW('Work Items'!$A$6)+1),278)),"")</f>
        <v/>
      </c>
      <c r="E282">
        <f t="array" ref="E282">IFERROR(INDEX('Work Items'!$D$6:$D$5000,SMALL(IF('Work Items'!$A$6:$A$5000="Risk",ROW('Work Items'!$A$6:$A$5000)-ROW('Work Items'!$A$6)+1),278)),"")</f>
        <v/>
      </c>
      <c r="F282">
        <f t="array" ref="F282">IFERROR(INDEX('Work Items'!$E$6:$E$5000,SMALL(IF('Work Items'!$A$6:$A$5000="Risk",ROW('Work Items'!$A$6:$A$5000)-ROW('Work Items'!$A$6)+1),278)),"")</f>
        <v/>
      </c>
      <c r="G282">
        <f t="array" ref="G282">IFERROR(INDEX('Work Items'!$F$6:$F$5000,SMALL(IF('Work Items'!$A$6:$A$5000="Risk",ROW('Work Items'!$A$6:$A$5000)-ROW('Work Items'!$A$6)+1),278)),"")</f>
        <v/>
      </c>
      <c r="H282">
        <f t="array" ref="H282">IFERROR(INDEX('Work Items'!$J$6:$J$5000,SMALL(IF('Work Items'!$A$6:$A$5000="Risk",ROW('Work Items'!$A$6:$A$5000)-ROW('Work Items'!$A$6)+1),278)),"")</f>
        <v/>
      </c>
      <c r="I282">
        <f t="array" ref="I282">IFERROR(INDEX('Work Items'!$K$6:$K$5000,SMALL(IF('Work Items'!$A$6:$A$5000="Risk",ROW('Work Items'!$A$6:$A$5000)-ROW('Work Items'!$A$6)+1),278)),"")</f>
        <v/>
      </c>
      <c r="J282">
        <f t="array" ref="J282">IFERROR(INDEX('Work Items'!$L$6:$L$5000,SMALL(IF('Work Items'!$A$6:$A$5000="Risk",ROW('Work Items'!$A$6:$A$5000)-ROW('Work Items'!$A$6)+1),278)),"")</f>
        <v/>
      </c>
      <c r="K282">
        <f t="array" ref="K282">IFERROR(IF(AND(INDEX('Work Items'!$R$6:$R$5000,SMALL(IF('Work Items'!$A$6:$A$5000="Risk",ROW('Work Items'!$A$6:$A$5000)-ROW('Work Items'!$A$6)+1),278))&lt;&gt;"",INDEX('Work Items'!$S$6:$S$5000,SMALL(IF('Work Items'!$A$6:$A$5000="Risk",ROW('Work Items'!$A$6:$A$5000)-ROW('Work Items'!$A$6)+1),278))&lt;&gt;""),INDEX('Work Items'!$R$6:$R$5000,SMALL(IF('Work Items'!$A$6:$A$5000="Risk",ROW('Work Items'!$A$6:$A$5000)-ROW('Work Items'!$A$6)+1),278))*INDEX('Work Items'!$S$6:$S$5000,SMALL(IF('Work Items'!$A$6:$A$5000="Risk",ROW('Work Items'!$A$6:$A$5000)-ROW('Work Items'!$A$6)+1),278)),INDEX('Work Items'!$U$6:$U$5000,SMALL(IF('Work Items'!$A$6:$A$5000="Risk",ROW('Work Items'!$A$6:$A$5000)-ROW('Work Items'!$A$6)+1),278))),"")</f>
        <v/>
      </c>
      <c r="L282" s="217">
        <f t="array" ref="L282">IFERROR(INDEX('Work Items'!$Q$6:$Q$5000,SMALL(IF('Work Items'!$A$6:$A$5000="Risk",ROW('Work Items'!$A$6:$A$5000)-ROW('Work Items'!$A$6)+1),278)),"")</f>
        <v/>
      </c>
      <c r="M282">
        <f t="array" ref="M282">IFERROR(INDEX('Work Items'!$T$6:$T$5000,SMALL(IF('Work Items'!$A$6:$A$5000="Risk",ROW('Work Items'!$A$6:$A$5000)-ROW('Work Items'!$A$6)+1),278)),"")</f>
        <v/>
      </c>
    </row>
    <row r="283">
      <c r="A283">
        <f t="array" ref="A283">IFERROR(INDEX('Work Items'!$A$6:$A$5000,SMALL(IF('Work Items'!$A$6:$A$5000="Risk",ROW('Work Items'!$A$6:$A$5000)-ROW('Work Items'!$A$6)+1),279)),"")</f>
        <v/>
      </c>
      <c r="B283">
        <f t="array" ref="B283">IFERROR(INDEX('Work Items'!$B$6:$B$5000,SMALL(IF('Work Items'!$A$6:$A$5000="Risk",ROW('Work Items'!$A$6:$A$5000)-ROW('Work Items'!$A$6)+1),279)),"")</f>
        <v/>
      </c>
      <c r="C283">
        <f>IF(E283="","",IFERROR(INDEX('Projects Master'!$A:$A,MATCH(E283,'Projects Master'!$B:$B,0)),"OrgRisk"))</f>
        <v/>
      </c>
      <c r="D283">
        <f t="array" ref="D283">IFERROR(INDEX('Work Items'!$C$6:$C$5000,SMALL(IF('Work Items'!$A$6:$A$5000="Risk",ROW('Work Items'!$A$6:$A$5000)-ROW('Work Items'!$A$6)+1),279)),"")</f>
        <v/>
      </c>
      <c r="E283">
        <f t="array" ref="E283">IFERROR(INDEX('Work Items'!$D$6:$D$5000,SMALL(IF('Work Items'!$A$6:$A$5000="Risk",ROW('Work Items'!$A$6:$A$5000)-ROW('Work Items'!$A$6)+1),279)),"")</f>
        <v/>
      </c>
      <c r="F283">
        <f t="array" ref="F283">IFERROR(INDEX('Work Items'!$E$6:$E$5000,SMALL(IF('Work Items'!$A$6:$A$5000="Risk",ROW('Work Items'!$A$6:$A$5000)-ROW('Work Items'!$A$6)+1),279)),"")</f>
        <v/>
      </c>
      <c r="G283">
        <f t="array" ref="G283">IFERROR(INDEX('Work Items'!$F$6:$F$5000,SMALL(IF('Work Items'!$A$6:$A$5000="Risk",ROW('Work Items'!$A$6:$A$5000)-ROW('Work Items'!$A$6)+1),279)),"")</f>
        <v/>
      </c>
      <c r="H283">
        <f t="array" ref="H283">IFERROR(INDEX('Work Items'!$J$6:$J$5000,SMALL(IF('Work Items'!$A$6:$A$5000="Risk",ROW('Work Items'!$A$6:$A$5000)-ROW('Work Items'!$A$6)+1),279)),"")</f>
        <v/>
      </c>
      <c r="I283">
        <f t="array" ref="I283">IFERROR(INDEX('Work Items'!$K$6:$K$5000,SMALL(IF('Work Items'!$A$6:$A$5000="Risk",ROW('Work Items'!$A$6:$A$5000)-ROW('Work Items'!$A$6)+1),279)),"")</f>
        <v/>
      </c>
      <c r="J283">
        <f t="array" ref="J283">IFERROR(INDEX('Work Items'!$L$6:$L$5000,SMALL(IF('Work Items'!$A$6:$A$5000="Risk",ROW('Work Items'!$A$6:$A$5000)-ROW('Work Items'!$A$6)+1),279)),"")</f>
        <v/>
      </c>
      <c r="K283">
        <f t="array" ref="K283">IFERROR(IF(AND(INDEX('Work Items'!$R$6:$R$5000,SMALL(IF('Work Items'!$A$6:$A$5000="Risk",ROW('Work Items'!$A$6:$A$5000)-ROW('Work Items'!$A$6)+1),279))&lt;&gt;"",INDEX('Work Items'!$S$6:$S$5000,SMALL(IF('Work Items'!$A$6:$A$5000="Risk",ROW('Work Items'!$A$6:$A$5000)-ROW('Work Items'!$A$6)+1),279))&lt;&gt;""),INDEX('Work Items'!$R$6:$R$5000,SMALL(IF('Work Items'!$A$6:$A$5000="Risk",ROW('Work Items'!$A$6:$A$5000)-ROW('Work Items'!$A$6)+1),279))*INDEX('Work Items'!$S$6:$S$5000,SMALL(IF('Work Items'!$A$6:$A$5000="Risk",ROW('Work Items'!$A$6:$A$5000)-ROW('Work Items'!$A$6)+1),279)),INDEX('Work Items'!$U$6:$U$5000,SMALL(IF('Work Items'!$A$6:$A$5000="Risk",ROW('Work Items'!$A$6:$A$5000)-ROW('Work Items'!$A$6)+1),279))),"")</f>
        <v/>
      </c>
      <c r="L283" s="217">
        <f t="array" ref="L283">IFERROR(INDEX('Work Items'!$Q$6:$Q$5000,SMALL(IF('Work Items'!$A$6:$A$5000="Risk",ROW('Work Items'!$A$6:$A$5000)-ROW('Work Items'!$A$6)+1),279)),"")</f>
        <v/>
      </c>
      <c r="M283">
        <f t="array" ref="M283">IFERROR(INDEX('Work Items'!$T$6:$T$5000,SMALL(IF('Work Items'!$A$6:$A$5000="Risk",ROW('Work Items'!$A$6:$A$5000)-ROW('Work Items'!$A$6)+1),279)),"")</f>
        <v/>
      </c>
    </row>
    <row r="284">
      <c r="A284">
        <f t="array" ref="A284">IFERROR(INDEX('Work Items'!$A$6:$A$5000,SMALL(IF('Work Items'!$A$6:$A$5000="Risk",ROW('Work Items'!$A$6:$A$5000)-ROW('Work Items'!$A$6)+1),280)),"")</f>
        <v/>
      </c>
      <c r="B284">
        <f t="array" ref="B284">IFERROR(INDEX('Work Items'!$B$6:$B$5000,SMALL(IF('Work Items'!$A$6:$A$5000="Risk",ROW('Work Items'!$A$6:$A$5000)-ROW('Work Items'!$A$6)+1),280)),"")</f>
        <v/>
      </c>
      <c r="C284">
        <f>IF(E284="","",IFERROR(INDEX('Projects Master'!$A:$A,MATCH(E284,'Projects Master'!$B:$B,0)),"OrgRisk"))</f>
        <v/>
      </c>
      <c r="D284">
        <f t="array" ref="D284">IFERROR(INDEX('Work Items'!$C$6:$C$5000,SMALL(IF('Work Items'!$A$6:$A$5000="Risk",ROW('Work Items'!$A$6:$A$5000)-ROW('Work Items'!$A$6)+1),280)),"")</f>
        <v/>
      </c>
      <c r="E284">
        <f t="array" ref="E284">IFERROR(INDEX('Work Items'!$D$6:$D$5000,SMALL(IF('Work Items'!$A$6:$A$5000="Risk",ROW('Work Items'!$A$6:$A$5000)-ROW('Work Items'!$A$6)+1),280)),"")</f>
        <v/>
      </c>
      <c r="F284">
        <f t="array" ref="F284">IFERROR(INDEX('Work Items'!$E$6:$E$5000,SMALL(IF('Work Items'!$A$6:$A$5000="Risk",ROW('Work Items'!$A$6:$A$5000)-ROW('Work Items'!$A$6)+1),280)),"")</f>
        <v/>
      </c>
      <c r="G284">
        <f t="array" ref="G284">IFERROR(INDEX('Work Items'!$F$6:$F$5000,SMALL(IF('Work Items'!$A$6:$A$5000="Risk",ROW('Work Items'!$A$6:$A$5000)-ROW('Work Items'!$A$6)+1),280)),"")</f>
        <v/>
      </c>
      <c r="H284">
        <f t="array" ref="H284">IFERROR(INDEX('Work Items'!$J$6:$J$5000,SMALL(IF('Work Items'!$A$6:$A$5000="Risk",ROW('Work Items'!$A$6:$A$5000)-ROW('Work Items'!$A$6)+1),280)),"")</f>
        <v/>
      </c>
      <c r="I284">
        <f t="array" ref="I284">IFERROR(INDEX('Work Items'!$K$6:$K$5000,SMALL(IF('Work Items'!$A$6:$A$5000="Risk",ROW('Work Items'!$A$6:$A$5000)-ROW('Work Items'!$A$6)+1),280)),"")</f>
        <v/>
      </c>
      <c r="J284">
        <f t="array" ref="J284">IFERROR(INDEX('Work Items'!$L$6:$L$5000,SMALL(IF('Work Items'!$A$6:$A$5000="Risk",ROW('Work Items'!$A$6:$A$5000)-ROW('Work Items'!$A$6)+1),280)),"")</f>
        <v/>
      </c>
      <c r="K284">
        <f t="array" ref="K284">IFERROR(IF(AND(INDEX('Work Items'!$R$6:$R$5000,SMALL(IF('Work Items'!$A$6:$A$5000="Risk",ROW('Work Items'!$A$6:$A$5000)-ROW('Work Items'!$A$6)+1),280))&lt;&gt;"",INDEX('Work Items'!$S$6:$S$5000,SMALL(IF('Work Items'!$A$6:$A$5000="Risk",ROW('Work Items'!$A$6:$A$5000)-ROW('Work Items'!$A$6)+1),280))&lt;&gt;""),INDEX('Work Items'!$R$6:$R$5000,SMALL(IF('Work Items'!$A$6:$A$5000="Risk",ROW('Work Items'!$A$6:$A$5000)-ROW('Work Items'!$A$6)+1),280))*INDEX('Work Items'!$S$6:$S$5000,SMALL(IF('Work Items'!$A$6:$A$5000="Risk",ROW('Work Items'!$A$6:$A$5000)-ROW('Work Items'!$A$6)+1),280)),INDEX('Work Items'!$U$6:$U$5000,SMALL(IF('Work Items'!$A$6:$A$5000="Risk",ROW('Work Items'!$A$6:$A$5000)-ROW('Work Items'!$A$6)+1),280))),"")</f>
        <v/>
      </c>
      <c r="L284" s="217">
        <f t="array" ref="L284">IFERROR(INDEX('Work Items'!$Q$6:$Q$5000,SMALL(IF('Work Items'!$A$6:$A$5000="Risk",ROW('Work Items'!$A$6:$A$5000)-ROW('Work Items'!$A$6)+1),280)),"")</f>
        <v/>
      </c>
      <c r="M284">
        <f t="array" ref="M284">IFERROR(INDEX('Work Items'!$T$6:$T$5000,SMALL(IF('Work Items'!$A$6:$A$5000="Risk",ROW('Work Items'!$A$6:$A$5000)-ROW('Work Items'!$A$6)+1),280)),"")</f>
        <v/>
      </c>
    </row>
    <row r="285">
      <c r="A285">
        <f t="array" ref="A285">IFERROR(INDEX('Work Items'!$A$6:$A$5000,SMALL(IF('Work Items'!$A$6:$A$5000="Risk",ROW('Work Items'!$A$6:$A$5000)-ROW('Work Items'!$A$6)+1),281)),"")</f>
        <v/>
      </c>
      <c r="B285">
        <f t="array" ref="B285">IFERROR(INDEX('Work Items'!$B$6:$B$5000,SMALL(IF('Work Items'!$A$6:$A$5000="Risk",ROW('Work Items'!$A$6:$A$5000)-ROW('Work Items'!$A$6)+1),281)),"")</f>
        <v/>
      </c>
      <c r="C285">
        <f>IF(E285="","",IFERROR(INDEX('Projects Master'!$A:$A,MATCH(E285,'Projects Master'!$B:$B,0)),"OrgRisk"))</f>
        <v/>
      </c>
      <c r="D285">
        <f t="array" ref="D285">IFERROR(INDEX('Work Items'!$C$6:$C$5000,SMALL(IF('Work Items'!$A$6:$A$5000="Risk",ROW('Work Items'!$A$6:$A$5000)-ROW('Work Items'!$A$6)+1),281)),"")</f>
        <v/>
      </c>
      <c r="E285">
        <f t="array" ref="E285">IFERROR(INDEX('Work Items'!$D$6:$D$5000,SMALL(IF('Work Items'!$A$6:$A$5000="Risk",ROW('Work Items'!$A$6:$A$5000)-ROW('Work Items'!$A$6)+1),281)),"")</f>
        <v/>
      </c>
      <c r="F285">
        <f t="array" ref="F285">IFERROR(INDEX('Work Items'!$E$6:$E$5000,SMALL(IF('Work Items'!$A$6:$A$5000="Risk",ROW('Work Items'!$A$6:$A$5000)-ROW('Work Items'!$A$6)+1),281)),"")</f>
        <v/>
      </c>
      <c r="G285">
        <f t="array" ref="G285">IFERROR(INDEX('Work Items'!$F$6:$F$5000,SMALL(IF('Work Items'!$A$6:$A$5000="Risk",ROW('Work Items'!$A$6:$A$5000)-ROW('Work Items'!$A$6)+1),281)),"")</f>
        <v/>
      </c>
      <c r="H285">
        <f t="array" ref="H285">IFERROR(INDEX('Work Items'!$J$6:$J$5000,SMALL(IF('Work Items'!$A$6:$A$5000="Risk",ROW('Work Items'!$A$6:$A$5000)-ROW('Work Items'!$A$6)+1),281)),"")</f>
        <v/>
      </c>
      <c r="I285">
        <f t="array" ref="I285">IFERROR(INDEX('Work Items'!$K$6:$K$5000,SMALL(IF('Work Items'!$A$6:$A$5000="Risk",ROW('Work Items'!$A$6:$A$5000)-ROW('Work Items'!$A$6)+1),281)),"")</f>
        <v/>
      </c>
      <c r="J285">
        <f t="array" ref="J285">IFERROR(INDEX('Work Items'!$L$6:$L$5000,SMALL(IF('Work Items'!$A$6:$A$5000="Risk",ROW('Work Items'!$A$6:$A$5000)-ROW('Work Items'!$A$6)+1),281)),"")</f>
        <v/>
      </c>
      <c r="K285">
        <f t="array" ref="K285">IFERROR(IF(AND(INDEX('Work Items'!$R$6:$R$5000,SMALL(IF('Work Items'!$A$6:$A$5000="Risk",ROW('Work Items'!$A$6:$A$5000)-ROW('Work Items'!$A$6)+1),281))&lt;&gt;"",INDEX('Work Items'!$S$6:$S$5000,SMALL(IF('Work Items'!$A$6:$A$5000="Risk",ROW('Work Items'!$A$6:$A$5000)-ROW('Work Items'!$A$6)+1),281))&lt;&gt;""),INDEX('Work Items'!$R$6:$R$5000,SMALL(IF('Work Items'!$A$6:$A$5000="Risk",ROW('Work Items'!$A$6:$A$5000)-ROW('Work Items'!$A$6)+1),281))*INDEX('Work Items'!$S$6:$S$5000,SMALL(IF('Work Items'!$A$6:$A$5000="Risk",ROW('Work Items'!$A$6:$A$5000)-ROW('Work Items'!$A$6)+1),281)),INDEX('Work Items'!$U$6:$U$5000,SMALL(IF('Work Items'!$A$6:$A$5000="Risk",ROW('Work Items'!$A$6:$A$5000)-ROW('Work Items'!$A$6)+1),281))),"")</f>
        <v/>
      </c>
      <c r="L285" s="217">
        <f t="array" ref="L285">IFERROR(INDEX('Work Items'!$Q$6:$Q$5000,SMALL(IF('Work Items'!$A$6:$A$5000="Risk",ROW('Work Items'!$A$6:$A$5000)-ROW('Work Items'!$A$6)+1),281)),"")</f>
        <v/>
      </c>
      <c r="M285">
        <f t="array" ref="M285">IFERROR(INDEX('Work Items'!$T$6:$T$5000,SMALL(IF('Work Items'!$A$6:$A$5000="Risk",ROW('Work Items'!$A$6:$A$5000)-ROW('Work Items'!$A$6)+1),281)),"")</f>
        <v/>
      </c>
    </row>
    <row r="286">
      <c r="A286">
        <f t="array" ref="A286">IFERROR(INDEX('Work Items'!$A$6:$A$5000,SMALL(IF('Work Items'!$A$6:$A$5000="Risk",ROW('Work Items'!$A$6:$A$5000)-ROW('Work Items'!$A$6)+1),282)),"")</f>
        <v/>
      </c>
      <c r="B286">
        <f t="array" ref="B286">IFERROR(INDEX('Work Items'!$B$6:$B$5000,SMALL(IF('Work Items'!$A$6:$A$5000="Risk",ROW('Work Items'!$A$6:$A$5000)-ROW('Work Items'!$A$6)+1),282)),"")</f>
        <v/>
      </c>
      <c r="C286">
        <f>IF(E286="","",IFERROR(INDEX('Projects Master'!$A:$A,MATCH(E286,'Projects Master'!$B:$B,0)),"OrgRisk"))</f>
        <v/>
      </c>
      <c r="D286">
        <f t="array" ref="D286">IFERROR(INDEX('Work Items'!$C$6:$C$5000,SMALL(IF('Work Items'!$A$6:$A$5000="Risk",ROW('Work Items'!$A$6:$A$5000)-ROW('Work Items'!$A$6)+1),282)),"")</f>
        <v/>
      </c>
      <c r="E286">
        <f t="array" ref="E286">IFERROR(INDEX('Work Items'!$D$6:$D$5000,SMALL(IF('Work Items'!$A$6:$A$5000="Risk",ROW('Work Items'!$A$6:$A$5000)-ROW('Work Items'!$A$6)+1),282)),"")</f>
        <v/>
      </c>
      <c r="F286">
        <f t="array" ref="F286">IFERROR(INDEX('Work Items'!$E$6:$E$5000,SMALL(IF('Work Items'!$A$6:$A$5000="Risk",ROW('Work Items'!$A$6:$A$5000)-ROW('Work Items'!$A$6)+1),282)),"")</f>
        <v/>
      </c>
      <c r="G286">
        <f t="array" ref="G286">IFERROR(INDEX('Work Items'!$F$6:$F$5000,SMALL(IF('Work Items'!$A$6:$A$5000="Risk",ROW('Work Items'!$A$6:$A$5000)-ROW('Work Items'!$A$6)+1),282)),"")</f>
        <v/>
      </c>
      <c r="H286">
        <f t="array" ref="H286">IFERROR(INDEX('Work Items'!$J$6:$J$5000,SMALL(IF('Work Items'!$A$6:$A$5000="Risk",ROW('Work Items'!$A$6:$A$5000)-ROW('Work Items'!$A$6)+1),282)),"")</f>
        <v/>
      </c>
      <c r="I286">
        <f t="array" ref="I286">IFERROR(INDEX('Work Items'!$K$6:$K$5000,SMALL(IF('Work Items'!$A$6:$A$5000="Risk",ROW('Work Items'!$A$6:$A$5000)-ROW('Work Items'!$A$6)+1),282)),"")</f>
        <v/>
      </c>
      <c r="J286">
        <f t="array" ref="J286">IFERROR(INDEX('Work Items'!$L$6:$L$5000,SMALL(IF('Work Items'!$A$6:$A$5000="Risk",ROW('Work Items'!$A$6:$A$5000)-ROW('Work Items'!$A$6)+1),282)),"")</f>
        <v/>
      </c>
      <c r="K286">
        <f t="array" ref="K286">IFERROR(IF(AND(INDEX('Work Items'!$R$6:$R$5000,SMALL(IF('Work Items'!$A$6:$A$5000="Risk",ROW('Work Items'!$A$6:$A$5000)-ROW('Work Items'!$A$6)+1),282))&lt;&gt;"",INDEX('Work Items'!$S$6:$S$5000,SMALL(IF('Work Items'!$A$6:$A$5000="Risk",ROW('Work Items'!$A$6:$A$5000)-ROW('Work Items'!$A$6)+1),282))&lt;&gt;""),INDEX('Work Items'!$R$6:$R$5000,SMALL(IF('Work Items'!$A$6:$A$5000="Risk",ROW('Work Items'!$A$6:$A$5000)-ROW('Work Items'!$A$6)+1),282))*INDEX('Work Items'!$S$6:$S$5000,SMALL(IF('Work Items'!$A$6:$A$5000="Risk",ROW('Work Items'!$A$6:$A$5000)-ROW('Work Items'!$A$6)+1),282)),INDEX('Work Items'!$U$6:$U$5000,SMALL(IF('Work Items'!$A$6:$A$5000="Risk",ROW('Work Items'!$A$6:$A$5000)-ROW('Work Items'!$A$6)+1),282))),"")</f>
        <v/>
      </c>
      <c r="L286" s="217">
        <f t="array" ref="L286">IFERROR(INDEX('Work Items'!$Q$6:$Q$5000,SMALL(IF('Work Items'!$A$6:$A$5000="Risk",ROW('Work Items'!$A$6:$A$5000)-ROW('Work Items'!$A$6)+1),282)),"")</f>
        <v/>
      </c>
      <c r="M286">
        <f t="array" ref="M286">IFERROR(INDEX('Work Items'!$T$6:$T$5000,SMALL(IF('Work Items'!$A$6:$A$5000="Risk",ROW('Work Items'!$A$6:$A$5000)-ROW('Work Items'!$A$6)+1),282)),"")</f>
        <v/>
      </c>
    </row>
    <row r="287">
      <c r="A287">
        <f t="array" ref="A287">IFERROR(INDEX('Work Items'!$A$6:$A$5000,SMALL(IF('Work Items'!$A$6:$A$5000="Risk",ROW('Work Items'!$A$6:$A$5000)-ROW('Work Items'!$A$6)+1),283)),"")</f>
        <v/>
      </c>
      <c r="B287">
        <f t="array" ref="B287">IFERROR(INDEX('Work Items'!$B$6:$B$5000,SMALL(IF('Work Items'!$A$6:$A$5000="Risk",ROW('Work Items'!$A$6:$A$5000)-ROW('Work Items'!$A$6)+1),283)),"")</f>
        <v/>
      </c>
      <c r="C287">
        <f>IF(E287="","",IFERROR(INDEX('Projects Master'!$A:$A,MATCH(E287,'Projects Master'!$B:$B,0)),"OrgRisk"))</f>
        <v/>
      </c>
      <c r="D287">
        <f t="array" ref="D287">IFERROR(INDEX('Work Items'!$C$6:$C$5000,SMALL(IF('Work Items'!$A$6:$A$5000="Risk",ROW('Work Items'!$A$6:$A$5000)-ROW('Work Items'!$A$6)+1),283)),"")</f>
        <v/>
      </c>
      <c r="E287">
        <f t="array" ref="E287">IFERROR(INDEX('Work Items'!$D$6:$D$5000,SMALL(IF('Work Items'!$A$6:$A$5000="Risk",ROW('Work Items'!$A$6:$A$5000)-ROW('Work Items'!$A$6)+1),283)),"")</f>
        <v/>
      </c>
      <c r="F287">
        <f t="array" ref="F287">IFERROR(INDEX('Work Items'!$E$6:$E$5000,SMALL(IF('Work Items'!$A$6:$A$5000="Risk",ROW('Work Items'!$A$6:$A$5000)-ROW('Work Items'!$A$6)+1),283)),"")</f>
        <v/>
      </c>
      <c r="G287">
        <f t="array" ref="G287">IFERROR(INDEX('Work Items'!$F$6:$F$5000,SMALL(IF('Work Items'!$A$6:$A$5000="Risk",ROW('Work Items'!$A$6:$A$5000)-ROW('Work Items'!$A$6)+1),283)),"")</f>
        <v/>
      </c>
      <c r="H287">
        <f t="array" ref="H287">IFERROR(INDEX('Work Items'!$J$6:$J$5000,SMALL(IF('Work Items'!$A$6:$A$5000="Risk",ROW('Work Items'!$A$6:$A$5000)-ROW('Work Items'!$A$6)+1),283)),"")</f>
        <v/>
      </c>
      <c r="I287">
        <f t="array" ref="I287">IFERROR(INDEX('Work Items'!$K$6:$K$5000,SMALL(IF('Work Items'!$A$6:$A$5000="Risk",ROW('Work Items'!$A$6:$A$5000)-ROW('Work Items'!$A$6)+1),283)),"")</f>
        <v/>
      </c>
      <c r="J287">
        <f t="array" ref="J287">IFERROR(INDEX('Work Items'!$L$6:$L$5000,SMALL(IF('Work Items'!$A$6:$A$5000="Risk",ROW('Work Items'!$A$6:$A$5000)-ROW('Work Items'!$A$6)+1),283)),"")</f>
        <v/>
      </c>
      <c r="K287">
        <f t="array" ref="K287">IFERROR(IF(AND(INDEX('Work Items'!$R$6:$R$5000,SMALL(IF('Work Items'!$A$6:$A$5000="Risk",ROW('Work Items'!$A$6:$A$5000)-ROW('Work Items'!$A$6)+1),283))&lt;&gt;"",INDEX('Work Items'!$S$6:$S$5000,SMALL(IF('Work Items'!$A$6:$A$5000="Risk",ROW('Work Items'!$A$6:$A$5000)-ROW('Work Items'!$A$6)+1),283))&lt;&gt;""),INDEX('Work Items'!$R$6:$R$5000,SMALL(IF('Work Items'!$A$6:$A$5000="Risk",ROW('Work Items'!$A$6:$A$5000)-ROW('Work Items'!$A$6)+1),283))*INDEX('Work Items'!$S$6:$S$5000,SMALL(IF('Work Items'!$A$6:$A$5000="Risk",ROW('Work Items'!$A$6:$A$5000)-ROW('Work Items'!$A$6)+1),283)),INDEX('Work Items'!$U$6:$U$5000,SMALL(IF('Work Items'!$A$6:$A$5000="Risk",ROW('Work Items'!$A$6:$A$5000)-ROW('Work Items'!$A$6)+1),283))),"")</f>
        <v/>
      </c>
      <c r="L287" s="217">
        <f t="array" ref="L287">IFERROR(INDEX('Work Items'!$Q$6:$Q$5000,SMALL(IF('Work Items'!$A$6:$A$5000="Risk",ROW('Work Items'!$A$6:$A$5000)-ROW('Work Items'!$A$6)+1),283)),"")</f>
        <v/>
      </c>
      <c r="M287">
        <f t="array" ref="M287">IFERROR(INDEX('Work Items'!$T$6:$T$5000,SMALL(IF('Work Items'!$A$6:$A$5000="Risk",ROW('Work Items'!$A$6:$A$5000)-ROW('Work Items'!$A$6)+1),283)),"")</f>
        <v/>
      </c>
    </row>
    <row r="288">
      <c r="A288">
        <f t="array" ref="A288">IFERROR(INDEX('Work Items'!$A$6:$A$5000,SMALL(IF('Work Items'!$A$6:$A$5000="Risk",ROW('Work Items'!$A$6:$A$5000)-ROW('Work Items'!$A$6)+1),284)),"")</f>
        <v/>
      </c>
      <c r="B288">
        <f t="array" ref="B288">IFERROR(INDEX('Work Items'!$B$6:$B$5000,SMALL(IF('Work Items'!$A$6:$A$5000="Risk",ROW('Work Items'!$A$6:$A$5000)-ROW('Work Items'!$A$6)+1),284)),"")</f>
        <v/>
      </c>
      <c r="C288">
        <f>IF(E288="","",IFERROR(INDEX('Projects Master'!$A:$A,MATCH(E288,'Projects Master'!$B:$B,0)),"OrgRisk"))</f>
        <v/>
      </c>
      <c r="D288">
        <f t="array" ref="D288">IFERROR(INDEX('Work Items'!$C$6:$C$5000,SMALL(IF('Work Items'!$A$6:$A$5000="Risk",ROW('Work Items'!$A$6:$A$5000)-ROW('Work Items'!$A$6)+1),284)),"")</f>
        <v/>
      </c>
      <c r="E288">
        <f t="array" ref="E288">IFERROR(INDEX('Work Items'!$D$6:$D$5000,SMALL(IF('Work Items'!$A$6:$A$5000="Risk",ROW('Work Items'!$A$6:$A$5000)-ROW('Work Items'!$A$6)+1),284)),"")</f>
        <v/>
      </c>
      <c r="F288">
        <f t="array" ref="F288">IFERROR(INDEX('Work Items'!$E$6:$E$5000,SMALL(IF('Work Items'!$A$6:$A$5000="Risk",ROW('Work Items'!$A$6:$A$5000)-ROW('Work Items'!$A$6)+1),284)),"")</f>
        <v/>
      </c>
      <c r="G288">
        <f t="array" ref="G288">IFERROR(INDEX('Work Items'!$F$6:$F$5000,SMALL(IF('Work Items'!$A$6:$A$5000="Risk",ROW('Work Items'!$A$6:$A$5000)-ROW('Work Items'!$A$6)+1),284)),"")</f>
        <v/>
      </c>
      <c r="H288">
        <f t="array" ref="H288">IFERROR(INDEX('Work Items'!$J$6:$J$5000,SMALL(IF('Work Items'!$A$6:$A$5000="Risk",ROW('Work Items'!$A$6:$A$5000)-ROW('Work Items'!$A$6)+1),284)),"")</f>
        <v/>
      </c>
      <c r="I288">
        <f t="array" ref="I288">IFERROR(INDEX('Work Items'!$K$6:$K$5000,SMALL(IF('Work Items'!$A$6:$A$5000="Risk",ROW('Work Items'!$A$6:$A$5000)-ROW('Work Items'!$A$6)+1),284)),"")</f>
        <v/>
      </c>
      <c r="J288">
        <f t="array" ref="J288">IFERROR(INDEX('Work Items'!$L$6:$L$5000,SMALL(IF('Work Items'!$A$6:$A$5000="Risk",ROW('Work Items'!$A$6:$A$5000)-ROW('Work Items'!$A$6)+1),284)),"")</f>
        <v/>
      </c>
      <c r="K288">
        <f t="array" ref="K288">IFERROR(IF(AND(INDEX('Work Items'!$R$6:$R$5000,SMALL(IF('Work Items'!$A$6:$A$5000="Risk",ROW('Work Items'!$A$6:$A$5000)-ROW('Work Items'!$A$6)+1),284))&lt;&gt;"",INDEX('Work Items'!$S$6:$S$5000,SMALL(IF('Work Items'!$A$6:$A$5000="Risk",ROW('Work Items'!$A$6:$A$5000)-ROW('Work Items'!$A$6)+1),284))&lt;&gt;""),INDEX('Work Items'!$R$6:$R$5000,SMALL(IF('Work Items'!$A$6:$A$5000="Risk",ROW('Work Items'!$A$6:$A$5000)-ROW('Work Items'!$A$6)+1),284))*INDEX('Work Items'!$S$6:$S$5000,SMALL(IF('Work Items'!$A$6:$A$5000="Risk",ROW('Work Items'!$A$6:$A$5000)-ROW('Work Items'!$A$6)+1),284)),INDEX('Work Items'!$U$6:$U$5000,SMALL(IF('Work Items'!$A$6:$A$5000="Risk",ROW('Work Items'!$A$6:$A$5000)-ROW('Work Items'!$A$6)+1),284))),"")</f>
        <v/>
      </c>
      <c r="L288" s="217">
        <f t="array" ref="L288">IFERROR(INDEX('Work Items'!$Q$6:$Q$5000,SMALL(IF('Work Items'!$A$6:$A$5000="Risk",ROW('Work Items'!$A$6:$A$5000)-ROW('Work Items'!$A$6)+1),284)),"")</f>
        <v/>
      </c>
      <c r="M288">
        <f t="array" ref="M288">IFERROR(INDEX('Work Items'!$T$6:$T$5000,SMALL(IF('Work Items'!$A$6:$A$5000="Risk",ROW('Work Items'!$A$6:$A$5000)-ROW('Work Items'!$A$6)+1),284)),"")</f>
        <v/>
      </c>
    </row>
    <row r="289">
      <c r="A289">
        <f t="array" ref="A289">IFERROR(INDEX('Work Items'!$A$6:$A$5000,SMALL(IF('Work Items'!$A$6:$A$5000="Risk",ROW('Work Items'!$A$6:$A$5000)-ROW('Work Items'!$A$6)+1),285)),"")</f>
        <v/>
      </c>
      <c r="B289">
        <f t="array" ref="B289">IFERROR(INDEX('Work Items'!$B$6:$B$5000,SMALL(IF('Work Items'!$A$6:$A$5000="Risk",ROW('Work Items'!$A$6:$A$5000)-ROW('Work Items'!$A$6)+1),285)),"")</f>
        <v/>
      </c>
      <c r="C289">
        <f>IF(E289="","",IFERROR(INDEX('Projects Master'!$A:$A,MATCH(E289,'Projects Master'!$B:$B,0)),"OrgRisk"))</f>
        <v/>
      </c>
      <c r="D289">
        <f t="array" ref="D289">IFERROR(INDEX('Work Items'!$C$6:$C$5000,SMALL(IF('Work Items'!$A$6:$A$5000="Risk",ROW('Work Items'!$A$6:$A$5000)-ROW('Work Items'!$A$6)+1),285)),"")</f>
        <v/>
      </c>
      <c r="E289">
        <f t="array" ref="E289">IFERROR(INDEX('Work Items'!$D$6:$D$5000,SMALL(IF('Work Items'!$A$6:$A$5000="Risk",ROW('Work Items'!$A$6:$A$5000)-ROW('Work Items'!$A$6)+1),285)),"")</f>
        <v/>
      </c>
      <c r="F289">
        <f t="array" ref="F289">IFERROR(INDEX('Work Items'!$E$6:$E$5000,SMALL(IF('Work Items'!$A$6:$A$5000="Risk",ROW('Work Items'!$A$6:$A$5000)-ROW('Work Items'!$A$6)+1),285)),"")</f>
        <v/>
      </c>
      <c r="G289">
        <f t="array" ref="G289">IFERROR(INDEX('Work Items'!$F$6:$F$5000,SMALL(IF('Work Items'!$A$6:$A$5000="Risk",ROW('Work Items'!$A$6:$A$5000)-ROW('Work Items'!$A$6)+1),285)),"")</f>
        <v/>
      </c>
      <c r="H289">
        <f t="array" ref="H289">IFERROR(INDEX('Work Items'!$J$6:$J$5000,SMALL(IF('Work Items'!$A$6:$A$5000="Risk",ROW('Work Items'!$A$6:$A$5000)-ROW('Work Items'!$A$6)+1),285)),"")</f>
        <v/>
      </c>
      <c r="I289">
        <f t="array" ref="I289">IFERROR(INDEX('Work Items'!$K$6:$K$5000,SMALL(IF('Work Items'!$A$6:$A$5000="Risk",ROW('Work Items'!$A$6:$A$5000)-ROW('Work Items'!$A$6)+1),285)),"")</f>
        <v/>
      </c>
      <c r="J289">
        <f t="array" ref="J289">IFERROR(INDEX('Work Items'!$L$6:$L$5000,SMALL(IF('Work Items'!$A$6:$A$5000="Risk",ROW('Work Items'!$A$6:$A$5000)-ROW('Work Items'!$A$6)+1),285)),"")</f>
        <v/>
      </c>
      <c r="K289">
        <f t="array" ref="K289">IFERROR(IF(AND(INDEX('Work Items'!$R$6:$R$5000,SMALL(IF('Work Items'!$A$6:$A$5000="Risk",ROW('Work Items'!$A$6:$A$5000)-ROW('Work Items'!$A$6)+1),285))&lt;&gt;"",INDEX('Work Items'!$S$6:$S$5000,SMALL(IF('Work Items'!$A$6:$A$5000="Risk",ROW('Work Items'!$A$6:$A$5000)-ROW('Work Items'!$A$6)+1),285))&lt;&gt;""),INDEX('Work Items'!$R$6:$R$5000,SMALL(IF('Work Items'!$A$6:$A$5000="Risk",ROW('Work Items'!$A$6:$A$5000)-ROW('Work Items'!$A$6)+1),285))*INDEX('Work Items'!$S$6:$S$5000,SMALL(IF('Work Items'!$A$6:$A$5000="Risk",ROW('Work Items'!$A$6:$A$5000)-ROW('Work Items'!$A$6)+1),285)),INDEX('Work Items'!$U$6:$U$5000,SMALL(IF('Work Items'!$A$6:$A$5000="Risk",ROW('Work Items'!$A$6:$A$5000)-ROW('Work Items'!$A$6)+1),285))),"")</f>
        <v/>
      </c>
      <c r="L289" s="217">
        <f t="array" ref="L289">IFERROR(INDEX('Work Items'!$Q$6:$Q$5000,SMALL(IF('Work Items'!$A$6:$A$5000="Risk",ROW('Work Items'!$A$6:$A$5000)-ROW('Work Items'!$A$6)+1),285)),"")</f>
        <v/>
      </c>
      <c r="M289">
        <f t="array" ref="M289">IFERROR(INDEX('Work Items'!$T$6:$T$5000,SMALL(IF('Work Items'!$A$6:$A$5000="Risk",ROW('Work Items'!$A$6:$A$5000)-ROW('Work Items'!$A$6)+1),285)),"")</f>
        <v/>
      </c>
    </row>
    <row r="290">
      <c r="A290">
        <f t="array" ref="A290">IFERROR(INDEX('Work Items'!$A$6:$A$5000,SMALL(IF('Work Items'!$A$6:$A$5000="Risk",ROW('Work Items'!$A$6:$A$5000)-ROW('Work Items'!$A$6)+1),286)),"")</f>
        <v/>
      </c>
      <c r="B290">
        <f t="array" ref="B290">IFERROR(INDEX('Work Items'!$B$6:$B$5000,SMALL(IF('Work Items'!$A$6:$A$5000="Risk",ROW('Work Items'!$A$6:$A$5000)-ROW('Work Items'!$A$6)+1),286)),"")</f>
        <v/>
      </c>
      <c r="C290">
        <f>IF(E290="","",IFERROR(INDEX('Projects Master'!$A:$A,MATCH(E290,'Projects Master'!$B:$B,0)),"OrgRisk"))</f>
        <v/>
      </c>
      <c r="D290">
        <f t="array" ref="D290">IFERROR(INDEX('Work Items'!$C$6:$C$5000,SMALL(IF('Work Items'!$A$6:$A$5000="Risk",ROW('Work Items'!$A$6:$A$5000)-ROW('Work Items'!$A$6)+1),286)),"")</f>
        <v/>
      </c>
      <c r="E290">
        <f t="array" ref="E290">IFERROR(INDEX('Work Items'!$D$6:$D$5000,SMALL(IF('Work Items'!$A$6:$A$5000="Risk",ROW('Work Items'!$A$6:$A$5000)-ROW('Work Items'!$A$6)+1),286)),"")</f>
        <v/>
      </c>
      <c r="F290">
        <f t="array" ref="F290">IFERROR(INDEX('Work Items'!$E$6:$E$5000,SMALL(IF('Work Items'!$A$6:$A$5000="Risk",ROW('Work Items'!$A$6:$A$5000)-ROW('Work Items'!$A$6)+1),286)),"")</f>
        <v/>
      </c>
      <c r="G290">
        <f t="array" ref="G290">IFERROR(INDEX('Work Items'!$F$6:$F$5000,SMALL(IF('Work Items'!$A$6:$A$5000="Risk",ROW('Work Items'!$A$6:$A$5000)-ROW('Work Items'!$A$6)+1),286)),"")</f>
        <v/>
      </c>
      <c r="H290">
        <f t="array" ref="H290">IFERROR(INDEX('Work Items'!$J$6:$J$5000,SMALL(IF('Work Items'!$A$6:$A$5000="Risk",ROW('Work Items'!$A$6:$A$5000)-ROW('Work Items'!$A$6)+1),286)),"")</f>
        <v/>
      </c>
      <c r="I290">
        <f t="array" ref="I290">IFERROR(INDEX('Work Items'!$K$6:$K$5000,SMALL(IF('Work Items'!$A$6:$A$5000="Risk",ROW('Work Items'!$A$6:$A$5000)-ROW('Work Items'!$A$6)+1),286)),"")</f>
        <v/>
      </c>
      <c r="J290">
        <f t="array" ref="J290">IFERROR(INDEX('Work Items'!$L$6:$L$5000,SMALL(IF('Work Items'!$A$6:$A$5000="Risk",ROW('Work Items'!$A$6:$A$5000)-ROW('Work Items'!$A$6)+1),286)),"")</f>
        <v/>
      </c>
      <c r="K290">
        <f t="array" ref="K290">IFERROR(IF(AND(INDEX('Work Items'!$R$6:$R$5000,SMALL(IF('Work Items'!$A$6:$A$5000="Risk",ROW('Work Items'!$A$6:$A$5000)-ROW('Work Items'!$A$6)+1),286))&lt;&gt;"",INDEX('Work Items'!$S$6:$S$5000,SMALL(IF('Work Items'!$A$6:$A$5000="Risk",ROW('Work Items'!$A$6:$A$5000)-ROW('Work Items'!$A$6)+1),286))&lt;&gt;""),INDEX('Work Items'!$R$6:$R$5000,SMALL(IF('Work Items'!$A$6:$A$5000="Risk",ROW('Work Items'!$A$6:$A$5000)-ROW('Work Items'!$A$6)+1),286))*INDEX('Work Items'!$S$6:$S$5000,SMALL(IF('Work Items'!$A$6:$A$5000="Risk",ROW('Work Items'!$A$6:$A$5000)-ROW('Work Items'!$A$6)+1),286)),INDEX('Work Items'!$U$6:$U$5000,SMALL(IF('Work Items'!$A$6:$A$5000="Risk",ROW('Work Items'!$A$6:$A$5000)-ROW('Work Items'!$A$6)+1),286))),"")</f>
        <v/>
      </c>
      <c r="L290" s="217">
        <f t="array" ref="L290">IFERROR(INDEX('Work Items'!$Q$6:$Q$5000,SMALL(IF('Work Items'!$A$6:$A$5000="Risk",ROW('Work Items'!$A$6:$A$5000)-ROW('Work Items'!$A$6)+1),286)),"")</f>
        <v/>
      </c>
      <c r="M290">
        <f t="array" ref="M290">IFERROR(INDEX('Work Items'!$T$6:$T$5000,SMALL(IF('Work Items'!$A$6:$A$5000="Risk",ROW('Work Items'!$A$6:$A$5000)-ROW('Work Items'!$A$6)+1),286)),"")</f>
        <v/>
      </c>
    </row>
    <row r="291">
      <c r="A291">
        <f t="array" ref="A291">IFERROR(INDEX('Work Items'!$A$6:$A$5000,SMALL(IF('Work Items'!$A$6:$A$5000="Risk",ROW('Work Items'!$A$6:$A$5000)-ROW('Work Items'!$A$6)+1),287)),"")</f>
        <v/>
      </c>
      <c r="B291">
        <f t="array" ref="B291">IFERROR(INDEX('Work Items'!$B$6:$B$5000,SMALL(IF('Work Items'!$A$6:$A$5000="Risk",ROW('Work Items'!$A$6:$A$5000)-ROW('Work Items'!$A$6)+1),287)),"")</f>
        <v/>
      </c>
      <c r="C291">
        <f>IF(E291="","",IFERROR(INDEX('Projects Master'!$A:$A,MATCH(E291,'Projects Master'!$B:$B,0)),"OrgRisk"))</f>
        <v/>
      </c>
      <c r="D291">
        <f t="array" ref="D291">IFERROR(INDEX('Work Items'!$C$6:$C$5000,SMALL(IF('Work Items'!$A$6:$A$5000="Risk",ROW('Work Items'!$A$6:$A$5000)-ROW('Work Items'!$A$6)+1),287)),"")</f>
        <v/>
      </c>
      <c r="E291">
        <f t="array" ref="E291">IFERROR(INDEX('Work Items'!$D$6:$D$5000,SMALL(IF('Work Items'!$A$6:$A$5000="Risk",ROW('Work Items'!$A$6:$A$5000)-ROW('Work Items'!$A$6)+1),287)),"")</f>
        <v/>
      </c>
      <c r="F291">
        <f t="array" ref="F291">IFERROR(INDEX('Work Items'!$E$6:$E$5000,SMALL(IF('Work Items'!$A$6:$A$5000="Risk",ROW('Work Items'!$A$6:$A$5000)-ROW('Work Items'!$A$6)+1),287)),"")</f>
        <v/>
      </c>
      <c r="G291">
        <f t="array" ref="G291">IFERROR(INDEX('Work Items'!$F$6:$F$5000,SMALL(IF('Work Items'!$A$6:$A$5000="Risk",ROW('Work Items'!$A$6:$A$5000)-ROW('Work Items'!$A$6)+1),287)),"")</f>
        <v/>
      </c>
      <c r="H291">
        <f t="array" ref="H291">IFERROR(INDEX('Work Items'!$J$6:$J$5000,SMALL(IF('Work Items'!$A$6:$A$5000="Risk",ROW('Work Items'!$A$6:$A$5000)-ROW('Work Items'!$A$6)+1),287)),"")</f>
        <v/>
      </c>
      <c r="I291">
        <f t="array" ref="I291">IFERROR(INDEX('Work Items'!$K$6:$K$5000,SMALL(IF('Work Items'!$A$6:$A$5000="Risk",ROW('Work Items'!$A$6:$A$5000)-ROW('Work Items'!$A$6)+1),287)),"")</f>
        <v/>
      </c>
      <c r="J291">
        <f t="array" ref="J291">IFERROR(INDEX('Work Items'!$L$6:$L$5000,SMALL(IF('Work Items'!$A$6:$A$5000="Risk",ROW('Work Items'!$A$6:$A$5000)-ROW('Work Items'!$A$6)+1),287)),"")</f>
        <v/>
      </c>
      <c r="K291">
        <f t="array" ref="K291">IFERROR(IF(AND(INDEX('Work Items'!$R$6:$R$5000,SMALL(IF('Work Items'!$A$6:$A$5000="Risk",ROW('Work Items'!$A$6:$A$5000)-ROW('Work Items'!$A$6)+1),287))&lt;&gt;"",INDEX('Work Items'!$S$6:$S$5000,SMALL(IF('Work Items'!$A$6:$A$5000="Risk",ROW('Work Items'!$A$6:$A$5000)-ROW('Work Items'!$A$6)+1),287))&lt;&gt;""),INDEX('Work Items'!$R$6:$R$5000,SMALL(IF('Work Items'!$A$6:$A$5000="Risk",ROW('Work Items'!$A$6:$A$5000)-ROW('Work Items'!$A$6)+1),287))*INDEX('Work Items'!$S$6:$S$5000,SMALL(IF('Work Items'!$A$6:$A$5000="Risk",ROW('Work Items'!$A$6:$A$5000)-ROW('Work Items'!$A$6)+1),287)),INDEX('Work Items'!$U$6:$U$5000,SMALL(IF('Work Items'!$A$6:$A$5000="Risk",ROW('Work Items'!$A$6:$A$5000)-ROW('Work Items'!$A$6)+1),287))),"")</f>
        <v/>
      </c>
      <c r="L291" s="217">
        <f t="array" ref="L291">IFERROR(INDEX('Work Items'!$Q$6:$Q$5000,SMALL(IF('Work Items'!$A$6:$A$5000="Risk",ROW('Work Items'!$A$6:$A$5000)-ROW('Work Items'!$A$6)+1),287)),"")</f>
        <v/>
      </c>
      <c r="M291">
        <f t="array" ref="M291">IFERROR(INDEX('Work Items'!$T$6:$T$5000,SMALL(IF('Work Items'!$A$6:$A$5000="Risk",ROW('Work Items'!$A$6:$A$5000)-ROW('Work Items'!$A$6)+1),287)),"")</f>
        <v/>
      </c>
    </row>
    <row r="292">
      <c r="A292">
        <f t="array" ref="A292">IFERROR(INDEX('Work Items'!$A$6:$A$5000,SMALL(IF('Work Items'!$A$6:$A$5000="Risk",ROW('Work Items'!$A$6:$A$5000)-ROW('Work Items'!$A$6)+1),288)),"")</f>
        <v/>
      </c>
      <c r="B292">
        <f t="array" ref="B292">IFERROR(INDEX('Work Items'!$B$6:$B$5000,SMALL(IF('Work Items'!$A$6:$A$5000="Risk",ROW('Work Items'!$A$6:$A$5000)-ROW('Work Items'!$A$6)+1),288)),"")</f>
        <v/>
      </c>
      <c r="C292">
        <f>IF(E292="","",IFERROR(INDEX('Projects Master'!$A:$A,MATCH(E292,'Projects Master'!$B:$B,0)),"OrgRisk"))</f>
        <v/>
      </c>
      <c r="D292">
        <f t="array" ref="D292">IFERROR(INDEX('Work Items'!$C$6:$C$5000,SMALL(IF('Work Items'!$A$6:$A$5000="Risk",ROW('Work Items'!$A$6:$A$5000)-ROW('Work Items'!$A$6)+1),288)),"")</f>
        <v/>
      </c>
      <c r="E292">
        <f t="array" ref="E292">IFERROR(INDEX('Work Items'!$D$6:$D$5000,SMALL(IF('Work Items'!$A$6:$A$5000="Risk",ROW('Work Items'!$A$6:$A$5000)-ROW('Work Items'!$A$6)+1),288)),"")</f>
        <v/>
      </c>
      <c r="F292">
        <f t="array" ref="F292">IFERROR(INDEX('Work Items'!$E$6:$E$5000,SMALL(IF('Work Items'!$A$6:$A$5000="Risk",ROW('Work Items'!$A$6:$A$5000)-ROW('Work Items'!$A$6)+1),288)),"")</f>
        <v/>
      </c>
      <c r="G292">
        <f t="array" ref="G292">IFERROR(INDEX('Work Items'!$F$6:$F$5000,SMALL(IF('Work Items'!$A$6:$A$5000="Risk",ROW('Work Items'!$A$6:$A$5000)-ROW('Work Items'!$A$6)+1),288)),"")</f>
        <v/>
      </c>
      <c r="H292">
        <f t="array" ref="H292">IFERROR(INDEX('Work Items'!$J$6:$J$5000,SMALL(IF('Work Items'!$A$6:$A$5000="Risk",ROW('Work Items'!$A$6:$A$5000)-ROW('Work Items'!$A$6)+1),288)),"")</f>
        <v/>
      </c>
      <c r="I292">
        <f t="array" ref="I292">IFERROR(INDEX('Work Items'!$K$6:$K$5000,SMALL(IF('Work Items'!$A$6:$A$5000="Risk",ROW('Work Items'!$A$6:$A$5000)-ROW('Work Items'!$A$6)+1),288)),"")</f>
        <v/>
      </c>
      <c r="J292">
        <f t="array" ref="J292">IFERROR(INDEX('Work Items'!$L$6:$L$5000,SMALL(IF('Work Items'!$A$6:$A$5000="Risk",ROW('Work Items'!$A$6:$A$5000)-ROW('Work Items'!$A$6)+1),288)),"")</f>
        <v/>
      </c>
      <c r="K292">
        <f t="array" ref="K292">IFERROR(IF(AND(INDEX('Work Items'!$R$6:$R$5000,SMALL(IF('Work Items'!$A$6:$A$5000="Risk",ROW('Work Items'!$A$6:$A$5000)-ROW('Work Items'!$A$6)+1),288))&lt;&gt;"",INDEX('Work Items'!$S$6:$S$5000,SMALL(IF('Work Items'!$A$6:$A$5000="Risk",ROW('Work Items'!$A$6:$A$5000)-ROW('Work Items'!$A$6)+1),288))&lt;&gt;""),INDEX('Work Items'!$R$6:$R$5000,SMALL(IF('Work Items'!$A$6:$A$5000="Risk",ROW('Work Items'!$A$6:$A$5000)-ROW('Work Items'!$A$6)+1),288))*INDEX('Work Items'!$S$6:$S$5000,SMALL(IF('Work Items'!$A$6:$A$5000="Risk",ROW('Work Items'!$A$6:$A$5000)-ROW('Work Items'!$A$6)+1),288)),INDEX('Work Items'!$U$6:$U$5000,SMALL(IF('Work Items'!$A$6:$A$5000="Risk",ROW('Work Items'!$A$6:$A$5000)-ROW('Work Items'!$A$6)+1),288))),"")</f>
        <v/>
      </c>
      <c r="L292" s="217">
        <f t="array" ref="L292">IFERROR(INDEX('Work Items'!$Q$6:$Q$5000,SMALL(IF('Work Items'!$A$6:$A$5000="Risk",ROW('Work Items'!$A$6:$A$5000)-ROW('Work Items'!$A$6)+1),288)),"")</f>
        <v/>
      </c>
      <c r="M292">
        <f t="array" ref="M292">IFERROR(INDEX('Work Items'!$T$6:$T$5000,SMALL(IF('Work Items'!$A$6:$A$5000="Risk",ROW('Work Items'!$A$6:$A$5000)-ROW('Work Items'!$A$6)+1),288)),"")</f>
        <v/>
      </c>
    </row>
    <row r="293">
      <c r="A293">
        <f t="array" ref="A293">IFERROR(INDEX('Work Items'!$A$6:$A$5000,SMALL(IF('Work Items'!$A$6:$A$5000="Risk",ROW('Work Items'!$A$6:$A$5000)-ROW('Work Items'!$A$6)+1),289)),"")</f>
        <v/>
      </c>
      <c r="B293">
        <f t="array" ref="B293">IFERROR(INDEX('Work Items'!$B$6:$B$5000,SMALL(IF('Work Items'!$A$6:$A$5000="Risk",ROW('Work Items'!$A$6:$A$5000)-ROW('Work Items'!$A$6)+1),289)),"")</f>
        <v/>
      </c>
      <c r="C293">
        <f>IF(E293="","",IFERROR(INDEX('Projects Master'!$A:$A,MATCH(E293,'Projects Master'!$B:$B,0)),"OrgRisk"))</f>
        <v/>
      </c>
      <c r="D293">
        <f t="array" ref="D293">IFERROR(INDEX('Work Items'!$C$6:$C$5000,SMALL(IF('Work Items'!$A$6:$A$5000="Risk",ROW('Work Items'!$A$6:$A$5000)-ROW('Work Items'!$A$6)+1),289)),"")</f>
        <v/>
      </c>
      <c r="E293">
        <f t="array" ref="E293">IFERROR(INDEX('Work Items'!$D$6:$D$5000,SMALL(IF('Work Items'!$A$6:$A$5000="Risk",ROW('Work Items'!$A$6:$A$5000)-ROW('Work Items'!$A$6)+1),289)),"")</f>
        <v/>
      </c>
      <c r="F293">
        <f t="array" ref="F293">IFERROR(INDEX('Work Items'!$E$6:$E$5000,SMALL(IF('Work Items'!$A$6:$A$5000="Risk",ROW('Work Items'!$A$6:$A$5000)-ROW('Work Items'!$A$6)+1),289)),"")</f>
        <v/>
      </c>
      <c r="G293">
        <f t="array" ref="G293">IFERROR(INDEX('Work Items'!$F$6:$F$5000,SMALL(IF('Work Items'!$A$6:$A$5000="Risk",ROW('Work Items'!$A$6:$A$5000)-ROW('Work Items'!$A$6)+1),289)),"")</f>
        <v/>
      </c>
      <c r="H293">
        <f t="array" ref="H293">IFERROR(INDEX('Work Items'!$J$6:$J$5000,SMALL(IF('Work Items'!$A$6:$A$5000="Risk",ROW('Work Items'!$A$6:$A$5000)-ROW('Work Items'!$A$6)+1),289)),"")</f>
        <v/>
      </c>
      <c r="I293">
        <f t="array" ref="I293">IFERROR(INDEX('Work Items'!$K$6:$K$5000,SMALL(IF('Work Items'!$A$6:$A$5000="Risk",ROW('Work Items'!$A$6:$A$5000)-ROW('Work Items'!$A$6)+1),289)),"")</f>
        <v/>
      </c>
      <c r="J293">
        <f t="array" ref="J293">IFERROR(INDEX('Work Items'!$L$6:$L$5000,SMALL(IF('Work Items'!$A$6:$A$5000="Risk",ROW('Work Items'!$A$6:$A$5000)-ROW('Work Items'!$A$6)+1),289)),"")</f>
        <v/>
      </c>
      <c r="K293">
        <f t="array" ref="K293">IFERROR(IF(AND(INDEX('Work Items'!$R$6:$R$5000,SMALL(IF('Work Items'!$A$6:$A$5000="Risk",ROW('Work Items'!$A$6:$A$5000)-ROW('Work Items'!$A$6)+1),289))&lt;&gt;"",INDEX('Work Items'!$S$6:$S$5000,SMALL(IF('Work Items'!$A$6:$A$5000="Risk",ROW('Work Items'!$A$6:$A$5000)-ROW('Work Items'!$A$6)+1),289))&lt;&gt;""),INDEX('Work Items'!$R$6:$R$5000,SMALL(IF('Work Items'!$A$6:$A$5000="Risk",ROW('Work Items'!$A$6:$A$5000)-ROW('Work Items'!$A$6)+1),289))*INDEX('Work Items'!$S$6:$S$5000,SMALL(IF('Work Items'!$A$6:$A$5000="Risk",ROW('Work Items'!$A$6:$A$5000)-ROW('Work Items'!$A$6)+1),289)),INDEX('Work Items'!$U$6:$U$5000,SMALL(IF('Work Items'!$A$6:$A$5000="Risk",ROW('Work Items'!$A$6:$A$5000)-ROW('Work Items'!$A$6)+1),289))),"")</f>
        <v/>
      </c>
      <c r="L293" s="217">
        <f t="array" ref="L293">IFERROR(INDEX('Work Items'!$Q$6:$Q$5000,SMALL(IF('Work Items'!$A$6:$A$5000="Risk",ROW('Work Items'!$A$6:$A$5000)-ROW('Work Items'!$A$6)+1),289)),"")</f>
        <v/>
      </c>
      <c r="M293">
        <f t="array" ref="M293">IFERROR(INDEX('Work Items'!$T$6:$T$5000,SMALL(IF('Work Items'!$A$6:$A$5000="Risk",ROW('Work Items'!$A$6:$A$5000)-ROW('Work Items'!$A$6)+1),289)),"")</f>
        <v/>
      </c>
    </row>
    <row r="294">
      <c r="A294">
        <f t="array" ref="A294">IFERROR(INDEX('Work Items'!$A$6:$A$5000,SMALL(IF('Work Items'!$A$6:$A$5000="Risk",ROW('Work Items'!$A$6:$A$5000)-ROW('Work Items'!$A$6)+1),290)),"")</f>
        <v/>
      </c>
      <c r="B294">
        <f t="array" ref="B294">IFERROR(INDEX('Work Items'!$B$6:$B$5000,SMALL(IF('Work Items'!$A$6:$A$5000="Risk",ROW('Work Items'!$A$6:$A$5000)-ROW('Work Items'!$A$6)+1),290)),"")</f>
        <v/>
      </c>
      <c r="C294">
        <f>IF(E294="","",IFERROR(INDEX('Projects Master'!$A:$A,MATCH(E294,'Projects Master'!$B:$B,0)),"OrgRisk"))</f>
        <v/>
      </c>
      <c r="D294">
        <f t="array" ref="D294">IFERROR(INDEX('Work Items'!$C$6:$C$5000,SMALL(IF('Work Items'!$A$6:$A$5000="Risk",ROW('Work Items'!$A$6:$A$5000)-ROW('Work Items'!$A$6)+1),290)),"")</f>
        <v/>
      </c>
      <c r="E294">
        <f t="array" ref="E294">IFERROR(INDEX('Work Items'!$D$6:$D$5000,SMALL(IF('Work Items'!$A$6:$A$5000="Risk",ROW('Work Items'!$A$6:$A$5000)-ROW('Work Items'!$A$6)+1),290)),"")</f>
        <v/>
      </c>
      <c r="F294">
        <f t="array" ref="F294">IFERROR(INDEX('Work Items'!$E$6:$E$5000,SMALL(IF('Work Items'!$A$6:$A$5000="Risk",ROW('Work Items'!$A$6:$A$5000)-ROW('Work Items'!$A$6)+1),290)),"")</f>
        <v/>
      </c>
      <c r="G294">
        <f t="array" ref="G294">IFERROR(INDEX('Work Items'!$F$6:$F$5000,SMALL(IF('Work Items'!$A$6:$A$5000="Risk",ROW('Work Items'!$A$6:$A$5000)-ROW('Work Items'!$A$6)+1),290)),"")</f>
        <v/>
      </c>
      <c r="H294">
        <f t="array" ref="H294">IFERROR(INDEX('Work Items'!$J$6:$J$5000,SMALL(IF('Work Items'!$A$6:$A$5000="Risk",ROW('Work Items'!$A$6:$A$5000)-ROW('Work Items'!$A$6)+1),290)),"")</f>
        <v/>
      </c>
      <c r="I294">
        <f t="array" ref="I294">IFERROR(INDEX('Work Items'!$K$6:$K$5000,SMALL(IF('Work Items'!$A$6:$A$5000="Risk",ROW('Work Items'!$A$6:$A$5000)-ROW('Work Items'!$A$6)+1),290)),"")</f>
        <v/>
      </c>
      <c r="J294">
        <f t="array" ref="J294">IFERROR(INDEX('Work Items'!$L$6:$L$5000,SMALL(IF('Work Items'!$A$6:$A$5000="Risk",ROW('Work Items'!$A$6:$A$5000)-ROW('Work Items'!$A$6)+1),290)),"")</f>
        <v/>
      </c>
      <c r="K294">
        <f t="array" ref="K294">IFERROR(IF(AND(INDEX('Work Items'!$R$6:$R$5000,SMALL(IF('Work Items'!$A$6:$A$5000="Risk",ROW('Work Items'!$A$6:$A$5000)-ROW('Work Items'!$A$6)+1),290))&lt;&gt;"",INDEX('Work Items'!$S$6:$S$5000,SMALL(IF('Work Items'!$A$6:$A$5000="Risk",ROW('Work Items'!$A$6:$A$5000)-ROW('Work Items'!$A$6)+1),290))&lt;&gt;""),INDEX('Work Items'!$R$6:$R$5000,SMALL(IF('Work Items'!$A$6:$A$5000="Risk",ROW('Work Items'!$A$6:$A$5000)-ROW('Work Items'!$A$6)+1),290))*INDEX('Work Items'!$S$6:$S$5000,SMALL(IF('Work Items'!$A$6:$A$5000="Risk",ROW('Work Items'!$A$6:$A$5000)-ROW('Work Items'!$A$6)+1),290)),INDEX('Work Items'!$U$6:$U$5000,SMALL(IF('Work Items'!$A$6:$A$5000="Risk",ROW('Work Items'!$A$6:$A$5000)-ROW('Work Items'!$A$6)+1),290))),"")</f>
        <v/>
      </c>
      <c r="L294" s="217">
        <f t="array" ref="L294">IFERROR(INDEX('Work Items'!$Q$6:$Q$5000,SMALL(IF('Work Items'!$A$6:$A$5000="Risk",ROW('Work Items'!$A$6:$A$5000)-ROW('Work Items'!$A$6)+1),290)),"")</f>
        <v/>
      </c>
      <c r="M294">
        <f t="array" ref="M294">IFERROR(INDEX('Work Items'!$T$6:$T$5000,SMALL(IF('Work Items'!$A$6:$A$5000="Risk",ROW('Work Items'!$A$6:$A$5000)-ROW('Work Items'!$A$6)+1),290)),"")</f>
        <v/>
      </c>
    </row>
    <row r="295">
      <c r="A295">
        <f t="array" ref="A295">IFERROR(INDEX('Work Items'!$A$6:$A$5000,SMALL(IF('Work Items'!$A$6:$A$5000="Risk",ROW('Work Items'!$A$6:$A$5000)-ROW('Work Items'!$A$6)+1),291)),"")</f>
        <v/>
      </c>
      <c r="B295">
        <f t="array" ref="B295">IFERROR(INDEX('Work Items'!$B$6:$B$5000,SMALL(IF('Work Items'!$A$6:$A$5000="Risk",ROW('Work Items'!$A$6:$A$5000)-ROW('Work Items'!$A$6)+1),291)),"")</f>
        <v/>
      </c>
      <c r="C295">
        <f>IF(E295="","",IFERROR(INDEX('Projects Master'!$A:$A,MATCH(E295,'Projects Master'!$B:$B,0)),"OrgRisk"))</f>
        <v/>
      </c>
      <c r="D295">
        <f t="array" ref="D295">IFERROR(INDEX('Work Items'!$C$6:$C$5000,SMALL(IF('Work Items'!$A$6:$A$5000="Risk",ROW('Work Items'!$A$6:$A$5000)-ROW('Work Items'!$A$6)+1),291)),"")</f>
        <v/>
      </c>
      <c r="E295">
        <f t="array" ref="E295">IFERROR(INDEX('Work Items'!$D$6:$D$5000,SMALL(IF('Work Items'!$A$6:$A$5000="Risk",ROW('Work Items'!$A$6:$A$5000)-ROW('Work Items'!$A$6)+1),291)),"")</f>
        <v/>
      </c>
      <c r="F295">
        <f t="array" ref="F295">IFERROR(INDEX('Work Items'!$E$6:$E$5000,SMALL(IF('Work Items'!$A$6:$A$5000="Risk",ROW('Work Items'!$A$6:$A$5000)-ROW('Work Items'!$A$6)+1),291)),"")</f>
        <v/>
      </c>
      <c r="G295">
        <f t="array" ref="G295">IFERROR(INDEX('Work Items'!$F$6:$F$5000,SMALL(IF('Work Items'!$A$6:$A$5000="Risk",ROW('Work Items'!$A$6:$A$5000)-ROW('Work Items'!$A$6)+1),291)),"")</f>
        <v/>
      </c>
      <c r="H295">
        <f t="array" ref="H295">IFERROR(INDEX('Work Items'!$J$6:$J$5000,SMALL(IF('Work Items'!$A$6:$A$5000="Risk",ROW('Work Items'!$A$6:$A$5000)-ROW('Work Items'!$A$6)+1),291)),"")</f>
        <v/>
      </c>
      <c r="I295">
        <f t="array" ref="I295">IFERROR(INDEX('Work Items'!$K$6:$K$5000,SMALL(IF('Work Items'!$A$6:$A$5000="Risk",ROW('Work Items'!$A$6:$A$5000)-ROW('Work Items'!$A$6)+1),291)),"")</f>
        <v/>
      </c>
      <c r="J295">
        <f t="array" ref="J295">IFERROR(INDEX('Work Items'!$L$6:$L$5000,SMALL(IF('Work Items'!$A$6:$A$5000="Risk",ROW('Work Items'!$A$6:$A$5000)-ROW('Work Items'!$A$6)+1),291)),"")</f>
        <v/>
      </c>
      <c r="K295">
        <f t="array" ref="K295">IFERROR(IF(AND(INDEX('Work Items'!$R$6:$R$5000,SMALL(IF('Work Items'!$A$6:$A$5000="Risk",ROW('Work Items'!$A$6:$A$5000)-ROW('Work Items'!$A$6)+1),291))&lt;&gt;"",INDEX('Work Items'!$S$6:$S$5000,SMALL(IF('Work Items'!$A$6:$A$5000="Risk",ROW('Work Items'!$A$6:$A$5000)-ROW('Work Items'!$A$6)+1),291))&lt;&gt;""),INDEX('Work Items'!$R$6:$R$5000,SMALL(IF('Work Items'!$A$6:$A$5000="Risk",ROW('Work Items'!$A$6:$A$5000)-ROW('Work Items'!$A$6)+1),291))*INDEX('Work Items'!$S$6:$S$5000,SMALL(IF('Work Items'!$A$6:$A$5000="Risk",ROW('Work Items'!$A$6:$A$5000)-ROW('Work Items'!$A$6)+1),291)),INDEX('Work Items'!$U$6:$U$5000,SMALL(IF('Work Items'!$A$6:$A$5000="Risk",ROW('Work Items'!$A$6:$A$5000)-ROW('Work Items'!$A$6)+1),291))),"")</f>
        <v/>
      </c>
      <c r="L295" s="217">
        <f t="array" ref="L295">IFERROR(INDEX('Work Items'!$Q$6:$Q$5000,SMALL(IF('Work Items'!$A$6:$A$5000="Risk",ROW('Work Items'!$A$6:$A$5000)-ROW('Work Items'!$A$6)+1),291)),"")</f>
        <v/>
      </c>
      <c r="M295">
        <f t="array" ref="M295">IFERROR(INDEX('Work Items'!$T$6:$T$5000,SMALL(IF('Work Items'!$A$6:$A$5000="Risk",ROW('Work Items'!$A$6:$A$5000)-ROW('Work Items'!$A$6)+1),291)),"")</f>
        <v/>
      </c>
    </row>
    <row r="296">
      <c r="A296">
        <f t="array" ref="A296">IFERROR(INDEX('Work Items'!$A$6:$A$5000,SMALL(IF('Work Items'!$A$6:$A$5000="Risk",ROW('Work Items'!$A$6:$A$5000)-ROW('Work Items'!$A$6)+1),292)),"")</f>
        <v/>
      </c>
      <c r="B296">
        <f t="array" ref="B296">IFERROR(INDEX('Work Items'!$B$6:$B$5000,SMALL(IF('Work Items'!$A$6:$A$5000="Risk",ROW('Work Items'!$A$6:$A$5000)-ROW('Work Items'!$A$6)+1),292)),"")</f>
        <v/>
      </c>
      <c r="C296">
        <f>IF(E296="","",IFERROR(INDEX('Projects Master'!$A:$A,MATCH(E296,'Projects Master'!$B:$B,0)),"OrgRisk"))</f>
        <v/>
      </c>
      <c r="D296">
        <f t="array" ref="D296">IFERROR(INDEX('Work Items'!$C$6:$C$5000,SMALL(IF('Work Items'!$A$6:$A$5000="Risk",ROW('Work Items'!$A$6:$A$5000)-ROW('Work Items'!$A$6)+1),292)),"")</f>
        <v/>
      </c>
      <c r="E296">
        <f t="array" ref="E296">IFERROR(INDEX('Work Items'!$D$6:$D$5000,SMALL(IF('Work Items'!$A$6:$A$5000="Risk",ROW('Work Items'!$A$6:$A$5000)-ROW('Work Items'!$A$6)+1),292)),"")</f>
        <v/>
      </c>
      <c r="F296">
        <f t="array" ref="F296">IFERROR(INDEX('Work Items'!$E$6:$E$5000,SMALL(IF('Work Items'!$A$6:$A$5000="Risk",ROW('Work Items'!$A$6:$A$5000)-ROW('Work Items'!$A$6)+1),292)),"")</f>
        <v/>
      </c>
      <c r="G296">
        <f t="array" ref="G296">IFERROR(INDEX('Work Items'!$F$6:$F$5000,SMALL(IF('Work Items'!$A$6:$A$5000="Risk",ROW('Work Items'!$A$6:$A$5000)-ROW('Work Items'!$A$6)+1),292)),"")</f>
        <v/>
      </c>
      <c r="H296">
        <f t="array" ref="H296">IFERROR(INDEX('Work Items'!$J$6:$J$5000,SMALL(IF('Work Items'!$A$6:$A$5000="Risk",ROW('Work Items'!$A$6:$A$5000)-ROW('Work Items'!$A$6)+1),292)),"")</f>
        <v/>
      </c>
      <c r="I296">
        <f t="array" ref="I296">IFERROR(INDEX('Work Items'!$K$6:$K$5000,SMALL(IF('Work Items'!$A$6:$A$5000="Risk",ROW('Work Items'!$A$6:$A$5000)-ROW('Work Items'!$A$6)+1),292)),"")</f>
        <v/>
      </c>
      <c r="J296">
        <f t="array" ref="J296">IFERROR(INDEX('Work Items'!$L$6:$L$5000,SMALL(IF('Work Items'!$A$6:$A$5000="Risk",ROW('Work Items'!$A$6:$A$5000)-ROW('Work Items'!$A$6)+1),292)),"")</f>
        <v/>
      </c>
      <c r="K296">
        <f t="array" ref="K296">IFERROR(IF(AND(INDEX('Work Items'!$R$6:$R$5000,SMALL(IF('Work Items'!$A$6:$A$5000="Risk",ROW('Work Items'!$A$6:$A$5000)-ROW('Work Items'!$A$6)+1),292))&lt;&gt;"",INDEX('Work Items'!$S$6:$S$5000,SMALL(IF('Work Items'!$A$6:$A$5000="Risk",ROW('Work Items'!$A$6:$A$5000)-ROW('Work Items'!$A$6)+1),292))&lt;&gt;""),INDEX('Work Items'!$R$6:$R$5000,SMALL(IF('Work Items'!$A$6:$A$5000="Risk",ROW('Work Items'!$A$6:$A$5000)-ROW('Work Items'!$A$6)+1),292))*INDEX('Work Items'!$S$6:$S$5000,SMALL(IF('Work Items'!$A$6:$A$5000="Risk",ROW('Work Items'!$A$6:$A$5000)-ROW('Work Items'!$A$6)+1),292)),INDEX('Work Items'!$U$6:$U$5000,SMALL(IF('Work Items'!$A$6:$A$5000="Risk",ROW('Work Items'!$A$6:$A$5000)-ROW('Work Items'!$A$6)+1),292))),"")</f>
        <v/>
      </c>
      <c r="L296" s="217">
        <f t="array" ref="L296">IFERROR(INDEX('Work Items'!$Q$6:$Q$5000,SMALL(IF('Work Items'!$A$6:$A$5000="Risk",ROW('Work Items'!$A$6:$A$5000)-ROW('Work Items'!$A$6)+1),292)),"")</f>
        <v/>
      </c>
      <c r="M296">
        <f t="array" ref="M296">IFERROR(INDEX('Work Items'!$T$6:$T$5000,SMALL(IF('Work Items'!$A$6:$A$5000="Risk",ROW('Work Items'!$A$6:$A$5000)-ROW('Work Items'!$A$6)+1),292)),"")</f>
        <v/>
      </c>
    </row>
    <row r="297">
      <c r="A297">
        <f t="array" ref="A297">IFERROR(INDEX('Work Items'!$A$6:$A$5000,SMALL(IF('Work Items'!$A$6:$A$5000="Risk",ROW('Work Items'!$A$6:$A$5000)-ROW('Work Items'!$A$6)+1),293)),"")</f>
        <v/>
      </c>
      <c r="B297">
        <f t="array" ref="B297">IFERROR(INDEX('Work Items'!$B$6:$B$5000,SMALL(IF('Work Items'!$A$6:$A$5000="Risk",ROW('Work Items'!$A$6:$A$5000)-ROW('Work Items'!$A$6)+1),293)),"")</f>
        <v/>
      </c>
      <c r="C297">
        <f>IF(E297="","",IFERROR(INDEX('Projects Master'!$A:$A,MATCH(E297,'Projects Master'!$B:$B,0)),"OrgRisk"))</f>
        <v/>
      </c>
      <c r="D297">
        <f t="array" ref="D297">IFERROR(INDEX('Work Items'!$C$6:$C$5000,SMALL(IF('Work Items'!$A$6:$A$5000="Risk",ROW('Work Items'!$A$6:$A$5000)-ROW('Work Items'!$A$6)+1),293)),"")</f>
        <v/>
      </c>
      <c r="E297">
        <f t="array" ref="E297">IFERROR(INDEX('Work Items'!$D$6:$D$5000,SMALL(IF('Work Items'!$A$6:$A$5000="Risk",ROW('Work Items'!$A$6:$A$5000)-ROW('Work Items'!$A$6)+1),293)),"")</f>
        <v/>
      </c>
      <c r="F297">
        <f t="array" ref="F297">IFERROR(INDEX('Work Items'!$E$6:$E$5000,SMALL(IF('Work Items'!$A$6:$A$5000="Risk",ROW('Work Items'!$A$6:$A$5000)-ROW('Work Items'!$A$6)+1),293)),"")</f>
        <v/>
      </c>
      <c r="G297">
        <f t="array" ref="G297">IFERROR(INDEX('Work Items'!$F$6:$F$5000,SMALL(IF('Work Items'!$A$6:$A$5000="Risk",ROW('Work Items'!$A$6:$A$5000)-ROW('Work Items'!$A$6)+1),293)),"")</f>
        <v/>
      </c>
      <c r="H297">
        <f t="array" ref="H297">IFERROR(INDEX('Work Items'!$J$6:$J$5000,SMALL(IF('Work Items'!$A$6:$A$5000="Risk",ROW('Work Items'!$A$6:$A$5000)-ROW('Work Items'!$A$6)+1),293)),"")</f>
        <v/>
      </c>
      <c r="I297">
        <f t="array" ref="I297">IFERROR(INDEX('Work Items'!$K$6:$K$5000,SMALL(IF('Work Items'!$A$6:$A$5000="Risk",ROW('Work Items'!$A$6:$A$5000)-ROW('Work Items'!$A$6)+1),293)),"")</f>
        <v/>
      </c>
      <c r="J297">
        <f t="array" ref="J297">IFERROR(INDEX('Work Items'!$L$6:$L$5000,SMALL(IF('Work Items'!$A$6:$A$5000="Risk",ROW('Work Items'!$A$6:$A$5000)-ROW('Work Items'!$A$6)+1),293)),"")</f>
        <v/>
      </c>
      <c r="K297">
        <f t="array" ref="K297">IFERROR(IF(AND(INDEX('Work Items'!$R$6:$R$5000,SMALL(IF('Work Items'!$A$6:$A$5000="Risk",ROW('Work Items'!$A$6:$A$5000)-ROW('Work Items'!$A$6)+1),293))&lt;&gt;"",INDEX('Work Items'!$S$6:$S$5000,SMALL(IF('Work Items'!$A$6:$A$5000="Risk",ROW('Work Items'!$A$6:$A$5000)-ROW('Work Items'!$A$6)+1),293))&lt;&gt;""),INDEX('Work Items'!$R$6:$R$5000,SMALL(IF('Work Items'!$A$6:$A$5000="Risk",ROW('Work Items'!$A$6:$A$5000)-ROW('Work Items'!$A$6)+1),293))*INDEX('Work Items'!$S$6:$S$5000,SMALL(IF('Work Items'!$A$6:$A$5000="Risk",ROW('Work Items'!$A$6:$A$5000)-ROW('Work Items'!$A$6)+1),293)),INDEX('Work Items'!$U$6:$U$5000,SMALL(IF('Work Items'!$A$6:$A$5000="Risk",ROW('Work Items'!$A$6:$A$5000)-ROW('Work Items'!$A$6)+1),293))),"")</f>
        <v/>
      </c>
      <c r="L297" s="217">
        <f t="array" ref="L297">IFERROR(INDEX('Work Items'!$Q$6:$Q$5000,SMALL(IF('Work Items'!$A$6:$A$5000="Risk",ROW('Work Items'!$A$6:$A$5000)-ROW('Work Items'!$A$6)+1),293)),"")</f>
        <v/>
      </c>
      <c r="M297">
        <f t="array" ref="M297">IFERROR(INDEX('Work Items'!$T$6:$T$5000,SMALL(IF('Work Items'!$A$6:$A$5000="Risk",ROW('Work Items'!$A$6:$A$5000)-ROW('Work Items'!$A$6)+1),293)),"")</f>
        <v/>
      </c>
    </row>
    <row r="298">
      <c r="A298">
        <f t="array" ref="A298">IFERROR(INDEX('Work Items'!$A$6:$A$5000,SMALL(IF('Work Items'!$A$6:$A$5000="Risk",ROW('Work Items'!$A$6:$A$5000)-ROW('Work Items'!$A$6)+1),294)),"")</f>
        <v/>
      </c>
      <c r="B298">
        <f t="array" ref="B298">IFERROR(INDEX('Work Items'!$B$6:$B$5000,SMALL(IF('Work Items'!$A$6:$A$5000="Risk",ROW('Work Items'!$A$6:$A$5000)-ROW('Work Items'!$A$6)+1),294)),"")</f>
        <v/>
      </c>
      <c r="C298">
        <f>IF(E298="","",IFERROR(INDEX('Projects Master'!$A:$A,MATCH(E298,'Projects Master'!$B:$B,0)),"OrgRisk"))</f>
        <v/>
      </c>
      <c r="D298">
        <f t="array" ref="D298">IFERROR(INDEX('Work Items'!$C$6:$C$5000,SMALL(IF('Work Items'!$A$6:$A$5000="Risk",ROW('Work Items'!$A$6:$A$5000)-ROW('Work Items'!$A$6)+1),294)),"")</f>
        <v/>
      </c>
      <c r="E298">
        <f t="array" ref="E298">IFERROR(INDEX('Work Items'!$D$6:$D$5000,SMALL(IF('Work Items'!$A$6:$A$5000="Risk",ROW('Work Items'!$A$6:$A$5000)-ROW('Work Items'!$A$6)+1),294)),"")</f>
        <v/>
      </c>
      <c r="F298">
        <f t="array" ref="F298">IFERROR(INDEX('Work Items'!$E$6:$E$5000,SMALL(IF('Work Items'!$A$6:$A$5000="Risk",ROW('Work Items'!$A$6:$A$5000)-ROW('Work Items'!$A$6)+1),294)),"")</f>
        <v/>
      </c>
      <c r="G298">
        <f t="array" ref="G298">IFERROR(INDEX('Work Items'!$F$6:$F$5000,SMALL(IF('Work Items'!$A$6:$A$5000="Risk",ROW('Work Items'!$A$6:$A$5000)-ROW('Work Items'!$A$6)+1),294)),"")</f>
        <v/>
      </c>
      <c r="H298">
        <f t="array" ref="H298">IFERROR(INDEX('Work Items'!$J$6:$J$5000,SMALL(IF('Work Items'!$A$6:$A$5000="Risk",ROW('Work Items'!$A$6:$A$5000)-ROW('Work Items'!$A$6)+1),294)),"")</f>
        <v/>
      </c>
      <c r="I298">
        <f t="array" ref="I298">IFERROR(INDEX('Work Items'!$K$6:$K$5000,SMALL(IF('Work Items'!$A$6:$A$5000="Risk",ROW('Work Items'!$A$6:$A$5000)-ROW('Work Items'!$A$6)+1),294)),"")</f>
        <v/>
      </c>
      <c r="J298">
        <f t="array" ref="J298">IFERROR(INDEX('Work Items'!$L$6:$L$5000,SMALL(IF('Work Items'!$A$6:$A$5000="Risk",ROW('Work Items'!$A$6:$A$5000)-ROW('Work Items'!$A$6)+1),294)),"")</f>
        <v/>
      </c>
      <c r="K298">
        <f t="array" ref="K298">IFERROR(IF(AND(INDEX('Work Items'!$R$6:$R$5000,SMALL(IF('Work Items'!$A$6:$A$5000="Risk",ROW('Work Items'!$A$6:$A$5000)-ROW('Work Items'!$A$6)+1),294))&lt;&gt;"",INDEX('Work Items'!$S$6:$S$5000,SMALL(IF('Work Items'!$A$6:$A$5000="Risk",ROW('Work Items'!$A$6:$A$5000)-ROW('Work Items'!$A$6)+1),294))&lt;&gt;""),INDEX('Work Items'!$R$6:$R$5000,SMALL(IF('Work Items'!$A$6:$A$5000="Risk",ROW('Work Items'!$A$6:$A$5000)-ROW('Work Items'!$A$6)+1),294))*INDEX('Work Items'!$S$6:$S$5000,SMALL(IF('Work Items'!$A$6:$A$5000="Risk",ROW('Work Items'!$A$6:$A$5000)-ROW('Work Items'!$A$6)+1),294)),INDEX('Work Items'!$U$6:$U$5000,SMALL(IF('Work Items'!$A$6:$A$5000="Risk",ROW('Work Items'!$A$6:$A$5000)-ROW('Work Items'!$A$6)+1),294))),"")</f>
        <v/>
      </c>
      <c r="L298" s="217">
        <f t="array" ref="L298">IFERROR(INDEX('Work Items'!$Q$6:$Q$5000,SMALL(IF('Work Items'!$A$6:$A$5000="Risk",ROW('Work Items'!$A$6:$A$5000)-ROW('Work Items'!$A$6)+1),294)),"")</f>
        <v/>
      </c>
      <c r="M298">
        <f t="array" ref="M298">IFERROR(INDEX('Work Items'!$T$6:$T$5000,SMALL(IF('Work Items'!$A$6:$A$5000="Risk",ROW('Work Items'!$A$6:$A$5000)-ROW('Work Items'!$A$6)+1),294)),"")</f>
        <v/>
      </c>
    </row>
    <row r="299">
      <c r="A299">
        <f t="array" ref="A299">IFERROR(INDEX('Work Items'!$A$6:$A$5000,SMALL(IF('Work Items'!$A$6:$A$5000="Risk",ROW('Work Items'!$A$6:$A$5000)-ROW('Work Items'!$A$6)+1),295)),"")</f>
        <v/>
      </c>
      <c r="B299">
        <f t="array" ref="B299">IFERROR(INDEX('Work Items'!$B$6:$B$5000,SMALL(IF('Work Items'!$A$6:$A$5000="Risk",ROW('Work Items'!$A$6:$A$5000)-ROW('Work Items'!$A$6)+1),295)),"")</f>
        <v/>
      </c>
      <c r="C299">
        <f>IF(E299="","",IFERROR(INDEX('Projects Master'!$A:$A,MATCH(E299,'Projects Master'!$B:$B,0)),"OrgRisk"))</f>
        <v/>
      </c>
      <c r="D299">
        <f t="array" ref="D299">IFERROR(INDEX('Work Items'!$C$6:$C$5000,SMALL(IF('Work Items'!$A$6:$A$5000="Risk",ROW('Work Items'!$A$6:$A$5000)-ROW('Work Items'!$A$6)+1),295)),"")</f>
        <v/>
      </c>
      <c r="E299">
        <f t="array" ref="E299">IFERROR(INDEX('Work Items'!$D$6:$D$5000,SMALL(IF('Work Items'!$A$6:$A$5000="Risk",ROW('Work Items'!$A$6:$A$5000)-ROW('Work Items'!$A$6)+1),295)),"")</f>
        <v/>
      </c>
      <c r="F299">
        <f t="array" ref="F299">IFERROR(INDEX('Work Items'!$E$6:$E$5000,SMALL(IF('Work Items'!$A$6:$A$5000="Risk",ROW('Work Items'!$A$6:$A$5000)-ROW('Work Items'!$A$6)+1),295)),"")</f>
        <v/>
      </c>
      <c r="G299">
        <f t="array" ref="G299">IFERROR(INDEX('Work Items'!$F$6:$F$5000,SMALL(IF('Work Items'!$A$6:$A$5000="Risk",ROW('Work Items'!$A$6:$A$5000)-ROW('Work Items'!$A$6)+1),295)),"")</f>
        <v/>
      </c>
      <c r="H299">
        <f t="array" ref="H299">IFERROR(INDEX('Work Items'!$J$6:$J$5000,SMALL(IF('Work Items'!$A$6:$A$5000="Risk",ROW('Work Items'!$A$6:$A$5000)-ROW('Work Items'!$A$6)+1),295)),"")</f>
        <v/>
      </c>
      <c r="I299">
        <f t="array" ref="I299">IFERROR(INDEX('Work Items'!$K$6:$K$5000,SMALL(IF('Work Items'!$A$6:$A$5000="Risk",ROW('Work Items'!$A$6:$A$5000)-ROW('Work Items'!$A$6)+1),295)),"")</f>
        <v/>
      </c>
      <c r="J299">
        <f t="array" ref="J299">IFERROR(INDEX('Work Items'!$L$6:$L$5000,SMALL(IF('Work Items'!$A$6:$A$5000="Risk",ROW('Work Items'!$A$6:$A$5000)-ROW('Work Items'!$A$6)+1),295)),"")</f>
        <v/>
      </c>
      <c r="K299">
        <f t="array" ref="K299">IFERROR(IF(AND(INDEX('Work Items'!$R$6:$R$5000,SMALL(IF('Work Items'!$A$6:$A$5000="Risk",ROW('Work Items'!$A$6:$A$5000)-ROW('Work Items'!$A$6)+1),295))&lt;&gt;"",INDEX('Work Items'!$S$6:$S$5000,SMALL(IF('Work Items'!$A$6:$A$5000="Risk",ROW('Work Items'!$A$6:$A$5000)-ROW('Work Items'!$A$6)+1),295))&lt;&gt;""),INDEX('Work Items'!$R$6:$R$5000,SMALL(IF('Work Items'!$A$6:$A$5000="Risk",ROW('Work Items'!$A$6:$A$5000)-ROW('Work Items'!$A$6)+1),295))*INDEX('Work Items'!$S$6:$S$5000,SMALL(IF('Work Items'!$A$6:$A$5000="Risk",ROW('Work Items'!$A$6:$A$5000)-ROW('Work Items'!$A$6)+1),295)),INDEX('Work Items'!$U$6:$U$5000,SMALL(IF('Work Items'!$A$6:$A$5000="Risk",ROW('Work Items'!$A$6:$A$5000)-ROW('Work Items'!$A$6)+1),295))),"")</f>
        <v/>
      </c>
      <c r="L299" s="217">
        <f t="array" ref="L299">IFERROR(INDEX('Work Items'!$Q$6:$Q$5000,SMALL(IF('Work Items'!$A$6:$A$5000="Risk",ROW('Work Items'!$A$6:$A$5000)-ROW('Work Items'!$A$6)+1),295)),"")</f>
        <v/>
      </c>
      <c r="M299">
        <f t="array" ref="M299">IFERROR(INDEX('Work Items'!$T$6:$T$5000,SMALL(IF('Work Items'!$A$6:$A$5000="Risk",ROW('Work Items'!$A$6:$A$5000)-ROW('Work Items'!$A$6)+1),295)),"")</f>
        <v/>
      </c>
    </row>
    <row r="300">
      <c r="A300">
        <f t="array" ref="A300">IFERROR(INDEX('Work Items'!$A$6:$A$5000,SMALL(IF('Work Items'!$A$6:$A$5000="Risk",ROW('Work Items'!$A$6:$A$5000)-ROW('Work Items'!$A$6)+1),296)),"")</f>
        <v/>
      </c>
      <c r="B300">
        <f t="array" ref="B300">IFERROR(INDEX('Work Items'!$B$6:$B$5000,SMALL(IF('Work Items'!$A$6:$A$5000="Risk",ROW('Work Items'!$A$6:$A$5000)-ROW('Work Items'!$A$6)+1),296)),"")</f>
        <v/>
      </c>
      <c r="C300">
        <f>IF(E300="","",IFERROR(INDEX('Projects Master'!$A:$A,MATCH(E300,'Projects Master'!$B:$B,0)),"OrgRisk"))</f>
        <v/>
      </c>
      <c r="D300">
        <f t="array" ref="D300">IFERROR(INDEX('Work Items'!$C$6:$C$5000,SMALL(IF('Work Items'!$A$6:$A$5000="Risk",ROW('Work Items'!$A$6:$A$5000)-ROW('Work Items'!$A$6)+1),296)),"")</f>
        <v/>
      </c>
      <c r="E300">
        <f t="array" ref="E300">IFERROR(INDEX('Work Items'!$D$6:$D$5000,SMALL(IF('Work Items'!$A$6:$A$5000="Risk",ROW('Work Items'!$A$6:$A$5000)-ROW('Work Items'!$A$6)+1),296)),"")</f>
        <v/>
      </c>
      <c r="F300">
        <f t="array" ref="F300">IFERROR(INDEX('Work Items'!$E$6:$E$5000,SMALL(IF('Work Items'!$A$6:$A$5000="Risk",ROW('Work Items'!$A$6:$A$5000)-ROW('Work Items'!$A$6)+1),296)),"")</f>
        <v/>
      </c>
      <c r="G300">
        <f t="array" ref="G300">IFERROR(INDEX('Work Items'!$F$6:$F$5000,SMALL(IF('Work Items'!$A$6:$A$5000="Risk",ROW('Work Items'!$A$6:$A$5000)-ROW('Work Items'!$A$6)+1),296)),"")</f>
        <v/>
      </c>
      <c r="H300">
        <f t="array" ref="H300">IFERROR(INDEX('Work Items'!$J$6:$J$5000,SMALL(IF('Work Items'!$A$6:$A$5000="Risk",ROW('Work Items'!$A$6:$A$5000)-ROW('Work Items'!$A$6)+1),296)),"")</f>
        <v/>
      </c>
      <c r="I300">
        <f t="array" ref="I300">IFERROR(INDEX('Work Items'!$K$6:$K$5000,SMALL(IF('Work Items'!$A$6:$A$5000="Risk",ROW('Work Items'!$A$6:$A$5000)-ROW('Work Items'!$A$6)+1),296)),"")</f>
        <v/>
      </c>
      <c r="J300">
        <f t="array" ref="J300">IFERROR(INDEX('Work Items'!$L$6:$L$5000,SMALL(IF('Work Items'!$A$6:$A$5000="Risk",ROW('Work Items'!$A$6:$A$5000)-ROW('Work Items'!$A$6)+1),296)),"")</f>
        <v/>
      </c>
      <c r="K300">
        <f t="array" ref="K300">IFERROR(IF(AND(INDEX('Work Items'!$R$6:$R$5000,SMALL(IF('Work Items'!$A$6:$A$5000="Risk",ROW('Work Items'!$A$6:$A$5000)-ROW('Work Items'!$A$6)+1),296))&lt;&gt;"",INDEX('Work Items'!$S$6:$S$5000,SMALL(IF('Work Items'!$A$6:$A$5000="Risk",ROW('Work Items'!$A$6:$A$5000)-ROW('Work Items'!$A$6)+1),296))&lt;&gt;""),INDEX('Work Items'!$R$6:$R$5000,SMALL(IF('Work Items'!$A$6:$A$5000="Risk",ROW('Work Items'!$A$6:$A$5000)-ROW('Work Items'!$A$6)+1),296))*INDEX('Work Items'!$S$6:$S$5000,SMALL(IF('Work Items'!$A$6:$A$5000="Risk",ROW('Work Items'!$A$6:$A$5000)-ROW('Work Items'!$A$6)+1),296)),INDEX('Work Items'!$U$6:$U$5000,SMALL(IF('Work Items'!$A$6:$A$5000="Risk",ROW('Work Items'!$A$6:$A$5000)-ROW('Work Items'!$A$6)+1),296))),"")</f>
        <v/>
      </c>
      <c r="L300" s="217">
        <f t="array" ref="L300">IFERROR(INDEX('Work Items'!$Q$6:$Q$5000,SMALL(IF('Work Items'!$A$6:$A$5000="Risk",ROW('Work Items'!$A$6:$A$5000)-ROW('Work Items'!$A$6)+1),296)),"")</f>
        <v/>
      </c>
      <c r="M300">
        <f t="array" ref="M300">IFERROR(INDEX('Work Items'!$T$6:$T$5000,SMALL(IF('Work Items'!$A$6:$A$5000="Risk",ROW('Work Items'!$A$6:$A$5000)-ROW('Work Items'!$A$6)+1),296)),"")</f>
        <v/>
      </c>
    </row>
    <row r="301">
      <c r="A301">
        <f t="array" ref="A301">IFERROR(INDEX('Work Items'!$A$6:$A$5000,SMALL(IF('Work Items'!$A$6:$A$5000="Risk",ROW('Work Items'!$A$6:$A$5000)-ROW('Work Items'!$A$6)+1),297)),"")</f>
        <v/>
      </c>
      <c r="B301">
        <f t="array" ref="B301">IFERROR(INDEX('Work Items'!$B$6:$B$5000,SMALL(IF('Work Items'!$A$6:$A$5000="Risk",ROW('Work Items'!$A$6:$A$5000)-ROW('Work Items'!$A$6)+1),297)),"")</f>
        <v/>
      </c>
      <c r="C301">
        <f>IF(E301="","",IFERROR(INDEX('Projects Master'!$A:$A,MATCH(E301,'Projects Master'!$B:$B,0)),"OrgRisk"))</f>
        <v/>
      </c>
      <c r="D301">
        <f t="array" ref="D301">IFERROR(INDEX('Work Items'!$C$6:$C$5000,SMALL(IF('Work Items'!$A$6:$A$5000="Risk",ROW('Work Items'!$A$6:$A$5000)-ROW('Work Items'!$A$6)+1),297)),"")</f>
        <v/>
      </c>
      <c r="E301">
        <f t="array" ref="E301">IFERROR(INDEX('Work Items'!$D$6:$D$5000,SMALL(IF('Work Items'!$A$6:$A$5000="Risk",ROW('Work Items'!$A$6:$A$5000)-ROW('Work Items'!$A$6)+1),297)),"")</f>
        <v/>
      </c>
      <c r="F301">
        <f t="array" ref="F301">IFERROR(INDEX('Work Items'!$E$6:$E$5000,SMALL(IF('Work Items'!$A$6:$A$5000="Risk",ROW('Work Items'!$A$6:$A$5000)-ROW('Work Items'!$A$6)+1),297)),"")</f>
        <v/>
      </c>
      <c r="G301">
        <f t="array" ref="G301">IFERROR(INDEX('Work Items'!$F$6:$F$5000,SMALL(IF('Work Items'!$A$6:$A$5000="Risk",ROW('Work Items'!$A$6:$A$5000)-ROW('Work Items'!$A$6)+1),297)),"")</f>
        <v/>
      </c>
      <c r="H301">
        <f t="array" ref="H301">IFERROR(INDEX('Work Items'!$J$6:$J$5000,SMALL(IF('Work Items'!$A$6:$A$5000="Risk",ROW('Work Items'!$A$6:$A$5000)-ROW('Work Items'!$A$6)+1),297)),"")</f>
        <v/>
      </c>
      <c r="I301">
        <f t="array" ref="I301">IFERROR(INDEX('Work Items'!$K$6:$K$5000,SMALL(IF('Work Items'!$A$6:$A$5000="Risk",ROW('Work Items'!$A$6:$A$5000)-ROW('Work Items'!$A$6)+1),297)),"")</f>
        <v/>
      </c>
      <c r="J301">
        <f t="array" ref="J301">IFERROR(INDEX('Work Items'!$L$6:$L$5000,SMALL(IF('Work Items'!$A$6:$A$5000="Risk",ROW('Work Items'!$A$6:$A$5000)-ROW('Work Items'!$A$6)+1),297)),"")</f>
        <v/>
      </c>
      <c r="K301">
        <f t="array" ref="K301">IFERROR(IF(AND(INDEX('Work Items'!$R$6:$R$5000,SMALL(IF('Work Items'!$A$6:$A$5000="Risk",ROW('Work Items'!$A$6:$A$5000)-ROW('Work Items'!$A$6)+1),297))&lt;&gt;"",INDEX('Work Items'!$S$6:$S$5000,SMALL(IF('Work Items'!$A$6:$A$5000="Risk",ROW('Work Items'!$A$6:$A$5000)-ROW('Work Items'!$A$6)+1),297))&lt;&gt;""),INDEX('Work Items'!$R$6:$R$5000,SMALL(IF('Work Items'!$A$6:$A$5000="Risk",ROW('Work Items'!$A$6:$A$5000)-ROW('Work Items'!$A$6)+1),297))*INDEX('Work Items'!$S$6:$S$5000,SMALL(IF('Work Items'!$A$6:$A$5000="Risk",ROW('Work Items'!$A$6:$A$5000)-ROW('Work Items'!$A$6)+1),297)),INDEX('Work Items'!$U$6:$U$5000,SMALL(IF('Work Items'!$A$6:$A$5000="Risk",ROW('Work Items'!$A$6:$A$5000)-ROW('Work Items'!$A$6)+1),297))),"")</f>
        <v/>
      </c>
      <c r="L301" s="217">
        <f t="array" ref="L301">IFERROR(INDEX('Work Items'!$Q$6:$Q$5000,SMALL(IF('Work Items'!$A$6:$A$5000="Risk",ROW('Work Items'!$A$6:$A$5000)-ROW('Work Items'!$A$6)+1),297)),"")</f>
        <v/>
      </c>
      <c r="M301">
        <f t="array" ref="M301">IFERROR(INDEX('Work Items'!$T$6:$T$5000,SMALL(IF('Work Items'!$A$6:$A$5000="Risk",ROW('Work Items'!$A$6:$A$5000)-ROW('Work Items'!$A$6)+1),297)),"")</f>
        <v/>
      </c>
    </row>
    <row r="302">
      <c r="A302">
        <f t="array" ref="A302">IFERROR(INDEX('Work Items'!$A$6:$A$5000,SMALL(IF('Work Items'!$A$6:$A$5000="Risk",ROW('Work Items'!$A$6:$A$5000)-ROW('Work Items'!$A$6)+1),298)),"")</f>
        <v/>
      </c>
      <c r="B302">
        <f t="array" ref="B302">IFERROR(INDEX('Work Items'!$B$6:$B$5000,SMALL(IF('Work Items'!$A$6:$A$5000="Risk",ROW('Work Items'!$A$6:$A$5000)-ROW('Work Items'!$A$6)+1),298)),"")</f>
        <v/>
      </c>
      <c r="C302">
        <f>IF(E302="","",IFERROR(INDEX('Projects Master'!$A:$A,MATCH(E302,'Projects Master'!$B:$B,0)),"OrgRisk"))</f>
        <v/>
      </c>
      <c r="D302">
        <f t="array" ref="D302">IFERROR(INDEX('Work Items'!$C$6:$C$5000,SMALL(IF('Work Items'!$A$6:$A$5000="Risk",ROW('Work Items'!$A$6:$A$5000)-ROW('Work Items'!$A$6)+1),298)),"")</f>
        <v/>
      </c>
      <c r="E302">
        <f t="array" ref="E302">IFERROR(INDEX('Work Items'!$D$6:$D$5000,SMALL(IF('Work Items'!$A$6:$A$5000="Risk",ROW('Work Items'!$A$6:$A$5000)-ROW('Work Items'!$A$6)+1),298)),"")</f>
        <v/>
      </c>
      <c r="F302">
        <f t="array" ref="F302">IFERROR(INDEX('Work Items'!$E$6:$E$5000,SMALL(IF('Work Items'!$A$6:$A$5000="Risk",ROW('Work Items'!$A$6:$A$5000)-ROW('Work Items'!$A$6)+1),298)),"")</f>
        <v/>
      </c>
      <c r="G302">
        <f t="array" ref="G302">IFERROR(INDEX('Work Items'!$F$6:$F$5000,SMALL(IF('Work Items'!$A$6:$A$5000="Risk",ROW('Work Items'!$A$6:$A$5000)-ROW('Work Items'!$A$6)+1),298)),"")</f>
        <v/>
      </c>
      <c r="H302">
        <f t="array" ref="H302">IFERROR(INDEX('Work Items'!$J$6:$J$5000,SMALL(IF('Work Items'!$A$6:$A$5000="Risk",ROW('Work Items'!$A$6:$A$5000)-ROW('Work Items'!$A$6)+1),298)),"")</f>
        <v/>
      </c>
      <c r="I302">
        <f t="array" ref="I302">IFERROR(INDEX('Work Items'!$K$6:$K$5000,SMALL(IF('Work Items'!$A$6:$A$5000="Risk",ROW('Work Items'!$A$6:$A$5000)-ROW('Work Items'!$A$6)+1),298)),"")</f>
        <v/>
      </c>
      <c r="J302">
        <f t="array" ref="J302">IFERROR(INDEX('Work Items'!$L$6:$L$5000,SMALL(IF('Work Items'!$A$6:$A$5000="Risk",ROW('Work Items'!$A$6:$A$5000)-ROW('Work Items'!$A$6)+1),298)),"")</f>
        <v/>
      </c>
      <c r="K302">
        <f t="array" ref="K302">IFERROR(IF(AND(INDEX('Work Items'!$R$6:$R$5000,SMALL(IF('Work Items'!$A$6:$A$5000="Risk",ROW('Work Items'!$A$6:$A$5000)-ROW('Work Items'!$A$6)+1),298))&lt;&gt;"",INDEX('Work Items'!$S$6:$S$5000,SMALL(IF('Work Items'!$A$6:$A$5000="Risk",ROW('Work Items'!$A$6:$A$5000)-ROW('Work Items'!$A$6)+1),298))&lt;&gt;""),INDEX('Work Items'!$R$6:$R$5000,SMALL(IF('Work Items'!$A$6:$A$5000="Risk",ROW('Work Items'!$A$6:$A$5000)-ROW('Work Items'!$A$6)+1),298))*INDEX('Work Items'!$S$6:$S$5000,SMALL(IF('Work Items'!$A$6:$A$5000="Risk",ROW('Work Items'!$A$6:$A$5000)-ROW('Work Items'!$A$6)+1),298)),INDEX('Work Items'!$U$6:$U$5000,SMALL(IF('Work Items'!$A$6:$A$5000="Risk",ROW('Work Items'!$A$6:$A$5000)-ROW('Work Items'!$A$6)+1),298))),"")</f>
        <v/>
      </c>
      <c r="L302" s="217">
        <f t="array" ref="L302">IFERROR(INDEX('Work Items'!$Q$6:$Q$5000,SMALL(IF('Work Items'!$A$6:$A$5000="Risk",ROW('Work Items'!$A$6:$A$5000)-ROW('Work Items'!$A$6)+1),298)),"")</f>
        <v/>
      </c>
      <c r="M302">
        <f t="array" ref="M302">IFERROR(INDEX('Work Items'!$T$6:$T$5000,SMALL(IF('Work Items'!$A$6:$A$5000="Risk",ROW('Work Items'!$A$6:$A$5000)-ROW('Work Items'!$A$6)+1),298)),"")</f>
        <v/>
      </c>
    </row>
    <row r="303">
      <c r="A303">
        <f t="array" ref="A303">IFERROR(INDEX('Work Items'!$A$6:$A$5000,SMALL(IF('Work Items'!$A$6:$A$5000="Risk",ROW('Work Items'!$A$6:$A$5000)-ROW('Work Items'!$A$6)+1),299)),"")</f>
        <v/>
      </c>
      <c r="B303">
        <f t="array" ref="B303">IFERROR(INDEX('Work Items'!$B$6:$B$5000,SMALL(IF('Work Items'!$A$6:$A$5000="Risk",ROW('Work Items'!$A$6:$A$5000)-ROW('Work Items'!$A$6)+1),299)),"")</f>
        <v/>
      </c>
      <c r="C303">
        <f>IF(E303="","",IFERROR(INDEX('Projects Master'!$A:$A,MATCH(E303,'Projects Master'!$B:$B,0)),"OrgRisk"))</f>
        <v/>
      </c>
      <c r="D303">
        <f t="array" ref="D303">IFERROR(INDEX('Work Items'!$C$6:$C$5000,SMALL(IF('Work Items'!$A$6:$A$5000="Risk",ROW('Work Items'!$A$6:$A$5000)-ROW('Work Items'!$A$6)+1),299)),"")</f>
        <v/>
      </c>
      <c r="E303">
        <f t="array" ref="E303">IFERROR(INDEX('Work Items'!$D$6:$D$5000,SMALL(IF('Work Items'!$A$6:$A$5000="Risk",ROW('Work Items'!$A$6:$A$5000)-ROW('Work Items'!$A$6)+1),299)),"")</f>
        <v/>
      </c>
      <c r="F303">
        <f t="array" ref="F303">IFERROR(INDEX('Work Items'!$E$6:$E$5000,SMALL(IF('Work Items'!$A$6:$A$5000="Risk",ROW('Work Items'!$A$6:$A$5000)-ROW('Work Items'!$A$6)+1),299)),"")</f>
        <v/>
      </c>
      <c r="G303">
        <f t="array" ref="G303">IFERROR(INDEX('Work Items'!$F$6:$F$5000,SMALL(IF('Work Items'!$A$6:$A$5000="Risk",ROW('Work Items'!$A$6:$A$5000)-ROW('Work Items'!$A$6)+1),299)),"")</f>
        <v/>
      </c>
      <c r="H303">
        <f t="array" ref="H303">IFERROR(INDEX('Work Items'!$J$6:$J$5000,SMALL(IF('Work Items'!$A$6:$A$5000="Risk",ROW('Work Items'!$A$6:$A$5000)-ROW('Work Items'!$A$6)+1),299)),"")</f>
        <v/>
      </c>
      <c r="I303">
        <f t="array" ref="I303">IFERROR(INDEX('Work Items'!$K$6:$K$5000,SMALL(IF('Work Items'!$A$6:$A$5000="Risk",ROW('Work Items'!$A$6:$A$5000)-ROW('Work Items'!$A$6)+1),299)),"")</f>
        <v/>
      </c>
      <c r="J303">
        <f t="array" ref="J303">IFERROR(INDEX('Work Items'!$L$6:$L$5000,SMALL(IF('Work Items'!$A$6:$A$5000="Risk",ROW('Work Items'!$A$6:$A$5000)-ROW('Work Items'!$A$6)+1),299)),"")</f>
        <v/>
      </c>
      <c r="K303">
        <f t="array" ref="K303">IFERROR(IF(AND(INDEX('Work Items'!$R$6:$R$5000,SMALL(IF('Work Items'!$A$6:$A$5000="Risk",ROW('Work Items'!$A$6:$A$5000)-ROW('Work Items'!$A$6)+1),299))&lt;&gt;"",INDEX('Work Items'!$S$6:$S$5000,SMALL(IF('Work Items'!$A$6:$A$5000="Risk",ROW('Work Items'!$A$6:$A$5000)-ROW('Work Items'!$A$6)+1),299))&lt;&gt;""),INDEX('Work Items'!$R$6:$R$5000,SMALL(IF('Work Items'!$A$6:$A$5000="Risk",ROW('Work Items'!$A$6:$A$5000)-ROW('Work Items'!$A$6)+1),299))*INDEX('Work Items'!$S$6:$S$5000,SMALL(IF('Work Items'!$A$6:$A$5000="Risk",ROW('Work Items'!$A$6:$A$5000)-ROW('Work Items'!$A$6)+1),299)),INDEX('Work Items'!$U$6:$U$5000,SMALL(IF('Work Items'!$A$6:$A$5000="Risk",ROW('Work Items'!$A$6:$A$5000)-ROW('Work Items'!$A$6)+1),299))),"")</f>
        <v/>
      </c>
      <c r="L303" s="217">
        <f t="array" ref="L303">IFERROR(INDEX('Work Items'!$Q$6:$Q$5000,SMALL(IF('Work Items'!$A$6:$A$5000="Risk",ROW('Work Items'!$A$6:$A$5000)-ROW('Work Items'!$A$6)+1),299)),"")</f>
        <v/>
      </c>
      <c r="M303">
        <f t="array" ref="M303">IFERROR(INDEX('Work Items'!$T$6:$T$5000,SMALL(IF('Work Items'!$A$6:$A$5000="Risk",ROW('Work Items'!$A$6:$A$5000)-ROW('Work Items'!$A$6)+1),299)),"")</f>
        <v/>
      </c>
    </row>
    <row r="304">
      <c r="A304">
        <f t="array" ref="A304">IFERROR(INDEX('Work Items'!$A$6:$A$5000,SMALL(IF('Work Items'!$A$6:$A$5000="Risk",ROW('Work Items'!$A$6:$A$5000)-ROW('Work Items'!$A$6)+1),300)),"")</f>
        <v/>
      </c>
      <c r="B304">
        <f t="array" ref="B304">IFERROR(INDEX('Work Items'!$B$6:$B$5000,SMALL(IF('Work Items'!$A$6:$A$5000="Risk",ROW('Work Items'!$A$6:$A$5000)-ROW('Work Items'!$A$6)+1),300)),"")</f>
        <v/>
      </c>
      <c r="C304">
        <f>IF(E304="","",IFERROR(INDEX('Projects Master'!$A:$A,MATCH(E304,'Projects Master'!$B:$B,0)),"OrgRisk"))</f>
        <v/>
      </c>
      <c r="D304">
        <f t="array" ref="D304">IFERROR(INDEX('Work Items'!$C$6:$C$5000,SMALL(IF('Work Items'!$A$6:$A$5000="Risk",ROW('Work Items'!$A$6:$A$5000)-ROW('Work Items'!$A$6)+1),300)),"")</f>
        <v/>
      </c>
      <c r="E304">
        <f t="array" ref="E304">IFERROR(INDEX('Work Items'!$D$6:$D$5000,SMALL(IF('Work Items'!$A$6:$A$5000="Risk",ROW('Work Items'!$A$6:$A$5000)-ROW('Work Items'!$A$6)+1),300)),"")</f>
        <v/>
      </c>
      <c r="F304">
        <f t="array" ref="F304">IFERROR(INDEX('Work Items'!$E$6:$E$5000,SMALL(IF('Work Items'!$A$6:$A$5000="Risk",ROW('Work Items'!$A$6:$A$5000)-ROW('Work Items'!$A$6)+1),300)),"")</f>
        <v/>
      </c>
      <c r="G304">
        <f t="array" ref="G304">IFERROR(INDEX('Work Items'!$F$6:$F$5000,SMALL(IF('Work Items'!$A$6:$A$5000="Risk",ROW('Work Items'!$A$6:$A$5000)-ROW('Work Items'!$A$6)+1),300)),"")</f>
        <v/>
      </c>
      <c r="H304">
        <f t="array" ref="H304">IFERROR(INDEX('Work Items'!$J$6:$J$5000,SMALL(IF('Work Items'!$A$6:$A$5000="Risk",ROW('Work Items'!$A$6:$A$5000)-ROW('Work Items'!$A$6)+1),300)),"")</f>
        <v/>
      </c>
      <c r="I304">
        <f t="array" ref="I304">IFERROR(INDEX('Work Items'!$K$6:$K$5000,SMALL(IF('Work Items'!$A$6:$A$5000="Risk",ROW('Work Items'!$A$6:$A$5000)-ROW('Work Items'!$A$6)+1),300)),"")</f>
        <v/>
      </c>
      <c r="J304">
        <f t="array" ref="J304">IFERROR(INDEX('Work Items'!$L$6:$L$5000,SMALL(IF('Work Items'!$A$6:$A$5000="Risk",ROW('Work Items'!$A$6:$A$5000)-ROW('Work Items'!$A$6)+1),300)),"")</f>
        <v/>
      </c>
      <c r="K304">
        <f t="array" ref="K304">IFERROR(IF(AND(INDEX('Work Items'!$R$6:$R$5000,SMALL(IF('Work Items'!$A$6:$A$5000="Risk",ROW('Work Items'!$A$6:$A$5000)-ROW('Work Items'!$A$6)+1),300))&lt;&gt;"",INDEX('Work Items'!$S$6:$S$5000,SMALL(IF('Work Items'!$A$6:$A$5000="Risk",ROW('Work Items'!$A$6:$A$5000)-ROW('Work Items'!$A$6)+1),300))&lt;&gt;""),INDEX('Work Items'!$R$6:$R$5000,SMALL(IF('Work Items'!$A$6:$A$5000="Risk",ROW('Work Items'!$A$6:$A$5000)-ROW('Work Items'!$A$6)+1),300))*INDEX('Work Items'!$S$6:$S$5000,SMALL(IF('Work Items'!$A$6:$A$5000="Risk",ROW('Work Items'!$A$6:$A$5000)-ROW('Work Items'!$A$6)+1),300)),INDEX('Work Items'!$U$6:$U$5000,SMALL(IF('Work Items'!$A$6:$A$5000="Risk",ROW('Work Items'!$A$6:$A$5000)-ROW('Work Items'!$A$6)+1),300))),"")</f>
        <v/>
      </c>
      <c r="L304" s="217">
        <f t="array" ref="L304">IFERROR(INDEX('Work Items'!$Q$6:$Q$5000,SMALL(IF('Work Items'!$A$6:$A$5000="Risk",ROW('Work Items'!$A$6:$A$5000)-ROW('Work Items'!$A$6)+1),300)),"")</f>
        <v/>
      </c>
      <c r="M304">
        <f t="array" ref="M304">IFERROR(INDEX('Work Items'!$T$6:$T$5000,SMALL(IF('Work Items'!$A$6:$A$5000="Risk",ROW('Work Items'!$A$6:$A$5000)-ROW('Work Items'!$A$6)+1),300)),"")</f>
        <v/>
      </c>
    </row>
  </sheetData>
  <autoFilter ref="A4:M12"/>
  <mergeCells count="3">
    <mergeCell ref="A3:M3"/>
    <mergeCell ref="A2:M2"/>
    <mergeCell ref="A1:M1"/>
  </mergeCells>
  <dataValidations count="1">
    <dataValidation sqref="G5:G12" showDropDown="0" showInputMessage="1" showErrorMessage="1" allowBlank="1" type="list">
      <formula1>ResourceList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M304"/>
  <sheetViews>
    <sheetView workbookViewId="0">
      <pane ySplit="4" topLeftCell="A5" activePane="bottomLeft" state="frozen"/>
      <selection pane="bottomLeft" activeCell="J27" sqref="J27"/>
    </sheetView>
  </sheetViews>
  <sheetFormatPr baseColWidth="10" defaultColWidth="8.83203125" defaultRowHeight="15"/>
  <cols>
    <col width="12" customWidth="1" style="66" min="1" max="1"/>
    <col width="14" customWidth="1" style="66" min="2" max="2"/>
    <col width="40" customWidth="1" style="66" min="3" max="3"/>
    <col width="22" customWidth="1" style="66" min="4" max="5"/>
    <col width="18" customWidth="1" style="66" min="6" max="6"/>
    <col width="14" customWidth="1" style="66" min="7" max="7"/>
    <col width="10" customWidth="1" style="66" min="8" max="8"/>
    <col width="18" customWidth="1" style="66" min="9" max="9"/>
    <col width="14" customWidth="1" style="66" min="10" max="11"/>
    <col width="12" customWidth="1" style="66" min="12" max="13"/>
  </cols>
  <sheetData>
    <row r="1" ht="28" customHeight="1" s="66">
      <c r="A1" s="75" t="inlineStr">
        <is>
          <t>OrbitFlow — Change Requests  |  All CRs also in Work Items (Type=CR)</t>
        </is>
      </c>
    </row>
    <row r="2" ht="6" customHeight="1" s="66">
      <c r="A2" s="89" t="n"/>
    </row>
    <row r="3" ht="18" customHeight="1" s="66">
      <c r="A3" s="88" t="inlineStr">
        <is>
          <t>CR Status: Approved = included in sprint  ·  Pending Approval = awaiting sign-off  ·  Rejected = not proceeding</t>
        </is>
      </c>
    </row>
    <row r="4" ht="28" customHeight="1" s="66">
      <c r="A4" s="17" t="inlineStr">
        <is>
          <t>Type</t>
        </is>
      </c>
      <c r="B4" s="17" t="inlineStr">
        <is>
          <t>ID</t>
        </is>
      </c>
      <c r="C4" s="17" t="inlineStr">
        <is>
          <t>CR Description</t>
        </is>
      </c>
      <c r="D4" s="17" t="inlineStr">
        <is>
          <t>Module</t>
        </is>
      </c>
      <c r="E4" s="17" t="inlineStr">
        <is>
          <t>SubModule</t>
        </is>
      </c>
      <c r="F4" s="17" t="inlineStr">
        <is>
          <t>CR Category</t>
        </is>
      </c>
      <c r="G4" s="17" t="inlineStr">
        <is>
          <t>Requested By</t>
        </is>
      </c>
      <c r="H4" s="17" t="inlineStr">
        <is>
          <t>Priority</t>
        </is>
      </c>
      <c r="I4" s="17" t="inlineStr">
        <is>
          <t>Status</t>
        </is>
      </c>
      <c r="J4" s="17" t="inlineStr">
        <is>
          <t>CR Date</t>
        </is>
      </c>
      <c r="K4" s="17" t="inlineStr">
        <is>
          <t>Target Date</t>
        </is>
      </c>
      <c r="L4" s="17" t="inlineStr">
        <is>
          <t>Planned Hrs</t>
        </is>
      </c>
      <c r="M4" s="17" t="inlineStr">
        <is>
          <t>Actual Hrs</t>
        </is>
      </c>
    </row>
    <row r="5" ht="18" customHeight="1" s="66">
      <c r="A5" s="47">
        <f t="array" ref="A5">IFERROR(INDEX('Work Items'!$A$6:$A$5000,SMALL(IF('Work Items'!$A$6:$A$5000="CR",ROW('Work Items'!$A$6:$A$5000)-ROW('Work Items'!$A$6)+1),1)),"")</f>
        <v/>
      </c>
      <c r="B5" s="19">
        <f t="array" ref="B5">IFERROR(INDEX('Work Items'!$B$6:$B$5000,SMALL(IF('Work Items'!$A$6:$A$5000="CR",ROW('Work Items'!$A$6:$A$5000)-ROW('Work Items'!$A$6)+1),1)),"")</f>
        <v/>
      </c>
      <c r="C5" s="4">
        <f t="array" ref="C5">IFERROR(INDEX('Work Items'!$C$6:$C$5000,SMALL(IF('Work Items'!$A$6:$A$5000="CR",ROW('Work Items'!$A$6:$A$5000)-ROW('Work Items'!$A$6)+1),1)),"")</f>
        <v/>
      </c>
      <c r="D5" s="26">
        <f t="array" ref="D5">IFERROR(INDEX('Work Items'!$D$6:$D$5000,SMALL(IF('Work Items'!$A$6:$A$5000="CR",ROW('Work Items'!$A$6:$A$5000)-ROW('Work Items'!$A$6)+1),1)),"")</f>
        <v/>
      </c>
      <c r="E5" s="101">
        <f t="array" ref="E5">IFERROR(INDEX('Work Items'!$E$6:$E$5000,SMALL(IF('Work Items'!$A$6:$A$5000="CR",ROW('Work Items'!$A$6:$A$5000)-ROW('Work Items'!$A$6)+1),1)),"")</f>
        <v/>
      </c>
      <c r="F5" s="101">
        <f t="array" ref="F5">IFERROR(INDEX('Work Items'!$F$6:$F$5000,SMALL(IF('Work Items'!$A$6:$A$5000="CR",ROW('Work Items'!$A$6:$A$5000)-ROW('Work Items'!$A$6)+1),1)),"")</f>
        <v/>
      </c>
      <c r="G5" s="101">
        <f t="array" ref="G5">IFERROR(INDEX('Work Items'!$J$6:$J$5000,SMALL(IF('Work Items'!$A$6:$A$5000="CR",ROW('Work Items'!$A$6:$A$5000)-ROW('Work Items'!$A$6)+1),1)),"")</f>
        <v/>
      </c>
      <c r="H5" s="28">
        <f t="array" ref="H5">IFERROR(INDEX('Work Items'!$K$6:$K$5000,SMALL(IF('Work Items'!$A$6:$A$5000="CR",ROW('Work Items'!$A$6:$A$5000)-ROW('Work Items'!$A$6)+1),1)),"")</f>
        <v/>
      </c>
      <c r="I5" s="28">
        <f t="array" ref="I5">IFERROR(INDEX('Work Items'!$L$6:$L$5000,SMALL(IF('Work Items'!$A$6:$A$5000="CR",ROW('Work Items'!$A$6:$A$5000)-ROW('Work Items'!$A$6)+1),1)),"")</f>
        <v/>
      </c>
      <c r="J5" s="216">
        <f t="array" ref="J5">IFERROR(INDEX('Work Items'!$M$6:$M$5000,SMALL(IF('Work Items'!$A$6:$A$5000="CR",ROW('Work Items'!$A$6:$A$5000)-ROW('Work Items'!$A$6)+1),1)),"")</f>
        <v/>
      </c>
      <c r="K5" s="216">
        <f t="array" ref="K5">IFERROR(INDEX('Work Items'!$Q$6:$Q$5000,SMALL(IF('Work Items'!$A$6:$A$5000="CR",ROW('Work Items'!$A$6:$A$5000)-ROW('Work Items'!$A$6)+1),1)),"")</f>
        <v/>
      </c>
      <c r="L5" s="25">
        <f t="array" ref="L5">IFERROR(INDEX('Work Items'!$N$6:$N$5000,SMALL(IF('Work Items'!$A$6:$A$5000="CR",ROW('Work Items'!$A$6:$A$5000)-ROW('Work Items'!$A$6)+1),1)),"")</f>
        <v/>
      </c>
      <c r="M5" s="25">
        <f t="array" ref="M5">IFERROR(INDEX('Work Items'!$O$6:$O$5000,SMALL(IF('Work Items'!$A$6:$A$5000="CR",ROW('Work Items'!$A$6:$A$5000)-ROW('Work Items'!$A$6)+1),1)),"")</f>
        <v/>
      </c>
    </row>
    <row r="6" ht="18" customHeight="1" s="66">
      <c r="A6" s="47">
        <f t="array" ref="A6">IFERROR(INDEX('Work Items'!$A$6:$A$5000,SMALL(IF('Work Items'!$A$6:$A$5000="CR",ROW('Work Items'!$A$6:$A$5000)-ROW('Work Items'!$A$6)+1),2)),"")</f>
        <v/>
      </c>
      <c r="B6" s="19">
        <f t="array" ref="B6">IFERROR(INDEX('Work Items'!$B$6:$B$5000,SMALL(IF('Work Items'!$A$6:$A$5000="CR",ROW('Work Items'!$A$6:$A$5000)-ROW('Work Items'!$A$6)+1),2)),"")</f>
        <v/>
      </c>
      <c r="C6" s="20">
        <f t="array" ref="C6">IFERROR(INDEX('Work Items'!$C$6:$C$5000,SMALL(IF('Work Items'!$A$6:$A$5000="CR",ROW('Work Items'!$A$6:$A$5000)-ROW('Work Items'!$A$6)+1),2)),"")</f>
        <v/>
      </c>
      <c r="D6" s="21">
        <f t="array" ref="D6">IFERROR(INDEX('Work Items'!$D$6:$D$5000,SMALL(IF('Work Items'!$A$6:$A$5000="CR",ROW('Work Items'!$A$6:$A$5000)-ROW('Work Items'!$A$6)+1),2)),"")</f>
        <v/>
      </c>
      <c r="E6" s="22">
        <f t="array" ref="E6">IFERROR(INDEX('Work Items'!$E$6:$E$5000,SMALL(IF('Work Items'!$A$6:$A$5000="CR",ROW('Work Items'!$A$6:$A$5000)-ROW('Work Items'!$A$6)+1),2)),"")</f>
        <v/>
      </c>
      <c r="F6" s="22">
        <f t="array" ref="F6">IFERROR(INDEX('Work Items'!$F$6:$F$5000,SMALL(IF('Work Items'!$A$6:$A$5000="CR",ROW('Work Items'!$A$6:$A$5000)-ROW('Work Items'!$A$6)+1),2)),"")</f>
        <v/>
      </c>
      <c r="G6" s="22">
        <f t="array" ref="G6">IFERROR(INDEX('Work Items'!$J$6:$J$5000,SMALL(IF('Work Items'!$A$6:$A$5000="CR",ROW('Work Items'!$A$6:$A$5000)-ROW('Work Items'!$A$6)+1),2)),"")</f>
        <v/>
      </c>
      <c r="H6" s="33">
        <f t="array" ref="H6">IFERROR(INDEX('Work Items'!$K$6:$K$5000,SMALL(IF('Work Items'!$A$6:$A$5000="CR",ROW('Work Items'!$A$6:$A$5000)-ROW('Work Items'!$A$6)+1),2)),"")</f>
        <v/>
      </c>
      <c r="I6" s="23">
        <f t="array" ref="I6">IFERROR(INDEX('Work Items'!$L$6:$L$5000,SMALL(IF('Work Items'!$A$6:$A$5000="CR",ROW('Work Items'!$A$6:$A$5000)-ROW('Work Items'!$A$6)+1),2)),"")</f>
        <v/>
      </c>
      <c r="J6" s="216">
        <f t="array" ref="J6">IFERROR(INDEX('Work Items'!$M$6:$M$5000,SMALL(IF('Work Items'!$A$6:$A$5000="CR",ROW('Work Items'!$A$6:$A$5000)-ROW('Work Items'!$A$6)+1),2)),"")</f>
        <v/>
      </c>
      <c r="K6" s="216">
        <f t="array" ref="K6">IFERROR(INDEX('Work Items'!$Q$6:$Q$5000,SMALL(IF('Work Items'!$A$6:$A$5000="CR",ROW('Work Items'!$A$6:$A$5000)-ROW('Work Items'!$A$6)+1),2)),"")</f>
        <v/>
      </c>
      <c r="L6" s="25">
        <f t="array" ref="L6">IFERROR(INDEX('Work Items'!$N$6:$N$5000,SMALL(IF('Work Items'!$A$6:$A$5000="CR",ROW('Work Items'!$A$6:$A$5000)-ROW('Work Items'!$A$6)+1),2)),"")</f>
        <v/>
      </c>
      <c r="M6" s="25">
        <f t="array" ref="M6">IFERROR(INDEX('Work Items'!$O$6:$O$5000,SMALL(IF('Work Items'!$A$6:$A$5000="CR",ROW('Work Items'!$A$6:$A$5000)-ROW('Work Items'!$A$6)+1),2)),"")</f>
        <v/>
      </c>
    </row>
    <row r="7" ht="18" customHeight="1" s="66">
      <c r="A7" s="47">
        <f t="array" ref="A7">IFERROR(INDEX('Work Items'!$A$6:$A$5000,SMALL(IF('Work Items'!$A$6:$A$5000="CR",ROW('Work Items'!$A$6:$A$5000)-ROW('Work Items'!$A$6)+1),3)),"")</f>
        <v/>
      </c>
      <c r="B7" s="19">
        <f t="array" ref="B7">IFERROR(INDEX('Work Items'!$B$6:$B$5000,SMALL(IF('Work Items'!$A$6:$A$5000="CR",ROW('Work Items'!$A$6:$A$5000)-ROW('Work Items'!$A$6)+1),3)),"")</f>
        <v/>
      </c>
      <c r="C7" s="4">
        <f t="array" ref="C7">IFERROR(INDEX('Work Items'!$C$6:$C$5000,SMALL(IF('Work Items'!$A$6:$A$5000="CR",ROW('Work Items'!$A$6:$A$5000)-ROW('Work Items'!$A$6)+1),3)),"")</f>
        <v/>
      </c>
      <c r="D7" s="26">
        <f t="array" ref="D7">IFERROR(INDEX('Work Items'!$D$6:$D$5000,SMALL(IF('Work Items'!$A$6:$A$5000="CR",ROW('Work Items'!$A$6:$A$5000)-ROW('Work Items'!$A$6)+1),3)),"")</f>
        <v/>
      </c>
      <c r="E7" s="101">
        <f t="array" ref="E7">IFERROR(INDEX('Work Items'!$E$6:$E$5000,SMALL(IF('Work Items'!$A$6:$A$5000="CR",ROW('Work Items'!$A$6:$A$5000)-ROW('Work Items'!$A$6)+1),3)),"")</f>
        <v/>
      </c>
      <c r="F7" s="101">
        <f t="array" ref="F7">IFERROR(INDEX('Work Items'!$F$6:$F$5000,SMALL(IF('Work Items'!$A$6:$A$5000="CR",ROW('Work Items'!$A$6:$A$5000)-ROW('Work Items'!$A$6)+1),3)),"")</f>
        <v/>
      </c>
      <c r="G7" s="101">
        <f t="array" ref="G7">IFERROR(INDEX('Work Items'!$J$6:$J$5000,SMALL(IF('Work Items'!$A$6:$A$5000="CR",ROW('Work Items'!$A$6:$A$5000)-ROW('Work Items'!$A$6)+1),3)),"")</f>
        <v/>
      </c>
      <c r="H7" s="23">
        <f t="array" ref="H7">IFERROR(INDEX('Work Items'!$K$6:$K$5000,SMALL(IF('Work Items'!$A$6:$A$5000="CR",ROW('Work Items'!$A$6:$A$5000)-ROW('Work Items'!$A$6)+1),3)),"")</f>
        <v/>
      </c>
      <c r="I7" s="28">
        <f t="array" ref="I7">IFERROR(INDEX('Work Items'!$L$6:$L$5000,SMALL(IF('Work Items'!$A$6:$A$5000="CR",ROW('Work Items'!$A$6:$A$5000)-ROW('Work Items'!$A$6)+1),3)),"")</f>
        <v/>
      </c>
      <c r="J7" s="216">
        <f t="array" ref="J7">IFERROR(INDEX('Work Items'!$M$6:$M$5000,SMALL(IF('Work Items'!$A$6:$A$5000="CR",ROW('Work Items'!$A$6:$A$5000)-ROW('Work Items'!$A$6)+1),3)),"")</f>
        <v/>
      </c>
      <c r="K7" s="216">
        <f t="array" ref="K7">IFERROR(INDEX('Work Items'!$Q$6:$Q$5000,SMALL(IF('Work Items'!$A$6:$A$5000="CR",ROW('Work Items'!$A$6:$A$5000)-ROW('Work Items'!$A$6)+1),3)),"")</f>
        <v/>
      </c>
      <c r="L7" s="25">
        <f t="array" ref="L7">IFERROR(INDEX('Work Items'!$N$6:$N$5000,SMALL(IF('Work Items'!$A$6:$A$5000="CR",ROW('Work Items'!$A$6:$A$5000)-ROW('Work Items'!$A$6)+1),3)),"")</f>
        <v/>
      </c>
      <c r="M7" s="25">
        <f t="array" ref="M7">IFERROR(INDEX('Work Items'!$O$6:$O$5000,SMALL(IF('Work Items'!$A$6:$A$5000="CR",ROW('Work Items'!$A$6:$A$5000)-ROW('Work Items'!$A$6)+1),3)),"")</f>
        <v/>
      </c>
    </row>
    <row r="8" ht="18" customHeight="1" s="66">
      <c r="A8" s="47">
        <f t="array" ref="A8">IFERROR(INDEX('Work Items'!$A$6:$A$5000,SMALL(IF('Work Items'!$A$6:$A$5000="CR",ROW('Work Items'!$A$6:$A$5000)-ROW('Work Items'!$A$6)+1),4)),"")</f>
        <v/>
      </c>
      <c r="B8" s="19">
        <f t="array" ref="B8">IFERROR(INDEX('Work Items'!$B$6:$B$5000,SMALL(IF('Work Items'!$A$6:$A$5000="CR",ROW('Work Items'!$A$6:$A$5000)-ROW('Work Items'!$A$6)+1),4)),"")</f>
        <v/>
      </c>
      <c r="C8" s="20">
        <f t="array" ref="C8">IFERROR(INDEX('Work Items'!$C$6:$C$5000,SMALL(IF('Work Items'!$A$6:$A$5000="CR",ROW('Work Items'!$A$6:$A$5000)-ROW('Work Items'!$A$6)+1),4)),"")</f>
        <v/>
      </c>
      <c r="D8" s="21">
        <f t="array" ref="D8">IFERROR(INDEX('Work Items'!$D$6:$D$5000,SMALL(IF('Work Items'!$A$6:$A$5000="CR",ROW('Work Items'!$A$6:$A$5000)-ROW('Work Items'!$A$6)+1),4)),"")</f>
        <v/>
      </c>
      <c r="E8" s="22">
        <f t="array" ref="E8">IFERROR(INDEX('Work Items'!$E$6:$E$5000,SMALL(IF('Work Items'!$A$6:$A$5000="CR",ROW('Work Items'!$A$6:$A$5000)-ROW('Work Items'!$A$6)+1),4)),"")</f>
        <v/>
      </c>
      <c r="F8" s="22">
        <f t="array" ref="F8">IFERROR(INDEX('Work Items'!$F$6:$F$5000,SMALL(IF('Work Items'!$A$6:$A$5000="CR",ROW('Work Items'!$A$6:$A$5000)-ROW('Work Items'!$A$6)+1),4)),"")</f>
        <v/>
      </c>
      <c r="G8" s="22">
        <f t="array" ref="G8">IFERROR(INDEX('Work Items'!$J$6:$J$5000,SMALL(IF('Work Items'!$A$6:$A$5000="CR",ROW('Work Items'!$A$6:$A$5000)-ROW('Work Items'!$A$6)+1),4)),"")</f>
        <v/>
      </c>
      <c r="H8" s="23">
        <f t="array" ref="H8">IFERROR(INDEX('Work Items'!$K$6:$K$5000,SMALL(IF('Work Items'!$A$6:$A$5000="CR",ROW('Work Items'!$A$6:$A$5000)-ROW('Work Items'!$A$6)+1),4)),"")</f>
        <v/>
      </c>
      <c r="I8" s="23">
        <f t="array" ref="I8">IFERROR(INDEX('Work Items'!$L$6:$L$5000,SMALL(IF('Work Items'!$A$6:$A$5000="CR",ROW('Work Items'!$A$6:$A$5000)-ROW('Work Items'!$A$6)+1),4)),"")</f>
        <v/>
      </c>
      <c r="J8" s="216">
        <f t="array" ref="J8">IFERROR(INDEX('Work Items'!$M$6:$M$5000,SMALL(IF('Work Items'!$A$6:$A$5000="CR",ROW('Work Items'!$A$6:$A$5000)-ROW('Work Items'!$A$6)+1),4)),"")</f>
        <v/>
      </c>
      <c r="K8" s="216">
        <f t="array" ref="K8">IFERROR(INDEX('Work Items'!$Q$6:$Q$5000,SMALL(IF('Work Items'!$A$6:$A$5000="CR",ROW('Work Items'!$A$6:$A$5000)-ROW('Work Items'!$A$6)+1),4)),"")</f>
        <v/>
      </c>
      <c r="L8" s="25">
        <f t="array" ref="L8">IFERROR(INDEX('Work Items'!$N$6:$N$5000,SMALL(IF('Work Items'!$A$6:$A$5000="CR",ROW('Work Items'!$A$6:$A$5000)-ROW('Work Items'!$A$6)+1),4)),"")</f>
        <v/>
      </c>
      <c r="M8" s="25">
        <f t="array" ref="M8">IFERROR(INDEX('Work Items'!$O$6:$O$5000,SMALL(IF('Work Items'!$A$6:$A$5000="CR",ROW('Work Items'!$A$6:$A$5000)-ROW('Work Items'!$A$6)+1),4)),"")</f>
        <v/>
      </c>
    </row>
    <row r="9" ht="18" customHeight="1" s="66">
      <c r="A9" s="47">
        <f t="array" ref="A9">IFERROR(INDEX('Work Items'!$A$6:$A$5000,SMALL(IF('Work Items'!$A$6:$A$5000="CR",ROW('Work Items'!$A$6:$A$5000)-ROW('Work Items'!$A$6)+1),5)),"")</f>
        <v/>
      </c>
      <c r="B9" s="19">
        <f t="array" ref="B9">IFERROR(INDEX('Work Items'!$B$6:$B$5000,SMALL(IF('Work Items'!$A$6:$A$5000="CR",ROW('Work Items'!$A$6:$A$5000)-ROW('Work Items'!$A$6)+1),5)),"")</f>
        <v/>
      </c>
      <c r="C9" s="4">
        <f t="array" ref="C9">IFERROR(INDEX('Work Items'!$C$6:$C$5000,SMALL(IF('Work Items'!$A$6:$A$5000="CR",ROW('Work Items'!$A$6:$A$5000)-ROW('Work Items'!$A$6)+1),5)),"")</f>
        <v/>
      </c>
      <c r="D9" s="26">
        <f t="array" ref="D9">IFERROR(INDEX('Work Items'!$D$6:$D$5000,SMALL(IF('Work Items'!$A$6:$A$5000="CR",ROW('Work Items'!$A$6:$A$5000)-ROW('Work Items'!$A$6)+1),5)),"")</f>
        <v/>
      </c>
      <c r="E9" s="101">
        <f t="array" ref="E9">IFERROR(INDEX('Work Items'!$E$6:$E$5000,SMALL(IF('Work Items'!$A$6:$A$5000="CR",ROW('Work Items'!$A$6:$A$5000)-ROW('Work Items'!$A$6)+1),5)),"")</f>
        <v/>
      </c>
      <c r="F9" s="101">
        <f t="array" ref="F9">IFERROR(INDEX('Work Items'!$F$6:$F$5000,SMALL(IF('Work Items'!$A$6:$A$5000="CR",ROW('Work Items'!$A$6:$A$5000)-ROW('Work Items'!$A$6)+1),5)),"")</f>
        <v/>
      </c>
      <c r="G9" s="101">
        <f t="array" ref="G9">IFERROR(INDEX('Work Items'!$J$6:$J$5000,SMALL(IF('Work Items'!$A$6:$A$5000="CR",ROW('Work Items'!$A$6:$A$5000)-ROW('Work Items'!$A$6)+1),5)),"")</f>
        <v/>
      </c>
      <c r="H9" s="23">
        <f t="array" ref="H9">IFERROR(INDEX('Work Items'!$K$6:$K$5000,SMALL(IF('Work Items'!$A$6:$A$5000="CR",ROW('Work Items'!$A$6:$A$5000)-ROW('Work Items'!$A$6)+1),5)),"")</f>
        <v/>
      </c>
      <c r="I9" s="28">
        <f t="array" ref="I9">IFERROR(INDEX('Work Items'!$L$6:$L$5000,SMALL(IF('Work Items'!$A$6:$A$5000="CR",ROW('Work Items'!$A$6:$A$5000)-ROW('Work Items'!$A$6)+1),5)),"")</f>
        <v/>
      </c>
      <c r="J9" s="216">
        <f t="array" ref="J9">IFERROR(INDEX('Work Items'!$M$6:$M$5000,SMALL(IF('Work Items'!$A$6:$A$5000="CR",ROW('Work Items'!$A$6:$A$5000)-ROW('Work Items'!$A$6)+1),5)),"")</f>
        <v/>
      </c>
      <c r="K9" s="216">
        <f t="array" ref="K9">IFERROR(INDEX('Work Items'!$Q$6:$Q$5000,SMALL(IF('Work Items'!$A$6:$A$5000="CR",ROW('Work Items'!$A$6:$A$5000)-ROW('Work Items'!$A$6)+1),5)),"")</f>
        <v/>
      </c>
      <c r="L9" s="25">
        <f t="array" ref="L9">IFERROR(INDEX('Work Items'!$N$6:$N$5000,SMALL(IF('Work Items'!$A$6:$A$5000="CR",ROW('Work Items'!$A$6:$A$5000)-ROW('Work Items'!$A$6)+1),5)),"")</f>
        <v/>
      </c>
      <c r="M9" s="25">
        <f t="array" ref="M9">IFERROR(INDEX('Work Items'!$O$6:$O$5000,SMALL(IF('Work Items'!$A$6:$A$5000="CR",ROW('Work Items'!$A$6:$A$5000)-ROW('Work Items'!$A$6)+1),5)),"")</f>
        <v/>
      </c>
    </row>
    <row r="10">
      <c r="A10">
        <f t="array" ref="A10">IFERROR(INDEX('Work Items'!$A$6:$A$5000,SMALL(IF('Work Items'!$A$6:$A$5000="CR",ROW('Work Items'!$A$6:$A$5000)-ROW('Work Items'!$A$6)+1),6)),"")</f>
        <v/>
      </c>
      <c r="B10">
        <f t="array" ref="B10">IFERROR(INDEX('Work Items'!$B$6:$B$5000,SMALL(IF('Work Items'!$A$6:$A$5000="CR",ROW('Work Items'!$A$6:$A$5000)-ROW('Work Items'!$A$6)+1),6)),"")</f>
        <v/>
      </c>
      <c r="C10">
        <f t="array" ref="C10">IFERROR(INDEX('Work Items'!$C$6:$C$5000,SMALL(IF('Work Items'!$A$6:$A$5000="CR",ROW('Work Items'!$A$6:$A$5000)-ROW('Work Items'!$A$6)+1),6)),"")</f>
        <v/>
      </c>
      <c r="D10">
        <f t="array" ref="D10">IFERROR(INDEX('Work Items'!$D$6:$D$5000,SMALL(IF('Work Items'!$A$6:$A$5000="CR",ROW('Work Items'!$A$6:$A$5000)-ROW('Work Items'!$A$6)+1),6)),"")</f>
        <v/>
      </c>
      <c r="E10">
        <f t="array" ref="E10">IFERROR(INDEX('Work Items'!$E$6:$E$5000,SMALL(IF('Work Items'!$A$6:$A$5000="CR",ROW('Work Items'!$A$6:$A$5000)-ROW('Work Items'!$A$6)+1),6)),"")</f>
        <v/>
      </c>
      <c r="F10">
        <f t="array" ref="F10">IFERROR(INDEX('Work Items'!$F$6:$F$5000,SMALL(IF('Work Items'!$A$6:$A$5000="CR",ROW('Work Items'!$A$6:$A$5000)-ROW('Work Items'!$A$6)+1),6)),"")</f>
        <v/>
      </c>
      <c r="G10">
        <f t="array" ref="G10">IFERROR(INDEX('Work Items'!$J$6:$J$5000,SMALL(IF('Work Items'!$A$6:$A$5000="CR",ROW('Work Items'!$A$6:$A$5000)-ROW('Work Items'!$A$6)+1),6)),"")</f>
        <v/>
      </c>
      <c r="H10">
        <f t="array" ref="H10">IFERROR(INDEX('Work Items'!$K$6:$K$5000,SMALL(IF('Work Items'!$A$6:$A$5000="CR",ROW('Work Items'!$A$6:$A$5000)-ROW('Work Items'!$A$6)+1),6)),"")</f>
        <v/>
      </c>
      <c r="I10">
        <f t="array" ref="I10">IFERROR(INDEX('Work Items'!$L$6:$L$5000,SMALL(IF('Work Items'!$A$6:$A$5000="CR",ROW('Work Items'!$A$6:$A$5000)-ROW('Work Items'!$A$6)+1),6)),"")</f>
        <v/>
      </c>
      <c r="J10" s="217">
        <f t="array" ref="J10">IFERROR(INDEX('Work Items'!$M$6:$M$5000,SMALL(IF('Work Items'!$A$6:$A$5000="CR",ROW('Work Items'!$A$6:$A$5000)-ROW('Work Items'!$A$6)+1),6)),"")</f>
        <v/>
      </c>
      <c r="K10" s="217">
        <f t="array" ref="K10">IFERROR(INDEX('Work Items'!$Q$6:$Q$5000,SMALL(IF('Work Items'!$A$6:$A$5000="CR",ROW('Work Items'!$A$6:$A$5000)-ROW('Work Items'!$A$6)+1),6)),"")</f>
        <v/>
      </c>
      <c r="L10">
        <f t="array" ref="L10">IFERROR(INDEX('Work Items'!$N$6:$N$5000,SMALL(IF('Work Items'!$A$6:$A$5000="CR",ROW('Work Items'!$A$6:$A$5000)-ROW('Work Items'!$A$6)+1),6)),"")</f>
        <v/>
      </c>
      <c r="M10">
        <f t="array" ref="M10">IFERROR(INDEX('Work Items'!$O$6:$O$5000,SMALL(IF('Work Items'!$A$6:$A$5000="CR",ROW('Work Items'!$A$6:$A$5000)-ROW('Work Items'!$A$6)+1),6)),"")</f>
        <v/>
      </c>
    </row>
    <row r="11" ht="22" customHeight="1" s="66">
      <c r="A11" s="87">
        <f t="array" ref="A11">IFERROR(INDEX('Work Items'!$A$6:$A$5000,SMALL(IF('Work Items'!$A$6:$A$5000="CR",ROW('Work Items'!$A$6:$A$5000)-ROW('Work Items'!$A$6)+1),7)),"")</f>
        <v/>
      </c>
      <c r="B11">
        <f t="array" ref="B11">IFERROR(INDEX('Work Items'!$B$6:$B$5000,SMALL(IF('Work Items'!$A$6:$A$5000="CR",ROW('Work Items'!$A$6:$A$5000)-ROW('Work Items'!$A$6)+1),7)),"")</f>
        <v/>
      </c>
      <c r="C11">
        <f t="array" ref="C11">IFERROR(INDEX('Work Items'!$C$6:$C$5000,SMALL(IF('Work Items'!$A$6:$A$5000="CR",ROW('Work Items'!$A$6:$A$5000)-ROW('Work Items'!$A$6)+1),7)),"")</f>
        <v/>
      </c>
      <c r="D11">
        <f t="array" ref="D11">IFERROR(INDEX('Work Items'!$D$6:$D$5000,SMALL(IF('Work Items'!$A$6:$A$5000="CR",ROW('Work Items'!$A$6:$A$5000)-ROW('Work Items'!$A$6)+1),7)),"")</f>
        <v/>
      </c>
      <c r="E11">
        <f t="array" ref="E11">IFERROR(INDEX('Work Items'!$E$6:$E$5000,SMALL(IF('Work Items'!$A$6:$A$5000="CR",ROW('Work Items'!$A$6:$A$5000)-ROW('Work Items'!$A$6)+1),7)),"")</f>
        <v/>
      </c>
      <c r="F11">
        <f t="array" ref="F11">IFERROR(INDEX('Work Items'!$F$6:$F$5000,SMALL(IF('Work Items'!$A$6:$A$5000="CR",ROW('Work Items'!$A$6:$A$5000)-ROW('Work Items'!$A$6)+1),7)),"")</f>
        <v/>
      </c>
      <c r="G11">
        <f t="array" ref="G11">IFERROR(INDEX('Work Items'!$J$6:$J$5000,SMALL(IF('Work Items'!$A$6:$A$5000="CR",ROW('Work Items'!$A$6:$A$5000)-ROW('Work Items'!$A$6)+1),7)),"")</f>
        <v/>
      </c>
      <c r="H11">
        <f t="array" ref="H11">IFERROR(INDEX('Work Items'!$K$6:$K$5000,SMALL(IF('Work Items'!$A$6:$A$5000="CR",ROW('Work Items'!$A$6:$A$5000)-ROW('Work Items'!$A$6)+1),7)),"")</f>
        <v/>
      </c>
      <c r="I11">
        <f t="array" ref="I11">IFERROR(INDEX('Work Items'!$L$6:$L$5000,SMALL(IF('Work Items'!$A$6:$A$5000="CR",ROW('Work Items'!$A$6:$A$5000)-ROW('Work Items'!$A$6)+1),7)),"")</f>
        <v/>
      </c>
      <c r="J11" s="217">
        <f t="array" ref="J11">IFERROR(INDEX('Work Items'!$M$6:$M$5000,SMALL(IF('Work Items'!$A$6:$A$5000="CR",ROW('Work Items'!$A$6:$A$5000)-ROW('Work Items'!$A$6)+1),7)),"")</f>
        <v/>
      </c>
      <c r="K11" s="217">
        <f t="array" ref="K11">IFERROR(INDEX('Work Items'!$Q$6:$Q$5000,SMALL(IF('Work Items'!$A$6:$A$5000="CR",ROW('Work Items'!$A$6:$A$5000)-ROW('Work Items'!$A$6)+1),7)),"")</f>
        <v/>
      </c>
      <c r="L11" s="48">
        <f t="array" ref="L11">IFERROR(INDEX('Work Items'!$N$6:$N$5000,SMALL(IF('Work Items'!$A$6:$A$5000="CR",ROW('Work Items'!$A$6:$A$5000)-ROW('Work Items'!$A$6)+1),7)),"")</f>
        <v/>
      </c>
      <c r="M11" s="48">
        <f t="array" ref="M11">IFERROR(INDEX('Work Items'!$O$6:$O$5000,SMALL(IF('Work Items'!$A$6:$A$5000="CR",ROW('Work Items'!$A$6:$A$5000)-ROW('Work Items'!$A$6)+1),7)),"")</f>
        <v/>
      </c>
    </row>
    <row r="12">
      <c r="A12">
        <f t="array" ref="A12">IFERROR(INDEX('Work Items'!$A$6:$A$5000,SMALL(IF('Work Items'!$A$6:$A$5000="CR",ROW('Work Items'!$A$6:$A$5000)-ROW('Work Items'!$A$6)+1),8)),"")</f>
        <v/>
      </c>
      <c r="B12">
        <f t="array" ref="B12">IFERROR(INDEX('Work Items'!$B$6:$B$5000,SMALL(IF('Work Items'!$A$6:$A$5000="CR",ROW('Work Items'!$A$6:$A$5000)-ROW('Work Items'!$A$6)+1),8)),"")</f>
        <v/>
      </c>
      <c r="C12">
        <f t="array" ref="C12">IFERROR(INDEX('Work Items'!$C$6:$C$5000,SMALL(IF('Work Items'!$A$6:$A$5000="CR",ROW('Work Items'!$A$6:$A$5000)-ROW('Work Items'!$A$6)+1),8)),"")</f>
        <v/>
      </c>
      <c r="D12">
        <f t="array" ref="D12">IFERROR(INDEX('Work Items'!$D$6:$D$5000,SMALL(IF('Work Items'!$A$6:$A$5000="CR",ROW('Work Items'!$A$6:$A$5000)-ROW('Work Items'!$A$6)+1),8)),"")</f>
        <v/>
      </c>
      <c r="E12">
        <f t="array" ref="E12">IFERROR(INDEX('Work Items'!$E$6:$E$5000,SMALL(IF('Work Items'!$A$6:$A$5000="CR",ROW('Work Items'!$A$6:$A$5000)-ROW('Work Items'!$A$6)+1),8)),"")</f>
        <v/>
      </c>
      <c r="F12">
        <f t="array" ref="F12">IFERROR(INDEX('Work Items'!$F$6:$F$5000,SMALL(IF('Work Items'!$A$6:$A$5000="CR",ROW('Work Items'!$A$6:$A$5000)-ROW('Work Items'!$A$6)+1),8)),"")</f>
        <v/>
      </c>
      <c r="G12">
        <f t="array" ref="G12">IFERROR(INDEX('Work Items'!$J$6:$J$5000,SMALL(IF('Work Items'!$A$6:$A$5000="CR",ROW('Work Items'!$A$6:$A$5000)-ROW('Work Items'!$A$6)+1),8)),"")</f>
        <v/>
      </c>
      <c r="H12">
        <f t="array" ref="H12">IFERROR(INDEX('Work Items'!$K$6:$K$5000,SMALL(IF('Work Items'!$A$6:$A$5000="CR",ROW('Work Items'!$A$6:$A$5000)-ROW('Work Items'!$A$6)+1),8)),"")</f>
        <v/>
      </c>
      <c r="I12">
        <f t="array" ref="I12">IFERROR(INDEX('Work Items'!$L$6:$L$5000,SMALL(IF('Work Items'!$A$6:$A$5000="CR",ROW('Work Items'!$A$6:$A$5000)-ROW('Work Items'!$A$6)+1),8)),"")</f>
        <v/>
      </c>
      <c r="J12" s="217">
        <f t="array" ref="J12">IFERROR(INDEX('Work Items'!$M$6:$M$5000,SMALL(IF('Work Items'!$A$6:$A$5000="CR",ROW('Work Items'!$A$6:$A$5000)-ROW('Work Items'!$A$6)+1),8)),"")</f>
        <v/>
      </c>
      <c r="K12" s="217">
        <f t="array" ref="K12">IFERROR(INDEX('Work Items'!$Q$6:$Q$5000,SMALL(IF('Work Items'!$A$6:$A$5000="CR",ROW('Work Items'!$A$6:$A$5000)-ROW('Work Items'!$A$6)+1),8)),"")</f>
        <v/>
      </c>
      <c r="L12">
        <f t="array" ref="L12">IFERROR(INDEX('Work Items'!$N$6:$N$5000,SMALL(IF('Work Items'!$A$6:$A$5000="CR",ROW('Work Items'!$A$6:$A$5000)-ROW('Work Items'!$A$6)+1),8)),"")</f>
        <v/>
      </c>
      <c r="M12">
        <f t="array" ref="M12">IFERROR(INDEX('Work Items'!$O$6:$O$5000,SMALL(IF('Work Items'!$A$6:$A$5000="CR",ROW('Work Items'!$A$6:$A$5000)-ROW('Work Items'!$A$6)+1),8)),"")</f>
        <v/>
      </c>
    </row>
    <row r="13">
      <c r="A13">
        <f t="array" ref="A13">IFERROR(INDEX('Work Items'!$A$6:$A$5000,SMALL(IF('Work Items'!$A$6:$A$5000="CR",ROW('Work Items'!$A$6:$A$5000)-ROW('Work Items'!$A$6)+1),9)),"")</f>
        <v/>
      </c>
      <c r="B13">
        <f t="array" ref="B13">IFERROR(INDEX('Work Items'!$B$6:$B$5000,SMALL(IF('Work Items'!$A$6:$A$5000="CR",ROW('Work Items'!$A$6:$A$5000)-ROW('Work Items'!$A$6)+1),9)),"")</f>
        <v/>
      </c>
      <c r="C13">
        <f t="array" ref="C13">IFERROR(INDEX('Work Items'!$C$6:$C$5000,SMALL(IF('Work Items'!$A$6:$A$5000="CR",ROW('Work Items'!$A$6:$A$5000)-ROW('Work Items'!$A$6)+1),9)),"")</f>
        <v/>
      </c>
      <c r="D13">
        <f t="array" ref="D13">IFERROR(INDEX('Work Items'!$D$6:$D$5000,SMALL(IF('Work Items'!$A$6:$A$5000="CR",ROW('Work Items'!$A$6:$A$5000)-ROW('Work Items'!$A$6)+1),9)),"")</f>
        <v/>
      </c>
      <c r="E13">
        <f t="array" ref="E13">IFERROR(INDEX('Work Items'!$E$6:$E$5000,SMALL(IF('Work Items'!$A$6:$A$5000="CR",ROW('Work Items'!$A$6:$A$5000)-ROW('Work Items'!$A$6)+1),9)),"")</f>
        <v/>
      </c>
      <c r="F13">
        <f t="array" ref="F13">IFERROR(INDEX('Work Items'!$F$6:$F$5000,SMALL(IF('Work Items'!$A$6:$A$5000="CR",ROW('Work Items'!$A$6:$A$5000)-ROW('Work Items'!$A$6)+1),9)),"")</f>
        <v/>
      </c>
      <c r="G13">
        <f t="array" ref="G13">IFERROR(INDEX('Work Items'!$J$6:$J$5000,SMALL(IF('Work Items'!$A$6:$A$5000="CR",ROW('Work Items'!$A$6:$A$5000)-ROW('Work Items'!$A$6)+1),9)),"")</f>
        <v/>
      </c>
      <c r="H13">
        <f t="array" ref="H13">IFERROR(INDEX('Work Items'!$K$6:$K$5000,SMALL(IF('Work Items'!$A$6:$A$5000="CR",ROW('Work Items'!$A$6:$A$5000)-ROW('Work Items'!$A$6)+1),9)),"")</f>
        <v/>
      </c>
      <c r="I13">
        <f t="array" ref="I13">IFERROR(INDEX('Work Items'!$L$6:$L$5000,SMALL(IF('Work Items'!$A$6:$A$5000="CR",ROW('Work Items'!$A$6:$A$5000)-ROW('Work Items'!$A$6)+1),9)),"")</f>
        <v/>
      </c>
      <c r="J13" s="217">
        <f t="array" ref="J13">IFERROR(INDEX('Work Items'!$M$6:$M$5000,SMALL(IF('Work Items'!$A$6:$A$5000="CR",ROW('Work Items'!$A$6:$A$5000)-ROW('Work Items'!$A$6)+1),9)),"")</f>
        <v/>
      </c>
      <c r="K13" s="217">
        <f t="array" ref="K13">IFERROR(INDEX('Work Items'!$Q$6:$Q$5000,SMALL(IF('Work Items'!$A$6:$A$5000="CR",ROW('Work Items'!$A$6:$A$5000)-ROW('Work Items'!$A$6)+1),9)),"")</f>
        <v/>
      </c>
      <c r="L13">
        <f t="array" ref="L13">IFERROR(INDEX('Work Items'!$N$6:$N$5000,SMALL(IF('Work Items'!$A$6:$A$5000="CR",ROW('Work Items'!$A$6:$A$5000)-ROW('Work Items'!$A$6)+1),9)),"")</f>
        <v/>
      </c>
      <c r="M13">
        <f t="array" ref="M13">IFERROR(INDEX('Work Items'!$O$6:$O$5000,SMALL(IF('Work Items'!$A$6:$A$5000="CR",ROW('Work Items'!$A$6:$A$5000)-ROW('Work Items'!$A$6)+1),9)),"")</f>
        <v/>
      </c>
    </row>
    <row r="14">
      <c r="A14">
        <f t="array" ref="A14">IFERROR(INDEX('Work Items'!$A$6:$A$5000,SMALL(IF('Work Items'!$A$6:$A$5000="CR",ROW('Work Items'!$A$6:$A$5000)-ROW('Work Items'!$A$6)+1),10)),"")</f>
        <v/>
      </c>
      <c r="B14">
        <f t="array" ref="B14">IFERROR(INDEX('Work Items'!$B$6:$B$5000,SMALL(IF('Work Items'!$A$6:$A$5000="CR",ROW('Work Items'!$A$6:$A$5000)-ROW('Work Items'!$A$6)+1),10)),"")</f>
        <v/>
      </c>
      <c r="C14">
        <f t="array" ref="C14">IFERROR(INDEX('Work Items'!$C$6:$C$5000,SMALL(IF('Work Items'!$A$6:$A$5000="CR",ROW('Work Items'!$A$6:$A$5000)-ROW('Work Items'!$A$6)+1),10)),"")</f>
        <v/>
      </c>
      <c r="D14">
        <f t="array" ref="D14">IFERROR(INDEX('Work Items'!$D$6:$D$5000,SMALL(IF('Work Items'!$A$6:$A$5000="CR",ROW('Work Items'!$A$6:$A$5000)-ROW('Work Items'!$A$6)+1),10)),"")</f>
        <v/>
      </c>
      <c r="E14">
        <f t="array" ref="E14">IFERROR(INDEX('Work Items'!$E$6:$E$5000,SMALL(IF('Work Items'!$A$6:$A$5000="CR",ROW('Work Items'!$A$6:$A$5000)-ROW('Work Items'!$A$6)+1),10)),"")</f>
        <v/>
      </c>
      <c r="F14">
        <f t="array" ref="F14">IFERROR(INDEX('Work Items'!$F$6:$F$5000,SMALL(IF('Work Items'!$A$6:$A$5000="CR",ROW('Work Items'!$A$6:$A$5000)-ROW('Work Items'!$A$6)+1),10)),"")</f>
        <v/>
      </c>
      <c r="G14">
        <f t="array" ref="G14">IFERROR(INDEX('Work Items'!$J$6:$J$5000,SMALL(IF('Work Items'!$A$6:$A$5000="CR",ROW('Work Items'!$A$6:$A$5000)-ROW('Work Items'!$A$6)+1),10)),"")</f>
        <v/>
      </c>
      <c r="H14">
        <f t="array" ref="H14">IFERROR(INDEX('Work Items'!$K$6:$K$5000,SMALL(IF('Work Items'!$A$6:$A$5000="CR",ROW('Work Items'!$A$6:$A$5000)-ROW('Work Items'!$A$6)+1),10)),"")</f>
        <v/>
      </c>
      <c r="I14">
        <f t="array" ref="I14">IFERROR(INDEX('Work Items'!$L$6:$L$5000,SMALL(IF('Work Items'!$A$6:$A$5000="CR",ROW('Work Items'!$A$6:$A$5000)-ROW('Work Items'!$A$6)+1),10)),"")</f>
        <v/>
      </c>
      <c r="J14" s="217">
        <f t="array" ref="J14">IFERROR(INDEX('Work Items'!$M$6:$M$5000,SMALL(IF('Work Items'!$A$6:$A$5000="CR",ROW('Work Items'!$A$6:$A$5000)-ROW('Work Items'!$A$6)+1),10)),"")</f>
        <v/>
      </c>
      <c r="K14" s="217">
        <f t="array" ref="K14">IFERROR(INDEX('Work Items'!$Q$6:$Q$5000,SMALL(IF('Work Items'!$A$6:$A$5000="CR",ROW('Work Items'!$A$6:$A$5000)-ROW('Work Items'!$A$6)+1),10)),"")</f>
        <v/>
      </c>
      <c r="L14">
        <f t="array" ref="L14">IFERROR(INDEX('Work Items'!$N$6:$N$5000,SMALL(IF('Work Items'!$A$6:$A$5000="CR",ROW('Work Items'!$A$6:$A$5000)-ROW('Work Items'!$A$6)+1),10)),"")</f>
        <v/>
      </c>
      <c r="M14">
        <f t="array" ref="M14">IFERROR(INDEX('Work Items'!$O$6:$O$5000,SMALL(IF('Work Items'!$A$6:$A$5000="CR",ROW('Work Items'!$A$6:$A$5000)-ROW('Work Items'!$A$6)+1),10)),"")</f>
        <v/>
      </c>
    </row>
    <row r="15">
      <c r="A15">
        <f t="array" ref="A15">IFERROR(INDEX('Work Items'!$A$6:$A$5000,SMALL(IF('Work Items'!$A$6:$A$5000="CR",ROW('Work Items'!$A$6:$A$5000)-ROW('Work Items'!$A$6)+1),11)),"")</f>
        <v/>
      </c>
      <c r="B15">
        <f t="array" ref="B15">IFERROR(INDEX('Work Items'!$B$6:$B$5000,SMALL(IF('Work Items'!$A$6:$A$5000="CR",ROW('Work Items'!$A$6:$A$5000)-ROW('Work Items'!$A$6)+1),11)),"")</f>
        <v/>
      </c>
      <c r="C15">
        <f t="array" ref="C15">IFERROR(INDEX('Work Items'!$C$6:$C$5000,SMALL(IF('Work Items'!$A$6:$A$5000="CR",ROW('Work Items'!$A$6:$A$5000)-ROW('Work Items'!$A$6)+1),11)),"")</f>
        <v/>
      </c>
      <c r="D15">
        <f t="array" ref="D15">IFERROR(INDEX('Work Items'!$D$6:$D$5000,SMALL(IF('Work Items'!$A$6:$A$5000="CR",ROW('Work Items'!$A$6:$A$5000)-ROW('Work Items'!$A$6)+1),11)),"")</f>
        <v/>
      </c>
      <c r="E15">
        <f t="array" ref="E15">IFERROR(INDEX('Work Items'!$E$6:$E$5000,SMALL(IF('Work Items'!$A$6:$A$5000="CR",ROW('Work Items'!$A$6:$A$5000)-ROW('Work Items'!$A$6)+1),11)),"")</f>
        <v/>
      </c>
      <c r="F15">
        <f t="array" ref="F15">IFERROR(INDEX('Work Items'!$F$6:$F$5000,SMALL(IF('Work Items'!$A$6:$A$5000="CR",ROW('Work Items'!$A$6:$A$5000)-ROW('Work Items'!$A$6)+1),11)),"")</f>
        <v/>
      </c>
      <c r="G15">
        <f t="array" ref="G15">IFERROR(INDEX('Work Items'!$J$6:$J$5000,SMALL(IF('Work Items'!$A$6:$A$5000="CR",ROW('Work Items'!$A$6:$A$5000)-ROW('Work Items'!$A$6)+1),11)),"")</f>
        <v/>
      </c>
      <c r="H15">
        <f t="array" ref="H15">IFERROR(INDEX('Work Items'!$K$6:$K$5000,SMALL(IF('Work Items'!$A$6:$A$5000="CR",ROW('Work Items'!$A$6:$A$5000)-ROW('Work Items'!$A$6)+1),11)),"")</f>
        <v/>
      </c>
      <c r="I15">
        <f t="array" ref="I15">IFERROR(INDEX('Work Items'!$L$6:$L$5000,SMALL(IF('Work Items'!$A$6:$A$5000="CR",ROW('Work Items'!$A$6:$A$5000)-ROW('Work Items'!$A$6)+1),11)),"")</f>
        <v/>
      </c>
      <c r="J15" s="217">
        <f t="array" ref="J15">IFERROR(INDEX('Work Items'!$M$6:$M$5000,SMALL(IF('Work Items'!$A$6:$A$5000="CR",ROW('Work Items'!$A$6:$A$5000)-ROW('Work Items'!$A$6)+1),11)),"")</f>
        <v/>
      </c>
      <c r="K15" s="217">
        <f t="array" ref="K15">IFERROR(INDEX('Work Items'!$Q$6:$Q$5000,SMALL(IF('Work Items'!$A$6:$A$5000="CR",ROW('Work Items'!$A$6:$A$5000)-ROW('Work Items'!$A$6)+1),11)),"")</f>
        <v/>
      </c>
      <c r="L15">
        <f t="array" ref="L15">IFERROR(INDEX('Work Items'!$N$6:$N$5000,SMALL(IF('Work Items'!$A$6:$A$5000="CR",ROW('Work Items'!$A$6:$A$5000)-ROW('Work Items'!$A$6)+1),11)),"")</f>
        <v/>
      </c>
      <c r="M15">
        <f t="array" ref="M15">IFERROR(INDEX('Work Items'!$O$6:$O$5000,SMALL(IF('Work Items'!$A$6:$A$5000="CR",ROW('Work Items'!$A$6:$A$5000)-ROW('Work Items'!$A$6)+1),11)),"")</f>
        <v/>
      </c>
    </row>
    <row r="16">
      <c r="A16">
        <f t="array" ref="A16">IFERROR(INDEX('Work Items'!$A$6:$A$5000,SMALL(IF('Work Items'!$A$6:$A$5000="CR",ROW('Work Items'!$A$6:$A$5000)-ROW('Work Items'!$A$6)+1),12)),"")</f>
        <v/>
      </c>
      <c r="B16">
        <f t="array" ref="B16">IFERROR(INDEX('Work Items'!$B$6:$B$5000,SMALL(IF('Work Items'!$A$6:$A$5000="CR",ROW('Work Items'!$A$6:$A$5000)-ROW('Work Items'!$A$6)+1),12)),"")</f>
        <v/>
      </c>
      <c r="C16">
        <f t="array" ref="C16">IFERROR(INDEX('Work Items'!$C$6:$C$5000,SMALL(IF('Work Items'!$A$6:$A$5000="CR",ROW('Work Items'!$A$6:$A$5000)-ROW('Work Items'!$A$6)+1),12)),"")</f>
        <v/>
      </c>
      <c r="D16">
        <f t="array" ref="D16">IFERROR(INDEX('Work Items'!$D$6:$D$5000,SMALL(IF('Work Items'!$A$6:$A$5000="CR",ROW('Work Items'!$A$6:$A$5000)-ROW('Work Items'!$A$6)+1),12)),"")</f>
        <v/>
      </c>
      <c r="E16">
        <f t="array" ref="E16">IFERROR(INDEX('Work Items'!$E$6:$E$5000,SMALL(IF('Work Items'!$A$6:$A$5000="CR",ROW('Work Items'!$A$6:$A$5000)-ROW('Work Items'!$A$6)+1),12)),"")</f>
        <v/>
      </c>
      <c r="F16">
        <f t="array" ref="F16">IFERROR(INDEX('Work Items'!$F$6:$F$5000,SMALL(IF('Work Items'!$A$6:$A$5000="CR",ROW('Work Items'!$A$6:$A$5000)-ROW('Work Items'!$A$6)+1),12)),"")</f>
        <v/>
      </c>
      <c r="G16">
        <f t="array" ref="G16">IFERROR(INDEX('Work Items'!$J$6:$J$5000,SMALL(IF('Work Items'!$A$6:$A$5000="CR",ROW('Work Items'!$A$6:$A$5000)-ROW('Work Items'!$A$6)+1),12)),"")</f>
        <v/>
      </c>
      <c r="H16">
        <f t="array" ref="H16">IFERROR(INDEX('Work Items'!$K$6:$K$5000,SMALL(IF('Work Items'!$A$6:$A$5000="CR",ROW('Work Items'!$A$6:$A$5000)-ROW('Work Items'!$A$6)+1),12)),"")</f>
        <v/>
      </c>
      <c r="I16">
        <f t="array" ref="I16">IFERROR(INDEX('Work Items'!$L$6:$L$5000,SMALL(IF('Work Items'!$A$6:$A$5000="CR",ROW('Work Items'!$A$6:$A$5000)-ROW('Work Items'!$A$6)+1),12)),"")</f>
        <v/>
      </c>
      <c r="J16" s="217">
        <f t="array" ref="J16">IFERROR(INDEX('Work Items'!$M$6:$M$5000,SMALL(IF('Work Items'!$A$6:$A$5000="CR",ROW('Work Items'!$A$6:$A$5000)-ROW('Work Items'!$A$6)+1),12)),"")</f>
        <v/>
      </c>
      <c r="K16" s="217">
        <f t="array" ref="K16">IFERROR(INDEX('Work Items'!$Q$6:$Q$5000,SMALL(IF('Work Items'!$A$6:$A$5000="CR",ROW('Work Items'!$A$6:$A$5000)-ROW('Work Items'!$A$6)+1),12)),"")</f>
        <v/>
      </c>
      <c r="L16">
        <f t="array" ref="L16">IFERROR(INDEX('Work Items'!$N$6:$N$5000,SMALL(IF('Work Items'!$A$6:$A$5000="CR",ROW('Work Items'!$A$6:$A$5000)-ROW('Work Items'!$A$6)+1),12)),"")</f>
        <v/>
      </c>
      <c r="M16">
        <f t="array" ref="M16">IFERROR(INDEX('Work Items'!$O$6:$O$5000,SMALL(IF('Work Items'!$A$6:$A$5000="CR",ROW('Work Items'!$A$6:$A$5000)-ROW('Work Items'!$A$6)+1),12)),"")</f>
        <v/>
      </c>
    </row>
    <row r="17">
      <c r="A17">
        <f t="array" ref="A17">IFERROR(INDEX('Work Items'!$A$6:$A$5000,SMALL(IF('Work Items'!$A$6:$A$5000="CR",ROW('Work Items'!$A$6:$A$5000)-ROW('Work Items'!$A$6)+1),13)),"")</f>
        <v/>
      </c>
      <c r="B17">
        <f t="array" ref="B17">IFERROR(INDEX('Work Items'!$B$6:$B$5000,SMALL(IF('Work Items'!$A$6:$A$5000="CR",ROW('Work Items'!$A$6:$A$5000)-ROW('Work Items'!$A$6)+1),13)),"")</f>
        <v/>
      </c>
      <c r="C17">
        <f t="array" ref="C17">IFERROR(INDEX('Work Items'!$C$6:$C$5000,SMALL(IF('Work Items'!$A$6:$A$5000="CR",ROW('Work Items'!$A$6:$A$5000)-ROW('Work Items'!$A$6)+1),13)),"")</f>
        <v/>
      </c>
      <c r="D17">
        <f t="array" ref="D17">IFERROR(INDEX('Work Items'!$D$6:$D$5000,SMALL(IF('Work Items'!$A$6:$A$5000="CR",ROW('Work Items'!$A$6:$A$5000)-ROW('Work Items'!$A$6)+1),13)),"")</f>
        <v/>
      </c>
      <c r="E17">
        <f t="array" ref="E17">IFERROR(INDEX('Work Items'!$E$6:$E$5000,SMALL(IF('Work Items'!$A$6:$A$5000="CR",ROW('Work Items'!$A$6:$A$5000)-ROW('Work Items'!$A$6)+1),13)),"")</f>
        <v/>
      </c>
      <c r="F17">
        <f t="array" ref="F17">IFERROR(INDEX('Work Items'!$F$6:$F$5000,SMALL(IF('Work Items'!$A$6:$A$5000="CR",ROW('Work Items'!$A$6:$A$5000)-ROW('Work Items'!$A$6)+1),13)),"")</f>
        <v/>
      </c>
      <c r="G17">
        <f t="array" ref="G17">IFERROR(INDEX('Work Items'!$J$6:$J$5000,SMALL(IF('Work Items'!$A$6:$A$5000="CR",ROW('Work Items'!$A$6:$A$5000)-ROW('Work Items'!$A$6)+1),13)),"")</f>
        <v/>
      </c>
      <c r="H17">
        <f t="array" ref="H17">IFERROR(INDEX('Work Items'!$K$6:$K$5000,SMALL(IF('Work Items'!$A$6:$A$5000="CR",ROW('Work Items'!$A$6:$A$5000)-ROW('Work Items'!$A$6)+1),13)),"")</f>
        <v/>
      </c>
      <c r="I17">
        <f t="array" ref="I17">IFERROR(INDEX('Work Items'!$L$6:$L$5000,SMALL(IF('Work Items'!$A$6:$A$5000="CR",ROW('Work Items'!$A$6:$A$5000)-ROW('Work Items'!$A$6)+1),13)),"")</f>
        <v/>
      </c>
      <c r="J17" s="217">
        <f t="array" ref="J17">IFERROR(INDEX('Work Items'!$M$6:$M$5000,SMALL(IF('Work Items'!$A$6:$A$5000="CR",ROW('Work Items'!$A$6:$A$5000)-ROW('Work Items'!$A$6)+1),13)),"")</f>
        <v/>
      </c>
      <c r="K17" s="217">
        <f t="array" ref="K17">IFERROR(INDEX('Work Items'!$Q$6:$Q$5000,SMALL(IF('Work Items'!$A$6:$A$5000="CR",ROW('Work Items'!$A$6:$A$5000)-ROW('Work Items'!$A$6)+1),13)),"")</f>
        <v/>
      </c>
      <c r="L17">
        <f t="array" ref="L17">IFERROR(INDEX('Work Items'!$N$6:$N$5000,SMALL(IF('Work Items'!$A$6:$A$5000="CR",ROW('Work Items'!$A$6:$A$5000)-ROW('Work Items'!$A$6)+1),13)),"")</f>
        <v/>
      </c>
      <c r="M17">
        <f t="array" ref="M17">IFERROR(INDEX('Work Items'!$O$6:$O$5000,SMALL(IF('Work Items'!$A$6:$A$5000="CR",ROW('Work Items'!$A$6:$A$5000)-ROW('Work Items'!$A$6)+1),13)),"")</f>
        <v/>
      </c>
    </row>
    <row r="18">
      <c r="A18">
        <f t="array" ref="A18">IFERROR(INDEX('Work Items'!$A$6:$A$5000,SMALL(IF('Work Items'!$A$6:$A$5000="CR",ROW('Work Items'!$A$6:$A$5000)-ROW('Work Items'!$A$6)+1),14)),"")</f>
        <v/>
      </c>
      <c r="B18">
        <f t="array" ref="B18">IFERROR(INDEX('Work Items'!$B$6:$B$5000,SMALL(IF('Work Items'!$A$6:$A$5000="CR",ROW('Work Items'!$A$6:$A$5000)-ROW('Work Items'!$A$6)+1),14)),"")</f>
        <v/>
      </c>
      <c r="C18">
        <f t="array" ref="C18">IFERROR(INDEX('Work Items'!$C$6:$C$5000,SMALL(IF('Work Items'!$A$6:$A$5000="CR",ROW('Work Items'!$A$6:$A$5000)-ROW('Work Items'!$A$6)+1),14)),"")</f>
        <v/>
      </c>
      <c r="D18">
        <f t="array" ref="D18">IFERROR(INDEX('Work Items'!$D$6:$D$5000,SMALL(IF('Work Items'!$A$6:$A$5000="CR",ROW('Work Items'!$A$6:$A$5000)-ROW('Work Items'!$A$6)+1),14)),"")</f>
        <v/>
      </c>
      <c r="E18">
        <f t="array" ref="E18">IFERROR(INDEX('Work Items'!$E$6:$E$5000,SMALL(IF('Work Items'!$A$6:$A$5000="CR",ROW('Work Items'!$A$6:$A$5000)-ROW('Work Items'!$A$6)+1),14)),"")</f>
        <v/>
      </c>
      <c r="F18">
        <f t="array" ref="F18">IFERROR(INDEX('Work Items'!$F$6:$F$5000,SMALL(IF('Work Items'!$A$6:$A$5000="CR",ROW('Work Items'!$A$6:$A$5000)-ROW('Work Items'!$A$6)+1),14)),"")</f>
        <v/>
      </c>
      <c r="G18">
        <f t="array" ref="G18">IFERROR(INDEX('Work Items'!$J$6:$J$5000,SMALL(IF('Work Items'!$A$6:$A$5000="CR",ROW('Work Items'!$A$6:$A$5000)-ROW('Work Items'!$A$6)+1),14)),"")</f>
        <v/>
      </c>
      <c r="H18">
        <f t="array" ref="H18">IFERROR(INDEX('Work Items'!$K$6:$K$5000,SMALL(IF('Work Items'!$A$6:$A$5000="CR",ROW('Work Items'!$A$6:$A$5000)-ROW('Work Items'!$A$6)+1),14)),"")</f>
        <v/>
      </c>
      <c r="I18">
        <f t="array" ref="I18">IFERROR(INDEX('Work Items'!$L$6:$L$5000,SMALL(IF('Work Items'!$A$6:$A$5000="CR",ROW('Work Items'!$A$6:$A$5000)-ROW('Work Items'!$A$6)+1),14)),"")</f>
        <v/>
      </c>
      <c r="J18" s="217">
        <f t="array" ref="J18">IFERROR(INDEX('Work Items'!$M$6:$M$5000,SMALL(IF('Work Items'!$A$6:$A$5000="CR",ROW('Work Items'!$A$6:$A$5000)-ROW('Work Items'!$A$6)+1),14)),"")</f>
        <v/>
      </c>
      <c r="K18" s="217">
        <f t="array" ref="K18">IFERROR(INDEX('Work Items'!$Q$6:$Q$5000,SMALL(IF('Work Items'!$A$6:$A$5000="CR",ROW('Work Items'!$A$6:$A$5000)-ROW('Work Items'!$A$6)+1),14)),"")</f>
        <v/>
      </c>
      <c r="L18">
        <f t="array" ref="L18">IFERROR(INDEX('Work Items'!$N$6:$N$5000,SMALL(IF('Work Items'!$A$6:$A$5000="CR",ROW('Work Items'!$A$6:$A$5000)-ROW('Work Items'!$A$6)+1),14)),"")</f>
        <v/>
      </c>
      <c r="M18">
        <f t="array" ref="M18">IFERROR(INDEX('Work Items'!$O$6:$O$5000,SMALL(IF('Work Items'!$A$6:$A$5000="CR",ROW('Work Items'!$A$6:$A$5000)-ROW('Work Items'!$A$6)+1),14)),"")</f>
        <v/>
      </c>
    </row>
    <row r="19">
      <c r="A19">
        <f t="array" ref="A19">IFERROR(INDEX('Work Items'!$A$6:$A$5000,SMALL(IF('Work Items'!$A$6:$A$5000="CR",ROW('Work Items'!$A$6:$A$5000)-ROW('Work Items'!$A$6)+1),15)),"")</f>
        <v/>
      </c>
      <c r="B19">
        <f t="array" ref="B19">IFERROR(INDEX('Work Items'!$B$6:$B$5000,SMALL(IF('Work Items'!$A$6:$A$5000="CR",ROW('Work Items'!$A$6:$A$5000)-ROW('Work Items'!$A$6)+1),15)),"")</f>
        <v/>
      </c>
      <c r="C19">
        <f t="array" ref="C19">IFERROR(INDEX('Work Items'!$C$6:$C$5000,SMALL(IF('Work Items'!$A$6:$A$5000="CR",ROW('Work Items'!$A$6:$A$5000)-ROW('Work Items'!$A$6)+1),15)),"")</f>
        <v/>
      </c>
      <c r="D19">
        <f t="array" ref="D19">IFERROR(INDEX('Work Items'!$D$6:$D$5000,SMALL(IF('Work Items'!$A$6:$A$5000="CR",ROW('Work Items'!$A$6:$A$5000)-ROW('Work Items'!$A$6)+1),15)),"")</f>
        <v/>
      </c>
      <c r="E19">
        <f t="array" ref="E19">IFERROR(INDEX('Work Items'!$E$6:$E$5000,SMALL(IF('Work Items'!$A$6:$A$5000="CR",ROW('Work Items'!$A$6:$A$5000)-ROW('Work Items'!$A$6)+1),15)),"")</f>
        <v/>
      </c>
      <c r="F19">
        <f t="array" ref="F19">IFERROR(INDEX('Work Items'!$F$6:$F$5000,SMALL(IF('Work Items'!$A$6:$A$5000="CR",ROW('Work Items'!$A$6:$A$5000)-ROW('Work Items'!$A$6)+1),15)),"")</f>
        <v/>
      </c>
      <c r="G19">
        <f t="array" ref="G19">IFERROR(INDEX('Work Items'!$J$6:$J$5000,SMALL(IF('Work Items'!$A$6:$A$5000="CR",ROW('Work Items'!$A$6:$A$5000)-ROW('Work Items'!$A$6)+1),15)),"")</f>
        <v/>
      </c>
      <c r="H19">
        <f t="array" ref="H19">IFERROR(INDEX('Work Items'!$K$6:$K$5000,SMALL(IF('Work Items'!$A$6:$A$5000="CR",ROW('Work Items'!$A$6:$A$5000)-ROW('Work Items'!$A$6)+1),15)),"")</f>
        <v/>
      </c>
      <c r="I19">
        <f t="array" ref="I19">IFERROR(INDEX('Work Items'!$L$6:$L$5000,SMALL(IF('Work Items'!$A$6:$A$5000="CR",ROW('Work Items'!$A$6:$A$5000)-ROW('Work Items'!$A$6)+1),15)),"")</f>
        <v/>
      </c>
      <c r="J19" s="217">
        <f t="array" ref="J19">IFERROR(INDEX('Work Items'!$M$6:$M$5000,SMALL(IF('Work Items'!$A$6:$A$5000="CR",ROW('Work Items'!$A$6:$A$5000)-ROW('Work Items'!$A$6)+1),15)),"")</f>
        <v/>
      </c>
      <c r="K19" s="217">
        <f t="array" ref="K19">IFERROR(INDEX('Work Items'!$Q$6:$Q$5000,SMALL(IF('Work Items'!$A$6:$A$5000="CR",ROW('Work Items'!$A$6:$A$5000)-ROW('Work Items'!$A$6)+1),15)),"")</f>
        <v/>
      </c>
      <c r="L19">
        <f t="array" ref="L19">IFERROR(INDEX('Work Items'!$N$6:$N$5000,SMALL(IF('Work Items'!$A$6:$A$5000="CR",ROW('Work Items'!$A$6:$A$5000)-ROW('Work Items'!$A$6)+1),15)),"")</f>
        <v/>
      </c>
      <c r="M19">
        <f t="array" ref="M19">IFERROR(INDEX('Work Items'!$O$6:$O$5000,SMALL(IF('Work Items'!$A$6:$A$5000="CR",ROW('Work Items'!$A$6:$A$5000)-ROW('Work Items'!$A$6)+1),15)),"")</f>
        <v/>
      </c>
    </row>
    <row r="20">
      <c r="A20">
        <f t="array" ref="A20">IFERROR(INDEX('Work Items'!$A$6:$A$5000,SMALL(IF('Work Items'!$A$6:$A$5000="CR",ROW('Work Items'!$A$6:$A$5000)-ROW('Work Items'!$A$6)+1),16)),"")</f>
        <v/>
      </c>
      <c r="B20">
        <f t="array" ref="B20">IFERROR(INDEX('Work Items'!$B$6:$B$5000,SMALL(IF('Work Items'!$A$6:$A$5000="CR",ROW('Work Items'!$A$6:$A$5000)-ROW('Work Items'!$A$6)+1),16)),"")</f>
        <v/>
      </c>
      <c r="C20">
        <f t="array" ref="C20">IFERROR(INDEX('Work Items'!$C$6:$C$5000,SMALL(IF('Work Items'!$A$6:$A$5000="CR",ROW('Work Items'!$A$6:$A$5000)-ROW('Work Items'!$A$6)+1),16)),"")</f>
        <v/>
      </c>
      <c r="D20">
        <f t="array" ref="D20">IFERROR(INDEX('Work Items'!$D$6:$D$5000,SMALL(IF('Work Items'!$A$6:$A$5000="CR",ROW('Work Items'!$A$6:$A$5000)-ROW('Work Items'!$A$6)+1),16)),"")</f>
        <v/>
      </c>
      <c r="E20">
        <f t="array" ref="E20">IFERROR(INDEX('Work Items'!$E$6:$E$5000,SMALL(IF('Work Items'!$A$6:$A$5000="CR",ROW('Work Items'!$A$6:$A$5000)-ROW('Work Items'!$A$6)+1),16)),"")</f>
        <v/>
      </c>
      <c r="F20">
        <f t="array" ref="F20">IFERROR(INDEX('Work Items'!$F$6:$F$5000,SMALL(IF('Work Items'!$A$6:$A$5000="CR",ROW('Work Items'!$A$6:$A$5000)-ROW('Work Items'!$A$6)+1),16)),"")</f>
        <v/>
      </c>
      <c r="G20">
        <f t="array" ref="G20">IFERROR(INDEX('Work Items'!$J$6:$J$5000,SMALL(IF('Work Items'!$A$6:$A$5000="CR",ROW('Work Items'!$A$6:$A$5000)-ROW('Work Items'!$A$6)+1),16)),"")</f>
        <v/>
      </c>
      <c r="H20">
        <f t="array" ref="H20">IFERROR(INDEX('Work Items'!$K$6:$K$5000,SMALL(IF('Work Items'!$A$6:$A$5000="CR",ROW('Work Items'!$A$6:$A$5000)-ROW('Work Items'!$A$6)+1),16)),"")</f>
        <v/>
      </c>
      <c r="I20">
        <f t="array" ref="I20">IFERROR(INDEX('Work Items'!$L$6:$L$5000,SMALL(IF('Work Items'!$A$6:$A$5000="CR",ROW('Work Items'!$A$6:$A$5000)-ROW('Work Items'!$A$6)+1),16)),"")</f>
        <v/>
      </c>
      <c r="J20" s="217">
        <f t="array" ref="J20">IFERROR(INDEX('Work Items'!$M$6:$M$5000,SMALL(IF('Work Items'!$A$6:$A$5000="CR",ROW('Work Items'!$A$6:$A$5000)-ROW('Work Items'!$A$6)+1),16)),"")</f>
        <v/>
      </c>
      <c r="K20" s="217">
        <f t="array" ref="K20">IFERROR(INDEX('Work Items'!$Q$6:$Q$5000,SMALL(IF('Work Items'!$A$6:$A$5000="CR",ROW('Work Items'!$A$6:$A$5000)-ROW('Work Items'!$A$6)+1),16)),"")</f>
        <v/>
      </c>
      <c r="L20">
        <f t="array" ref="L20">IFERROR(INDEX('Work Items'!$N$6:$N$5000,SMALL(IF('Work Items'!$A$6:$A$5000="CR",ROW('Work Items'!$A$6:$A$5000)-ROW('Work Items'!$A$6)+1),16)),"")</f>
        <v/>
      </c>
      <c r="M20">
        <f t="array" ref="M20">IFERROR(INDEX('Work Items'!$O$6:$O$5000,SMALL(IF('Work Items'!$A$6:$A$5000="CR",ROW('Work Items'!$A$6:$A$5000)-ROW('Work Items'!$A$6)+1),16)),"")</f>
        <v/>
      </c>
    </row>
    <row r="21">
      <c r="A21">
        <f t="array" ref="A21">IFERROR(INDEX('Work Items'!$A$6:$A$5000,SMALL(IF('Work Items'!$A$6:$A$5000="CR",ROW('Work Items'!$A$6:$A$5000)-ROW('Work Items'!$A$6)+1),17)),"")</f>
        <v/>
      </c>
      <c r="B21">
        <f t="array" ref="B21">IFERROR(INDEX('Work Items'!$B$6:$B$5000,SMALL(IF('Work Items'!$A$6:$A$5000="CR",ROW('Work Items'!$A$6:$A$5000)-ROW('Work Items'!$A$6)+1),17)),"")</f>
        <v/>
      </c>
      <c r="C21">
        <f t="array" ref="C21">IFERROR(INDEX('Work Items'!$C$6:$C$5000,SMALL(IF('Work Items'!$A$6:$A$5000="CR",ROW('Work Items'!$A$6:$A$5000)-ROW('Work Items'!$A$6)+1),17)),"")</f>
        <v/>
      </c>
      <c r="D21">
        <f t="array" ref="D21">IFERROR(INDEX('Work Items'!$D$6:$D$5000,SMALL(IF('Work Items'!$A$6:$A$5000="CR",ROW('Work Items'!$A$6:$A$5000)-ROW('Work Items'!$A$6)+1),17)),"")</f>
        <v/>
      </c>
      <c r="E21">
        <f t="array" ref="E21">IFERROR(INDEX('Work Items'!$E$6:$E$5000,SMALL(IF('Work Items'!$A$6:$A$5000="CR",ROW('Work Items'!$A$6:$A$5000)-ROW('Work Items'!$A$6)+1),17)),"")</f>
        <v/>
      </c>
      <c r="F21">
        <f t="array" ref="F21">IFERROR(INDEX('Work Items'!$F$6:$F$5000,SMALL(IF('Work Items'!$A$6:$A$5000="CR",ROW('Work Items'!$A$6:$A$5000)-ROW('Work Items'!$A$6)+1),17)),"")</f>
        <v/>
      </c>
      <c r="G21">
        <f t="array" ref="G21">IFERROR(INDEX('Work Items'!$J$6:$J$5000,SMALL(IF('Work Items'!$A$6:$A$5000="CR",ROW('Work Items'!$A$6:$A$5000)-ROW('Work Items'!$A$6)+1),17)),"")</f>
        <v/>
      </c>
      <c r="H21">
        <f t="array" ref="H21">IFERROR(INDEX('Work Items'!$K$6:$K$5000,SMALL(IF('Work Items'!$A$6:$A$5000="CR",ROW('Work Items'!$A$6:$A$5000)-ROW('Work Items'!$A$6)+1),17)),"")</f>
        <v/>
      </c>
      <c r="I21">
        <f t="array" ref="I21">IFERROR(INDEX('Work Items'!$L$6:$L$5000,SMALL(IF('Work Items'!$A$6:$A$5000="CR",ROW('Work Items'!$A$6:$A$5000)-ROW('Work Items'!$A$6)+1),17)),"")</f>
        <v/>
      </c>
      <c r="J21" s="217">
        <f t="array" ref="J21">IFERROR(INDEX('Work Items'!$M$6:$M$5000,SMALL(IF('Work Items'!$A$6:$A$5000="CR",ROW('Work Items'!$A$6:$A$5000)-ROW('Work Items'!$A$6)+1),17)),"")</f>
        <v/>
      </c>
      <c r="K21" s="217">
        <f t="array" ref="K21">IFERROR(INDEX('Work Items'!$Q$6:$Q$5000,SMALL(IF('Work Items'!$A$6:$A$5000="CR",ROW('Work Items'!$A$6:$A$5000)-ROW('Work Items'!$A$6)+1),17)),"")</f>
        <v/>
      </c>
      <c r="L21">
        <f t="array" ref="L21">IFERROR(INDEX('Work Items'!$N$6:$N$5000,SMALL(IF('Work Items'!$A$6:$A$5000="CR",ROW('Work Items'!$A$6:$A$5000)-ROW('Work Items'!$A$6)+1),17)),"")</f>
        <v/>
      </c>
      <c r="M21">
        <f t="array" ref="M21">IFERROR(INDEX('Work Items'!$O$6:$O$5000,SMALL(IF('Work Items'!$A$6:$A$5000="CR",ROW('Work Items'!$A$6:$A$5000)-ROW('Work Items'!$A$6)+1),17)),"")</f>
        <v/>
      </c>
    </row>
    <row r="22">
      <c r="A22">
        <f t="array" ref="A22">IFERROR(INDEX('Work Items'!$A$6:$A$5000,SMALL(IF('Work Items'!$A$6:$A$5000="CR",ROW('Work Items'!$A$6:$A$5000)-ROW('Work Items'!$A$6)+1),18)),"")</f>
        <v/>
      </c>
      <c r="B22">
        <f t="array" ref="B22">IFERROR(INDEX('Work Items'!$B$6:$B$5000,SMALL(IF('Work Items'!$A$6:$A$5000="CR",ROW('Work Items'!$A$6:$A$5000)-ROW('Work Items'!$A$6)+1),18)),"")</f>
        <v/>
      </c>
      <c r="C22">
        <f t="array" ref="C22">IFERROR(INDEX('Work Items'!$C$6:$C$5000,SMALL(IF('Work Items'!$A$6:$A$5000="CR",ROW('Work Items'!$A$6:$A$5000)-ROW('Work Items'!$A$6)+1),18)),"")</f>
        <v/>
      </c>
      <c r="D22">
        <f t="array" ref="D22">IFERROR(INDEX('Work Items'!$D$6:$D$5000,SMALL(IF('Work Items'!$A$6:$A$5000="CR",ROW('Work Items'!$A$6:$A$5000)-ROW('Work Items'!$A$6)+1),18)),"")</f>
        <v/>
      </c>
      <c r="E22">
        <f t="array" ref="E22">IFERROR(INDEX('Work Items'!$E$6:$E$5000,SMALL(IF('Work Items'!$A$6:$A$5000="CR",ROW('Work Items'!$A$6:$A$5000)-ROW('Work Items'!$A$6)+1),18)),"")</f>
        <v/>
      </c>
      <c r="F22">
        <f t="array" ref="F22">IFERROR(INDEX('Work Items'!$F$6:$F$5000,SMALL(IF('Work Items'!$A$6:$A$5000="CR",ROW('Work Items'!$A$6:$A$5000)-ROW('Work Items'!$A$6)+1),18)),"")</f>
        <v/>
      </c>
      <c r="G22">
        <f t="array" ref="G22">IFERROR(INDEX('Work Items'!$J$6:$J$5000,SMALL(IF('Work Items'!$A$6:$A$5000="CR",ROW('Work Items'!$A$6:$A$5000)-ROW('Work Items'!$A$6)+1),18)),"")</f>
        <v/>
      </c>
      <c r="H22">
        <f t="array" ref="H22">IFERROR(INDEX('Work Items'!$K$6:$K$5000,SMALL(IF('Work Items'!$A$6:$A$5000="CR",ROW('Work Items'!$A$6:$A$5000)-ROW('Work Items'!$A$6)+1),18)),"")</f>
        <v/>
      </c>
      <c r="I22">
        <f t="array" ref="I22">IFERROR(INDEX('Work Items'!$L$6:$L$5000,SMALL(IF('Work Items'!$A$6:$A$5000="CR",ROW('Work Items'!$A$6:$A$5000)-ROW('Work Items'!$A$6)+1),18)),"")</f>
        <v/>
      </c>
      <c r="J22" s="217">
        <f t="array" ref="J22">IFERROR(INDEX('Work Items'!$M$6:$M$5000,SMALL(IF('Work Items'!$A$6:$A$5000="CR",ROW('Work Items'!$A$6:$A$5000)-ROW('Work Items'!$A$6)+1),18)),"")</f>
        <v/>
      </c>
      <c r="K22" s="217">
        <f t="array" ref="K22">IFERROR(INDEX('Work Items'!$Q$6:$Q$5000,SMALL(IF('Work Items'!$A$6:$A$5000="CR",ROW('Work Items'!$A$6:$A$5000)-ROW('Work Items'!$A$6)+1),18)),"")</f>
        <v/>
      </c>
      <c r="L22">
        <f t="array" ref="L22">IFERROR(INDEX('Work Items'!$N$6:$N$5000,SMALL(IF('Work Items'!$A$6:$A$5000="CR",ROW('Work Items'!$A$6:$A$5000)-ROW('Work Items'!$A$6)+1),18)),"")</f>
        <v/>
      </c>
      <c r="M22">
        <f t="array" ref="M22">IFERROR(INDEX('Work Items'!$O$6:$O$5000,SMALL(IF('Work Items'!$A$6:$A$5000="CR",ROW('Work Items'!$A$6:$A$5000)-ROW('Work Items'!$A$6)+1),18)),"")</f>
        <v/>
      </c>
    </row>
    <row r="23">
      <c r="A23">
        <f t="array" ref="A23">IFERROR(INDEX('Work Items'!$A$6:$A$5000,SMALL(IF('Work Items'!$A$6:$A$5000="CR",ROW('Work Items'!$A$6:$A$5000)-ROW('Work Items'!$A$6)+1),19)),"")</f>
        <v/>
      </c>
      <c r="B23">
        <f t="array" ref="B23">IFERROR(INDEX('Work Items'!$B$6:$B$5000,SMALL(IF('Work Items'!$A$6:$A$5000="CR",ROW('Work Items'!$A$6:$A$5000)-ROW('Work Items'!$A$6)+1),19)),"")</f>
        <v/>
      </c>
      <c r="C23">
        <f t="array" ref="C23">IFERROR(INDEX('Work Items'!$C$6:$C$5000,SMALL(IF('Work Items'!$A$6:$A$5000="CR",ROW('Work Items'!$A$6:$A$5000)-ROW('Work Items'!$A$6)+1),19)),"")</f>
        <v/>
      </c>
      <c r="D23">
        <f t="array" ref="D23">IFERROR(INDEX('Work Items'!$D$6:$D$5000,SMALL(IF('Work Items'!$A$6:$A$5000="CR",ROW('Work Items'!$A$6:$A$5000)-ROW('Work Items'!$A$6)+1),19)),"")</f>
        <v/>
      </c>
      <c r="E23">
        <f t="array" ref="E23">IFERROR(INDEX('Work Items'!$E$6:$E$5000,SMALL(IF('Work Items'!$A$6:$A$5000="CR",ROW('Work Items'!$A$6:$A$5000)-ROW('Work Items'!$A$6)+1),19)),"")</f>
        <v/>
      </c>
      <c r="F23">
        <f t="array" ref="F23">IFERROR(INDEX('Work Items'!$F$6:$F$5000,SMALL(IF('Work Items'!$A$6:$A$5000="CR",ROW('Work Items'!$A$6:$A$5000)-ROW('Work Items'!$A$6)+1),19)),"")</f>
        <v/>
      </c>
      <c r="G23">
        <f t="array" ref="G23">IFERROR(INDEX('Work Items'!$J$6:$J$5000,SMALL(IF('Work Items'!$A$6:$A$5000="CR",ROW('Work Items'!$A$6:$A$5000)-ROW('Work Items'!$A$6)+1),19)),"")</f>
        <v/>
      </c>
      <c r="H23">
        <f t="array" ref="H23">IFERROR(INDEX('Work Items'!$K$6:$K$5000,SMALL(IF('Work Items'!$A$6:$A$5000="CR",ROW('Work Items'!$A$6:$A$5000)-ROW('Work Items'!$A$6)+1),19)),"")</f>
        <v/>
      </c>
      <c r="I23">
        <f t="array" ref="I23">IFERROR(INDEX('Work Items'!$L$6:$L$5000,SMALL(IF('Work Items'!$A$6:$A$5000="CR",ROW('Work Items'!$A$6:$A$5000)-ROW('Work Items'!$A$6)+1),19)),"")</f>
        <v/>
      </c>
      <c r="J23" s="217">
        <f t="array" ref="J23">IFERROR(INDEX('Work Items'!$M$6:$M$5000,SMALL(IF('Work Items'!$A$6:$A$5000="CR",ROW('Work Items'!$A$6:$A$5000)-ROW('Work Items'!$A$6)+1),19)),"")</f>
        <v/>
      </c>
      <c r="K23" s="217">
        <f t="array" ref="K23">IFERROR(INDEX('Work Items'!$Q$6:$Q$5000,SMALL(IF('Work Items'!$A$6:$A$5000="CR",ROW('Work Items'!$A$6:$A$5000)-ROW('Work Items'!$A$6)+1),19)),"")</f>
        <v/>
      </c>
      <c r="L23">
        <f t="array" ref="L23">IFERROR(INDEX('Work Items'!$N$6:$N$5000,SMALL(IF('Work Items'!$A$6:$A$5000="CR",ROW('Work Items'!$A$6:$A$5000)-ROW('Work Items'!$A$6)+1),19)),"")</f>
        <v/>
      </c>
      <c r="M23">
        <f t="array" ref="M23">IFERROR(INDEX('Work Items'!$O$6:$O$5000,SMALL(IF('Work Items'!$A$6:$A$5000="CR",ROW('Work Items'!$A$6:$A$5000)-ROW('Work Items'!$A$6)+1),19)),"")</f>
        <v/>
      </c>
    </row>
    <row r="24">
      <c r="A24">
        <f t="array" ref="A24">IFERROR(INDEX('Work Items'!$A$6:$A$5000,SMALL(IF('Work Items'!$A$6:$A$5000="CR",ROW('Work Items'!$A$6:$A$5000)-ROW('Work Items'!$A$6)+1),20)),"")</f>
        <v/>
      </c>
      <c r="B24">
        <f t="array" ref="B24">IFERROR(INDEX('Work Items'!$B$6:$B$5000,SMALL(IF('Work Items'!$A$6:$A$5000="CR",ROW('Work Items'!$A$6:$A$5000)-ROW('Work Items'!$A$6)+1),20)),"")</f>
        <v/>
      </c>
      <c r="C24">
        <f t="array" ref="C24">IFERROR(INDEX('Work Items'!$C$6:$C$5000,SMALL(IF('Work Items'!$A$6:$A$5000="CR",ROW('Work Items'!$A$6:$A$5000)-ROW('Work Items'!$A$6)+1),20)),"")</f>
        <v/>
      </c>
      <c r="D24">
        <f t="array" ref="D24">IFERROR(INDEX('Work Items'!$D$6:$D$5000,SMALL(IF('Work Items'!$A$6:$A$5000="CR",ROW('Work Items'!$A$6:$A$5000)-ROW('Work Items'!$A$6)+1),20)),"")</f>
        <v/>
      </c>
      <c r="E24">
        <f t="array" ref="E24">IFERROR(INDEX('Work Items'!$E$6:$E$5000,SMALL(IF('Work Items'!$A$6:$A$5000="CR",ROW('Work Items'!$A$6:$A$5000)-ROW('Work Items'!$A$6)+1),20)),"")</f>
        <v/>
      </c>
      <c r="F24">
        <f t="array" ref="F24">IFERROR(INDEX('Work Items'!$F$6:$F$5000,SMALL(IF('Work Items'!$A$6:$A$5000="CR",ROW('Work Items'!$A$6:$A$5000)-ROW('Work Items'!$A$6)+1),20)),"")</f>
        <v/>
      </c>
      <c r="G24">
        <f t="array" ref="G24">IFERROR(INDEX('Work Items'!$J$6:$J$5000,SMALL(IF('Work Items'!$A$6:$A$5000="CR",ROW('Work Items'!$A$6:$A$5000)-ROW('Work Items'!$A$6)+1),20)),"")</f>
        <v/>
      </c>
      <c r="H24">
        <f t="array" ref="H24">IFERROR(INDEX('Work Items'!$K$6:$K$5000,SMALL(IF('Work Items'!$A$6:$A$5000="CR",ROW('Work Items'!$A$6:$A$5000)-ROW('Work Items'!$A$6)+1),20)),"")</f>
        <v/>
      </c>
      <c r="I24">
        <f t="array" ref="I24">IFERROR(INDEX('Work Items'!$L$6:$L$5000,SMALL(IF('Work Items'!$A$6:$A$5000="CR",ROW('Work Items'!$A$6:$A$5000)-ROW('Work Items'!$A$6)+1),20)),"")</f>
        <v/>
      </c>
      <c r="J24" s="217">
        <f t="array" ref="J24">IFERROR(INDEX('Work Items'!$M$6:$M$5000,SMALL(IF('Work Items'!$A$6:$A$5000="CR",ROW('Work Items'!$A$6:$A$5000)-ROW('Work Items'!$A$6)+1),20)),"")</f>
        <v/>
      </c>
      <c r="K24" s="217">
        <f t="array" ref="K24">IFERROR(INDEX('Work Items'!$Q$6:$Q$5000,SMALL(IF('Work Items'!$A$6:$A$5000="CR",ROW('Work Items'!$A$6:$A$5000)-ROW('Work Items'!$A$6)+1),20)),"")</f>
        <v/>
      </c>
      <c r="L24">
        <f t="array" ref="L24">IFERROR(INDEX('Work Items'!$N$6:$N$5000,SMALL(IF('Work Items'!$A$6:$A$5000="CR",ROW('Work Items'!$A$6:$A$5000)-ROW('Work Items'!$A$6)+1),20)),"")</f>
        <v/>
      </c>
      <c r="M24">
        <f t="array" ref="M24">IFERROR(INDEX('Work Items'!$O$6:$O$5000,SMALL(IF('Work Items'!$A$6:$A$5000="CR",ROW('Work Items'!$A$6:$A$5000)-ROW('Work Items'!$A$6)+1),20)),"")</f>
        <v/>
      </c>
    </row>
    <row r="25">
      <c r="A25">
        <f t="array" ref="A25">IFERROR(INDEX('Work Items'!$A$6:$A$5000,SMALL(IF('Work Items'!$A$6:$A$5000="CR",ROW('Work Items'!$A$6:$A$5000)-ROW('Work Items'!$A$6)+1),21)),"")</f>
        <v/>
      </c>
      <c r="B25">
        <f t="array" ref="B25">IFERROR(INDEX('Work Items'!$B$6:$B$5000,SMALL(IF('Work Items'!$A$6:$A$5000="CR",ROW('Work Items'!$A$6:$A$5000)-ROW('Work Items'!$A$6)+1),21)),"")</f>
        <v/>
      </c>
      <c r="C25">
        <f t="array" ref="C25">IFERROR(INDEX('Work Items'!$C$6:$C$5000,SMALL(IF('Work Items'!$A$6:$A$5000="CR",ROW('Work Items'!$A$6:$A$5000)-ROW('Work Items'!$A$6)+1),21)),"")</f>
        <v/>
      </c>
      <c r="D25">
        <f t="array" ref="D25">IFERROR(INDEX('Work Items'!$D$6:$D$5000,SMALL(IF('Work Items'!$A$6:$A$5000="CR",ROW('Work Items'!$A$6:$A$5000)-ROW('Work Items'!$A$6)+1),21)),"")</f>
        <v/>
      </c>
      <c r="E25">
        <f t="array" ref="E25">IFERROR(INDEX('Work Items'!$E$6:$E$5000,SMALL(IF('Work Items'!$A$6:$A$5000="CR",ROW('Work Items'!$A$6:$A$5000)-ROW('Work Items'!$A$6)+1),21)),"")</f>
        <v/>
      </c>
      <c r="F25">
        <f t="array" ref="F25">IFERROR(INDEX('Work Items'!$F$6:$F$5000,SMALL(IF('Work Items'!$A$6:$A$5000="CR",ROW('Work Items'!$A$6:$A$5000)-ROW('Work Items'!$A$6)+1),21)),"")</f>
        <v/>
      </c>
      <c r="G25">
        <f t="array" ref="G25">IFERROR(INDEX('Work Items'!$J$6:$J$5000,SMALL(IF('Work Items'!$A$6:$A$5000="CR",ROW('Work Items'!$A$6:$A$5000)-ROW('Work Items'!$A$6)+1),21)),"")</f>
        <v/>
      </c>
      <c r="H25">
        <f t="array" ref="H25">IFERROR(INDEX('Work Items'!$K$6:$K$5000,SMALL(IF('Work Items'!$A$6:$A$5000="CR",ROW('Work Items'!$A$6:$A$5000)-ROW('Work Items'!$A$6)+1),21)),"")</f>
        <v/>
      </c>
      <c r="I25">
        <f t="array" ref="I25">IFERROR(INDEX('Work Items'!$L$6:$L$5000,SMALL(IF('Work Items'!$A$6:$A$5000="CR",ROW('Work Items'!$A$6:$A$5000)-ROW('Work Items'!$A$6)+1),21)),"")</f>
        <v/>
      </c>
      <c r="J25" s="217">
        <f t="array" ref="J25">IFERROR(INDEX('Work Items'!$M$6:$M$5000,SMALL(IF('Work Items'!$A$6:$A$5000="CR",ROW('Work Items'!$A$6:$A$5000)-ROW('Work Items'!$A$6)+1),21)),"")</f>
        <v/>
      </c>
      <c r="K25" s="217">
        <f t="array" ref="K25">IFERROR(INDEX('Work Items'!$Q$6:$Q$5000,SMALL(IF('Work Items'!$A$6:$A$5000="CR",ROW('Work Items'!$A$6:$A$5000)-ROW('Work Items'!$A$6)+1),21)),"")</f>
        <v/>
      </c>
      <c r="L25">
        <f t="array" ref="L25">IFERROR(INDEX('Work Items'!$N$6:$N$5000,SMALL(IF('Work Items'!$A$6:$A$5000="CR",ROW('Work Items'!$A$6:$A$5000)-ROW('Work Items'!$A$6)+1),21)),"")</f>
        <v/>
      </c>
      <c r="M25">
        <f t="array" ref="M25">IFERROR(INDEX('Work Items'!$O$6:$O$5000,SMALL(IF('Work Items'!$A$6:$A$5000="CR",ROW('Work Items'!$A$6:$A$5000)-ROW('Work Items'!$A$6)+1),21)),"")</f>
        <v/>
      </c>
    </row>
    <row r="26">
      <c r="A26">
        <f t="array" ref="A26">IFERROR(INDEX('Work Items'!$A$6:$A$5000,SMALL(IF('Work Items'!$A$6:$A$5000="CR",ROW('Work Items'!$A$6:$A$5000)-ROW('Work Items'!$A$6)+1),22)),"")</f>
        <v/>
      </c>
      <c r="B26">
        <f t="array" ref="B26">IFERROR(INDEX('Work Items'!$B$6:$B$5000,SMALL(IF('Work Items'!$A$6:$A$5000="CR",ROW('Work Items'!$A$6:$A$5000)-ROW('Work Items'!$A$6)+1),22)),"")</f>
        <v/>
      </c>
      <c r="C26">
        <f t="array" ref="C26">IFERROR(INDEX('Work Items'!$C$6:$C$5000,SMALL(IF('Work Items'!$A$6:$A$5000="CR",ROW('Work Items'!$A$6:$A$5000)-ROW('Work Items'!$A$6)+1),22)),"")</f>
        <v/>
      </c>
      <c r="D26">
        <f t="array" ref="D26">IFERROR(INDEX('Work Items'!$D$6:$D$5000,SMALL(IF('Work Items'!$A$6:$A$5000="CR",ROW('Work Items'!$A$6:$A$5000)-ROW('Work Items'!$A$6)+1),22)),"")</f>
        <v/>
      </c>
      <c r="E26">
        <f t="array" ref="E26">IFERROR(INDEX('Work Items'!$E$6:$E$5000,SMALL(IF('Work Items'!$A$6:$A$5000="CR",ROW('Work Items'!$A$6:$A$5000)-ROW('Work Items'!$A$6)+1),22)),"")</f>
        <v/>
      </c>
      <c r="F26">
        <f t="array" ref="F26">IFERROR(INDEX('Work Items'!$F$6:$F$5000,SMALL(IF('Work Items'!$A$6:$A$5000="CR",ROW('Work Items'!$A$6:$A$5000)-ROW('Work Items'!$A$6)+1),22)),"")</f>
        <v/>
      </c>
      <c r="G26">
        <f t="array" ref="G26">IFERROR(INDEX('Work Items'!$J$6:$J$5000,SMALL(IF('Work Items'!$A$6:$A$5000="CR",ROW('Work Items'!$A$6:$A$5000)-ROW('Work Items'!$A$6)+1),22)),"")</f>
        <v/>
      </c>
      <c r="H26">
        <f t="array" ref="H26">IFERROR(INDEX('Work Items'!$K$6:$K$5000,SMALL(IF('Work Items'!$A$6:$A$5000="CR",ROW('Work Items'!$A$6:$A$5000)-ROW('Work Items'!$A$6)+1),22)),"")</f>
        <v/>
      </c>
      <c r="I26">
        <f t="array" ref="I26">IFERROR(INDEX('Work Items'!$L$6:$L$5000,SMALL(IF('Work Items'!$A$6:$A$5000="CR",ROW('Work Items'!$A$6:$A$5000)-ROW('Work Items'!$A$6)+1),22)),"")</f>
        <v/>
      </c>
      <c r="J26" s="217">
        <f t="array" ref="J26">IFERROR(INDEX('Work Items'!$M$6:$M$5000,SMALL(IF('Work Items'!$A$6:$A$5000="CR",ROW('Work Items'!$A$6:$A$5000)-ROW('Work Items'!$A$6)+1),22)),"")</f>
        <v/>
      </c>
      <c r="K26" s="217">
        <f t="array" ref="K26">IFERROR(INDEX('Work Items'!$Q$6:$Q$5000,SMALL(IF('Work Items'!$A$6:$A$5000="CR",ROW('Work Items'!$A$6:$A$5000)-ROW('Work Items'!$A$6)+1),22)),"")</f>
        <v/>
      </c>
      <c r="L26">
        <f t="array" ref="L26">IFERROR(INDEX('Work Items'!$N$6:$N$5000,SMALL(IF('Work Items'!$A$6:$A$5000="CR",ROW('Work Items'!$A$6:$A$5000)-ROW('Work Items'!$A$6)+1),22)),"")</f>
        <v/>
      </c>
      <c r="M26">
        <f t="array" ref="M26">IFERROR(INDEX('Work Items'!$O$6:$O$5000,SMALL(IF('Work Items'!$A$6:$A$5000="CR",ROW('Work Items'!$A$6:$A$5000)-ROW('Work Items'!$A$6)+1),22)),"")</f>
        <v/>
      </c>
    </row>
    <row r="27">
      <c r="A27">
        <f t="array" ref="A27">IFERROR(INDEX('Work Items'!$A$6:$A$5000,SMALL(IF('Work Items'!$A$6:$A$5000="CR",ROW('Work Items'!$A$6:$A$5000)-ROW('Work Items'!$A$6)+1),23)),"")</f>
        <v/>
      </c>
      <c r="B27">
        <f t="array" ref="B27">IFERROR(INDEX('Work Items'!$B$6:$B$5000,SMALL(IF('Work Items'!$A$6:$A$5000="CR",ROW('Work Items'!$A$6:$A$5000)-ROW('Work Items'!$A$6)+1),23)),"")</f>
        <v/>
      </c>
      <c r="C27">
        <f t="array" ref="C27">IFERROR(INDEX('Work Items'!$C$6:$C$5000,SMALL(IF('Work Items'!$A$6:$A$5000="CR",ROW('Work Items'!$A$6:$A$5000)-ROW('Work Items'!$A$6)+1),23)),"")</f>
        <v/>
      </c>
      <c r="D27">
        <f t="array" ref="D27">IFERROR(INDEX('Work Items'!$D$6:$D$5000,SMALL(IF('Work Items'!$A$6:$A$5000="CR",ROW('Work Items'!$A$6:$A$5000)-ROW('Work Items'!$A$6)+1),23)),"")</f>
        <v/>
      </c>
      <c r="E27">
        <f t="array" ref="E27">IFERROR(INDEX('Work Items'!$E$6:$E$5000,SMALL(IF('Work Items'!$A$6:$A$5000="CR",ROW('Work Items'!$A$6:$A$5000)-ROW('Work Items'!$A$6)+1),23)),"")</f>
        <v/>
      </c>
      <c r="F27">
        <f t="array" ref="F27">IFERROR(INDEX('Work Items'!$F$6:$F$5000,SMALL(IF('Work Items'!$A$6:$A$5000="CR",ROW('Work Items'!$A$6:$A$5000)-ROW('Work Items'!$A$6)+1),23)),"")</f>
        <v/>
      </c>
      <c r="G27">
        <f t="array" ref="G27">IFERROR(INDEX('Work Items'!$J$6:$J$5000,SMALL(IF('Work Items'!$A$6:$A$5000="CR",ROW('Work Items'!$A$6:$A$5000)-ROW('Work Items'!$A$6)+1),23)),"")</f>
        <v/>
      </c>
      <c r="H27">
        <f t="array" ref="H27">IFERROR(INDEX('Work Items'!$K$6:$K$5000,SMALL(IF('Work Items'!$A$6:$A$5000="CR",ROW('Work Items'!$A$6:$A$5000)-ROW('Work Items'!$A$6)+1),23)),"")</f>
        <v/>
      </c>
      <c r="I27">
        <f t="array" ref="I27">IFERROR(INDEX('Work Items'!$L$6:$L$5000,SMALL(IF('Work Items'!$A$6:$A$5000="CR",ROW('Work Items'!$A$6:$A$5000)-ROW('Work Items'!$A$6)+1),23)),"")</f>
        <v/>
      </c>
      <c r="J27" s="217">
        <f t="array" ref="J27">IFERROR(INDEX('Work Items'!$M$6:$M$5000,SMALL(IF('Work Items'!$A$6:$A$5000="CR",ROW('Work Items'!$A$6:$A$5000)-ROW('Work Items'!$A$6)+1),23)),"")</f>
        <v/>
      </c>
      <c r="K27" s="217">
        <f t="array" ref="K27">IFERROR(INDEX('Work Items'!$Q$6:$Q$5000,SMALL(IF('Work Items'!$A$6:$A$5000="CR",ROW('Work Items'!$A$6:$A$5000)-ROW('Work Items'!$A$6)+1),23)),"")</f>
        <v/>
      </c>
      <c r="L27">
        <f t="array" ref="L27">IFERROR(INDEX('Work Items'!$N$6:$N$5000,SMALL(IF('Work Items'!$A$6:$A$5000="CR",ROW('Work Items'!$A$6:$A$5000)-ROW('Work Items'!$A$6)+1),23)),"")</f>
        <v/>
      </c>
      <c r="M27">
        <f t="array" ref="M27">IFERROR(INDEX('Work Items'!$O$6:$O$5000,SMALL(IF('Work Items'!$A$6:$A$5000="CR",ROW('Work Items'!$A$6:$A$5000)-ROW('Work Items'!$A$6)+1),23)),"")</f>
        <v/>
      </c>
    </row>
    <row r="28">
      <c r="A28">
        <f t="array" ref="A28">IFERROR(INDEX('Work Items'!$A$6:$A$5000,SMALL(IF('Work Items'!$A$6:$A$5000="CR",ROW('Work Items'!$A$6:$A$5000)-ROW('Work Items'!$A$6)+1),24)),"")</f>
        <v/>
      </c>
      <c r="B28">
        <f t="array" ref="B28">IFERROR(INDEX('Work Items'!$B$6:$B$5000,SMALL(IF('Work Items'!$A$6:$A$5000="CR",ROW('Work Items'!$A$6:$A$5000)-ROW('Work Items'!$A$6)+1),24)),"")</f>
        <v/>
      </c>
      <c r="C28">
        <f t="array" ref="C28">IFERROR(INDEX('Work Items'!$C$6:$C$5000,SMALL(IF('Work Items'!$A$6:$A$5000="CR",ROW('Work Items'!$A$6:$A$5000)-ROW('Work Items'!$A$6)+1),24)),"")</f>
        <v/>
      </c>
      <c r="D28">
        <f t="array" ref="D28">IFERROR(INDEX('Work Items'!$D$6:$D$5000,SMALL(IF('Work Items'!$A$6:$A$5000="CR",ROW('Work Items'!$A$6:$A$5000)-ROW('Work Items'!$A$6)+1),24)),"")</f>
        <v/>
      </c>
      <c r="E28">
        <f t="array" ref="E28">IFERROR(INDEX('Work Items'!$E$6:$E$5000,SMALL(IF('Work Items'!$A$6:$A$5000="CR",ROW('Work Items'!$A$6:$A$5000)-ROW('Work Items'!$A$6)+1),24)),"")</f>
        <v/>
      </c>
      <c r="F28">
        <f t="array" ref="F28">IFERROR(INDEX('Work Items'!$F$6:$F$5000,SMALL(IF('Work Items'!$A$6:$A$5000="CR",ROW('Work Items'!$A$6:$A$5000)-ROW('Work Items'!$A$6)+1),24)),"")</f>
        <v/>
      </c>
      <c r="G28">
        <f t="array" ref="G28">IFERROR(INDEX('Work Items'!$J$6:$J$5000,SMALL(IF('Work Items'!$A$6:$A$5000="CR",ROW('Work Items'!$A$6:$A$5000)-ROW('Work Items'!$A$6)+1),24)),"")</f>
        <v/>
      </c>
      <c r="H28">
        <f t="array" ref="H28">IFERROR(INDEX('Work Items'!$K$6:$K$5000,SMALL(IF('Work Items'!$A$6:$A$5000="CR",ROW('Work Items'!$A$6:$A$5000)-ROW('Work Items'!$A$6)+1),24)),"")</f>
        <v/>
      </c>
      <c r="I28">
        <f t="array" ref="I28">IFERROR(INDEX('Work Items'!$L$6:$L$5000,SMALL(IF('Work Items'!$A$6:$A$5000="CR",ROW('Work Items'!$A$6:$A$5000)-ROW('Work Items'!$A$6)+1),24)),"")</f>
        <v/>
      </c>
      <c r="J28" s="217">
        <f t="array" ref="J28">IFERROR(INDEX('Work Items'!$M$6:$M$5000,SMALL(IF('Work Items'!$A$6:$A$5000="CR",ROW('Work Items'!$A$6:$A$5000)-ROW('Work Items'!$A$6)+1),24)),"")</f>
        <v/>
      </c>
      <c r="K28" s="217">
        <f t="array" ref="K28">IFERROR(INDEX('Work Items'!$Q$6:$Q$5000,SMALL(IF('Work Items'!$A$6:$A$5000="CR",ROW('Work Items'!$A$6:$A$5000)-ROW('Work Items'!$A$6)+1),24)),"")</f>
        <v/>
      </c>
      <c r="L28">
        <f t="array" ref="L28">IFERROR(INDEX('Work Items'!$N$6:$N$5000,SMALL(IF('Work Items'!$A$6:$A$5000="CR",ROW('Work Items'!$A$6:$A$5000)-ROW('Work Items'!$A$6)+1),24)),"")</f>
        <v/>
      </c>
      <c r="M28">
        <f t="array" ref="M28">IFERROR(INDEX('Work Items'!$O$6:$O$5000,SMALL(IF('Work Items'!$A$6:$A$5000="CR",ROW('Work Items'!$A$6:$A$5000)-ROW('Work Items'!$A$6)+1),24)),"")</f>
        <v/>
      </c>
    </row>
    <row r="29">
      <c r="A29">
        <f t="array" ref="A29">IFERROR(INDEX('Work Items'!$A$6:$A$5000,SMALL(IF('Work Items'!$A$6:$A$5000="CR",ROW('Work Items'!$A$6:$A$5000)-ROW('Work Items'!$A$6)+1),25)),"")</f>
        <v/>
      </c>
      <c r="B29">
        <f t="array" ref="B29">IFERROR(INDEX('Work Items'!$B$6:$B$5000,SMALL(IF('Work Items'!$A$6:$A$5000="CR",ROW('Work Items'!$A$6:$A$5000)-ROW('Work Items'!$A$6)+1),25)),"")</f>
        <v/>
      </c>
      <c r="C29">
        <f t="array" ref="C29">IFERROR(INDEX('Work Items'!$C$6:$C$5000,SMALL(IF('Work Items'!$A$6:$A$5000="CR",ROW('Work Items'!$A$6:$A$5000)-ROW('Work Items'!$A$6)+1),25)),"")</f>
        <v/>
      </c>
      <c r="D29">
        <f t="array" ref="D29">IFERROR(INDEX('Work Items'!$D$6:$D$5000,SMALL(IF('Work Items'!$A$6:$A$5000="CR",ROW('Work Items'!$A$6:$A$5000)-ROW('Work Items'!$A$6)+1),25)),"")</f>
        <v/>
      </c>
      <c r="E29">
        <f t="array" ref="E29">IFERROR(INDEX('Work Items'!$E$6:$E$5000,SMALL(IF('Work Items'!$A$6:$A$5000="CR",ROW('Work Items'!$A$6:$A$5000)-ROW('Work Items'!$A$6)+1),25)),"")</f>
        <v/>
      </c>
      <c r="F29">
        <f t="array" ref="F29">IFERROR(INDEX('Work Items'!$F$6:$F$5000,SMALL(IF('Work Items'!$A$6:$A$5000="CR",ROW('Work Items'!$A$6:$A$5000)-ROW('Work Items'!$A$6)+1),25)),"")</f>
        <v/>
      </c>
      <c r="G29">
        <f t="array" ref="G29">IFERROR(INDEX('Work Items'!$J$6:$J$5000,SMALL(IF('Work Items'!$A$6:$A$5000="CR",ROW('Work Items'!$A$6:$A$5000)-ROW('Work Items'!$A$6)+1),25)),"")</f>
        <v/>
      </c>
      <c r="H29">
        <f t="array" ref="H29">IFERROR(INDEX('Work Items'!$K$6:$K$5000,SMALL(IF('Work Items'!$A$6:$A$5000="CR",ROW('Work Items'!$A$6:$A$5000)-ROW('Work Items'!$A$6)+1),25)),"")</f>
        <v/>
      </c>
      <c r="I29">
        <f t="array" ref="I29">IFERROR(INDEX('Work Items'!$L$6:$L$5000,SMALL(IF('Work Items'!$A$6:$A$5000="CR",ROW('Work Items'!$A$6:$A$5000)-ROW('Work Items'!$A$6)+1),25)),"")</f>
        <v/>
      </c>
      <c r="J29" s="217">
        <f t="array" ref="J29">IFERROR(INDEX('Work Items'!$M$6:$M$5000,SMALL(IF('Work Items'!$A$6:$A$5000="CR",ROW('Work Items'!$A$6:$A$5000)-ROW('Work Items'!$A$6)+1),25)),"")</f>
        <v/>
      </c>
      <c r="K29" s="217">
        <f t="array" ref="K29">IFERROR(INDEX('Work Items'!$Q$6:$Q$5000,SMALL(IF('Work Items'!$A$6:$A$5000="CR",ROW('Work Items'!$A$6:$A$5000)-ROW('Work Items'!$A$6)+1),25)),"")</f>
        <v/>
      </c>
      <c r="L29">
        <f t="array" ref="L29">IFERROR(INDEX('Work Items'!$N$6:$N$5000,SMALL(IF('Work Items'!$A$6:$A$5000="CR",ROW('Work Items'!$A$6:$A$5000)-ROW('Work Items'!$A$6)+1),25)),"")</f>
        <v/>
      </c>
      <c r="M29">
        <f t="array" ref="M29">IFERROR(INDEX('Work Items'!$O$6:$O$5000,SMALL(IF('Work Items'!$A$6:$A$5000="CR",ROW('Work Items'!$A$6:$A$5000)-ROW('Work Items'!$A$6)+1),25)),"")</f>
        <v/>
      </c>
    </row>
    <row r="30">
      <c r="A30">
        <f t="array" ref="A30">IFERROR(INDEX('Work Items'!$A$6:$A$5000,SMALL(IF('Work Items'!$A$6:$A$5000="CR",ROW('Work Items'!$A$6:$A$5000)-ROW('Work Items'!$A$6)+1),26)),"")</f>
        <v/>
      </c>
      <c r="B30">
        <f t="array" ref="B30">IFERROR(INDEX('Work Items'!$B$6:$B$5000,SMALL(IF('Work Items'!$A$6:$A$5000="CR",ROW('Work Items'!$A$6:$A$5000)-ROW('Work Items'!$A$6)+1),26)),"")</f>
        <v/>
      </c>
      <c r="C30">
        <f t="array" ref="C30">IFERROR(INDEX('Work Items'!$C$6:$C$5000,SMALL(IF('Work Items'!$A$6:$A$5000="CR",ROW('Work Items'!$A$6:$A$5000)-ROW('Work Items'!$A$6)+1),26)),"")</f>
        <v/>
      </c>
      <c r="D30">
        <f t="array" ref="D30">IFERROR(INDEX('Work Items'!$D$6:$D$5000,SMALL(IF('Work Items'!$A$6:$A$5000="CR",ROW('Work Items'!$A$6:$A$5000)-ROW('Work Items'!$A$6)+1),26)),"")</f>
        <v/>
      </c>
      <c r="E30">
        <f t="array" ref="E30">IFERROR(INDEX('Work Items'!$E$6:$E$5000,SMALL(IF('Work Items'!$A$6:$A$5000="CR",ROW('Work Items'!$A$6:$A$5000)-ROW('Work Items'!$A$6)+1),26)),"")</f>
        <v/>
      </c>
      <c r="F30">
        <f t="array" ref="F30">IFERROR(INDEX('Work Items'!$F$6:$F$5000,SMALL(IF('Work Items'!$A$6:$A$5000="CR",ROW('Work Items'!$A$6:$A$5000)-ROW('Work Items'!$A$6)+1),26)),"")</f>
        <v/>
      </c>
      <c r="G30">
        <f t="array" ref="G30">IFERROR(INDEX('Work Items'!$J$6:$J$5000,SMALL(IF('Work Items'!$A$6:$A$5000="CR",ROW('Work Items'!$A$6:$A$5000)-ROW('Work Items'!$A$6)+1),26)),"")</f>
        <v/>
      </c>
      <c r="H30">
        <f t="array" ref="H30">IFERROR(INDEX('Work Items'!$K$6:$K$5000,SMALL(IF('Work Items'!$A$6:$A$5000="CR",ROW('Work Items'!$A$6:$A$5000)-ROW('Work Items'!$A$6)+1),26)),"")</f>
        <v/>
      </c>
      <c r="I30">
        <f t="array" ref="I30">IFERROR(INDEX('Work Items'!$L$6:$L$5000,SMALL(IF('Work Items'!$A$6:$A$5000="CR",ROW('Work Items'!$A$6:$A$5000)-ROW('Work Items'!$A$6)+1),26)),"")</f>
        <v/>
      </c>
      <c r="J30" s="217">
        <f t="array" ref="J30">IFERROR(INDEX('Work Items'!$M$6:$M$5000,SMALL(IF('Work Items'!$A$6:$A$5000="CR",ROW('Work Items'!$A$6:$A$5000)-ROW('Work Items'!$A$6)+1),26)),"")</f>
        <v/>
      </c>
      <c r="K30" s="217">
        <f t="array" ref="K30">IFERROR(INDEX('Work Items'!$Q$6:$Q$5000,SMALL(IF('Work Items'!$A$6:$A$5000="CR",ROW('Work Items'!$A$6:$A$5000)-ROW('Work Items'!$A$6)+1),26)),"")</f>
        <v/>
      </c>
      <c r="L30">
        <f t="array" ref="L30">IFERROR(INDEX('Work Items'!$N$6:$N$5000,SMALL(IF('Work Items'!$A$6:$A$5000="CR",ROW('Work Items'!$A$6:$A$5000)-ROW('Work Items'!$A$6)+1),26)),"")</f>
        <v/>
      </c>
      <c r="M30">
        <f t="array" ref="M30">IFERROR(INDEX('Work Items'!$O$6:$O$5000,SMALL(IF('Work Items'!$A$6:$A$5000="CR",ROW('Work Items'!$A$6:$A$5000)-ROW('Work Items'!$A$6)+1),26)),"")</f>
        <v/>
      </c>
    </row>
    <row r="31">
      <c r="A31">
        <f t="array" ref="A31">IFERROR(INDEX('Work Items'!$A$6:$A$5000,SMALL(IF('Work Items'!$A$6:$A$5000="CR",ROW('Work Items'!$A$6:$A$5000)-ROW('Work Items'!$A$6)+1),27)),"")</f>
        <v/>
      </c>
      <c r="B31">
        <f t="array" ref="B31">IFERROR(INDEX('Work Items'!$B$6:$B$5000,SMALL(IF('Work Items'!$A$6:$A$5000="CR",ROW('Work Items'!$A$6:$A$5000)-ROW('Work Items'!$A$6)+1),27)),"")</f>
        <v/>
      </c>
      <c r="C31">
        <f t="array" ref="C31">IFERROR(INDEX('Work Items'!$C$6:$C$5000,SMALL(IF('Work Items'!$A$6:$A$5000="CR",ROW('Work Items'!$A$6:$A$5000)-ROW('Work Items'!$A$6)+1),27)),"")</f>
        <v/>
      </c>
      <c r="D31">
        <f t="array" ref="D31">IFERROR(INDEX('Work Items'!$D$6:$D$5000,SMALL(IF('Work Items'!$A$6:$A$5000="CR",ROW('Work Items'!$A$6:$A$5000)-ROW('Work Items'!$A$6)+1),27)),"")</f>
        <v/>
      </c>
      <c r="E31">
        <f t="array" ref="E31">IFERROR(INDEX('Work Items'!$E$6:$E$5000,SMALL(IF('Work Items'!$A$6:$A$5000="CR",ROW('Work Items'!$A$6:$A$5000)-ROW('Work Items'!$A$6)+1),27)),"")</f>
        <v/>
      </c>
      <c r="F31">
        <f t="array" ref="F31">IFERROR(INDEX('Work Items'!$F$6:$F$5000,SMALL(IF('Work Items'!$A$6:$A$5000="CR",ROW('Work Items'!$A$6:$A$5000)-ROW('Work Items'!$A$6)+1),27)),"")</f>
        <v/>
      </c>
      <c r="G31">
        <f t="array" ref="G31">IFERROR(INDEX('Work Items'!$J$6:$J$5000,SMALL(IF('Work Items'!$A$6:$A$5000="CR",ROW('Work Items'!$A$6:$A$5000)-ROW('Work Items'!$A$6)+1),27)),"")</f>
        <v/>
      </c>
      <c r="H31">
        <f t="array" ref="H31">IFERROR(INDEX('Work Items'!$K$6:$K$5000,SMALL(IF('Work Items'!$A$6:$A$5000="CR",ROW('Work Items'!$A$6:$A$5000)-ROW('Work Items'!$A$6)+1),27)),"")</f>
        <v/>
      </c>
      <c r="I31">
        <f t="array" ref="I31">IFERROR(INDEX('Work Items'!$L$6:$L$5000,SMALL(IF('Work Items'!$A$6:$A$5000="CR",ROW('Work Items'!$A$6:$A$5000)-ROW('Work Items'!$A$6)+1),27)),"")</f>
        <v/>
      </c>
      <c r="J31" s="217">
        <f t="array" ref="J31">IFERROR(INDEX('Work Items'!$M$6:$M$5000,SMALL(IF('Work Items'!$A$6:$A$5000="CR",ROW('Work Items'!$A$6:$A$5000)-ROW('Work Items'!$A$6)+1),27)),"")</f>
        <v/>
      </c>
      <c r="K31" s="217">
        <f t="array" ref="K31">IFERROR(INDEX('Work Items'!$Q$6:$Q$5000,SMALL(IF('Work Items'!$A$6:$A$5000="CR",ROW('Work Items'!$A$6:$A$5000)-ROW('Work Items'!$A$6)+1),27)),"")</f>
        <v/>
      </c>
      <c r="L31">
        <f t="array" ref="L31">IFERROR(INDEX('Work Items'!$N$6:$N$5000,SMALL(IF('Work Items'!$A$6:$A$5000="CR",ROW('Work Items'!$A$6:$A$5000)-ROW('Work Items'!$A$6)+1),27)),"")</f>
        <v/>
      </c>
      <c r="M31">
        <f t="array" ref="M31">IFERROR(INDEX('Work Items'!$O$6:$O$5000,SMALL(IF('Work Items'!$A$6:$A$5000="CR",ROW('Work Items'!$A$6:$A$5000)-ROW('Work Items'!$A$6)+1),27)),"")</f>
        <v/>
      </c>
    </row>
    <row r="32">
      <c r="A32">
        <f t="array" ref="A32">IFERROR(INDEX('Work Items'!$A$6:$A$5000,SMALL(IF('Work Items'!$A$6:$A$5000="CR",ROW('Work Items'!$A$6:$A$5000)-ROW('Work Items'!$A$6)+1),28)),"")</f>
        <v/>
      </c>
      <c r="B32">
        <f t="array" ref="B32">IFERROR(INDEX('Work Items'!$B$6:$B$5000,SMALL(IF('Work Items'!$A$6:$A$5000="CR",ROW('Work Items'!$A$6:$A$5000)-ROW('Work Items'!$A$6)+1),28)),"")</f>
        <v/>
      </c>
      <c r="C32">
        <f t="array" ref="C32">IFERROR(INDEX('Work Items'!$C$6:$C$5000,SMALL(IF('Work Items'!$A$6:$A$5000="CR",ROW('Work Items'!$A$6:$A$5000)-ROW('Work Items'!$A$6)+1),28)),"")</f>
        <v/>
      </c>
      <c r="D32">
        <f t="array" ref="D32">IFERROR(INDEX('Work Items'!$D$6:$D$5000,SMALL(IF('Work Items'!$A$6:$A$5000="CR",ROW('Work Items'!$A$6:$A$5000)-ROW('Work Items'!$A$6)+1),28)),"")</f>
        <v/>
      </c>
      <c r="E32">
        <f t="array" ref="E32">IFERROR(INDEX('Work Items'!$E$6:$E$5000,SMALL(IF('Work Items'!$A$6:$A$5000="CR",ROW('Work Items'!$A$6:$A$5000)-ROW('Work Items'!$A$6)+1),28)),"")</f>
        <v/>
      </c>
      <c r="F32">
        <f t="array" ref="F32">IFERROR(INDEX('Work Items'!$F$6:$F$5000,SMALL(IF('Work Items'!$A$6:$A$5000="CR",ROW('Work Items'!$A$6:$A$5000)-ROW('Work Items'!$A$6)+1),28)),"")</f>
        <v/>
      </c>
      <c r="G32">
        <f t="array" ref="G32">IFERROR(INDEX('Work Items'!$J$6:$J$5000,SMALL(IF('Work Items'!$A$6:$A$5000="CR",ROW('Work Items'!$A$6:$A$5000)-ROW('Work Items'!$A$6)+1),28)),"")</f>
        <v/>
      </c>
      <c r="H32">
        <f t="array" ref="H32">IFERROR(INDEX('Work Items'!$K$6:$K$5000,SMALL(IF('Work Items'!$A$6:$A$5000="CR",ROW('Work Items'!$A$6:$A$5000)-ROW('Work Items'!$A$6)+1),28)),"")</f>
        <v/>
      </c>
      <c r="I32">
        <f t="array" ref="I32">IFERROR(INDEX('Work Items'!$L$6:$L$5000,SMALL(IF('Work Items'!$A$6:$A$5000="CR",ROW('Work Items'!$A$6:$A$5000)-ROW('Work Items'!$A$6)+1),28)),"")</f>
        <v/>
      </c>
      <c r="J32" s="217">
        <f t="array" ref="J32">IFERROR(INDEX('Work Items'!$M$6:$M$5000,SMALL(IF('Work Items'!$A$6:$A$5000="CR",ROW('Work Items'!$A$6:$A$5000)-ROW('Work Items'!$A$6)+1),28)),"")</f>
        <v/>
      </c>
      <c r="K32" s="217">
        <f t="array" ref="K32">IFERROR(INDEX('Work Items'!$Q$6:$Q$5000,SMALL(IF('Work Items'!$A$6:$A$5000="CR",ROW('Work Items'!$A$6:$A$5000)-ROW('Work Items'!$A$6)+1),28)),"")</f>
        <v/>
      </c>
      <c r="L32">
        <f t="array" ref="L32">IFERROR(INDEX('Work Items'!$N$6:$N$5000,SMALL(IF('Work Items'!$A$6:$A$5000="CR",ROW('Work Items'!$A$6:$A$5000)-ROW('Work Items'!$A$6)+1),28)),"")</f>
        <v/>
      </c>
      <c r="M32">
        <f t="array" ref="M32">IFERROR(INDEX('Work Items'!$O$6:$O$5000,SMALL(IF('Work Items'!$A$6:$A$5000="CR",ROW('Work Items'!$A$6:$A$5000)-ROW('Work Items'!$A$6)+1),28)),"")</f>
        <v/>
      </c>
    </row>
    <row r="33">
      <c r="A33">
        <f t="array" ref="A33">IFERROR(INDEX('Work Items'!$A$6:$A$5000,SMALL(IF('Work Items'!$A$6:$A$5000="CR",ROW('Work Items'!$A$6:$A$5000)-ROW('Work Items'!$A$6)+1),29)),"")</f>
        <v/>
      </c>
      <c r="B33">
        <f t="array" ref="B33">IFERROR(INDEX('Work Items'!$B$6:$B$5000,SMALL(IF('Work Items'!$A$6:$A$5000="CR",ROW('Work Items'!$A$6:$A$5000)-ROW('Work Items'!$A$6)+1),29)),"")</f>
        <v/>
      </c>
      <c r="C33">
        <f t="array" ref="C33">IFERROR(INDEX('Work Items'!$C$6:$C$5000,SMALL(IF('Work Items'!$A$6:$A$5000="CR",ROW('Work Items'!$A$6:$A$5000)-ROW('Work Items'!$A$6)+1),29)),"")</f>
        <v/>
      </c>
      <c r="D33">
        <f t="array" ref="D33">IFERROR(INDEX('Work Items'!$D$6:$D$5000,SMALL(IF('Work Items'!$A$6:$A$5000="CR",ROW('Work Items'!$A$6:$A$5000)-ROW('Work Items'!$A$6)+1),29)),"")</f>
        <v/>
      </c>
      <c r="E33">
        <f t="array" ref="E33">IFERROR(INDEX('Work Items'!$E$6:$E$5000,SMALL(IF('Work Items'!$A$6:$A$5000="CR",ROW('Work Items'!$A$6:$A$5000)-ROW('Work Items'!$A$6)+1),29)),"")</f>
        <v/>
      </c>
      <c r="F33">
        <f t="array" ref="F33">IFERROR(INDEX('Work Items'!$F$6:$F$5000,SMALL(IF('Work Items'!$A$6:$A$5000="CR",ROW('Work Items'!$A$6:$A$5000)-ROW('Work Items'!$A$6)+1),29)),"")</f>
        <v/>
      </c>
      <c r="G33">
        <f t="array" ref="G33">IFERROR(INDEX('Work Items'!$J$6:$J$5000,SMALL(IF('Work Items'!$A$6:$A$5000="CR",ROW('Work Items'!$A$6:$A$5000)-ROW('Work Items'!$A$6)+1),29)),"")</f>
        <v/>
      </c>
      <c r="H33">
        <f t="array" ref="H33">IFERROR(INDEX('Work Items'!$K$6:$K$5000,SMALL(IF('Work Items'!$A$6:$A$5000="CR",ROW('Work Items'!$A$6:$A$5000)-ROW('Work Items'!$A$6)+1),29)),"")</f>
        <v/>
      </c>
      <c r="I33">
        <f t="array" ref="I33">IFERROR(INDEX('Work Items'!$L$6:$L$5000,SMALL(IF('Work Items'!$A$6:$A$5000="CR",ROW('Work Items'!$A$6:$A$5000)-ROW('Work Items'!$A$6)+1),29)),"")</f>
        <v/>
      </c>
      <c r="J33" s="217">
        <f t="array" ref="J33">IFERROR(INDEX('Work Items'!$M$6:$M$5000,SMALL(IF('Work Items'!$A$6:$A$5000="CR",ROW('Work Items'!$A$6:$A$5000)-ROW('Work Items'!$A$6)+1),29)),"")</f>
        <v/>
      </c>
      <c r="K33" s="217">
        <f t="array" ref="K33">IFERROR(INDEX('Work Items'!$Q$6:$Q$5000,SMALL(IF('Work Items'!$A$6:$A$5000="CR",ROW('Work Items'!$A$6:$A$5000)-ROW('Work Items'!$A$6)+1),29)),"")</f>
        <v/>
      </c>
      <c r="L33">
        <f t="array" ref="L33">IFERROR(INDEX('Work Items'!$N$6:$N$5000,SMALL(IF('Work Items'!$A$6:$A$5000="CR",ROW('Work Items'!$A$6:$A$5000)-ROW('Work Items'!$A$6)+1),29)),"")</f>
        <v/>
      </c>
      <c r="M33">
        <f t="array" ref="M33">IFERROR(INDEX('Work Items'!$O$6:$O$5000,SMALL(IF('Work Items'!$A$6:$A$5000="CR",ROW('Work Items'!$A$6:$A$5000)-ROW('Work Items'!$A$6)+1),29)),"")</f>
        <v/>
      </c>
    </row>
    <row r="34">
      <c r="A34">
        <f t="array" ref="A34">IFERROR(INDEX('Work Items'!$A$6:$A$5000,SMALL(IF('Work Items'!$A$6:$A$5000="CR",ROW('Work Items'!$A$6:$A$5000)-ROW('Work Items'!$A$6)+1),30)),"")</f>
        <v/>
      </c>
      <c r="B34">
        <f t="array" ref="B34">IFERROR(INDEX('Work Items'!$B$6:$B$5000,SMALL(IF('Work Items'!$A$6:$A$5000="CR",ROW('Work Items'!$A$6:$A$5000)-ROW('Work Items'!$A$6)+1),30)),"")</f>
        <v/>
      </c>
      <c r="C34">
        <f t="array" ref="C34">IFERROR(INDEX('Work Items'!$C$6:$C$5000,SMALL(IF('Work Items'!$A$6:$A$5000="CR",ROW('Work Items'!$A$6:$A$5000)-ROW('Work Items'!$A$6)+1),30)),"")</f>
        <v/>
      </c>
      <c r="D34">
        <f t="array" ref="D34">IFERROR(INDEX('Work Items'!$D$6:$D$5000,SMALL(IF('Work Items'!$A$6:$A$5000="CR",ROW('Work Items'!$A$6:$A$5000)-ROW('Work Items'!$A$6)+1),30)),"")</f>
        <v/>
      </c>
      <c r="E34">
        <f t="array" ref="E34">IFERROR(INDEX('Work Items'!$E$6:$E$5000,SMALL(IF('Work Items'!$A$6:$A$5000="CR",ROW('Work Items'!$A$6:$A$5000)-ROW('Work Items'!$A$6)+1),30)),"")</f>
        <v/>
      </c>
      <c r="F34">
        <f t="array" ref="F34">IFERROR(INDEX('Work Items'!$F$6:$F$5000,SMALL(IF('Work Items'!$A$6:$A$5000="CR",ROW('Work Items'!$A$6:$A$5000)-ROW('Work Items'!$A$6)+1),30)),"")</f>
        <v/>
      </c>
      <c r="G34">
        <f t="array" ref="G34">IFERROR(INDEX('Work Items'!$J$6:$J$5000,SMALL(IF('Work Items'!$A$6:$A$5000="CR",ROW('Work Items'!$A$6:$A$5000)-ROW('Work Items'!$A$6)+1),30)),"")</f>
        <v/>
      </c>
      <c r="H34">
        <f t="array" ref="H34">IFERROR(INDEX('Work Items'!$K$6:$K$5000,SMALL(IF('Work Items'!$A$6:$A$5000="CR",ROW('Work Items'!$A$6:$A$5000)-ROW('Work Items'!$A$6)+1),30)),"")</f>
        <v/>
      </c>
      <c r="I34">
        <f t="array" ref="I34">IFERROR(INDEX('Work Items'!$L$6:$L$5000,SMALL(IF('Work Items'!$A$6:$A$5000="CR",ROW('Work Items'!$A$6:$A$5000)-ROW('Work Items'!$A$6)+1),30)),"")</f>
        <v/>
      </c>
      <c r="J34" s="217">
        <f t="array" ref="J34">IFERROR(INDEX('Work Items'!$M$6:$M$5000,SMALL(IF('Work Items'!$A$6:$A$5000="CR",ROW('Work Items'!$A$6:$A$5000)-ROW('Work Items'!$A$6)+1),30)),"")</f>
        <v/>
      </c>
      <c r="K34" s="217">
        <f t="array" ref="K34">IFERROR(INDEX('Work Items'!$Q$6:$Q$5000,SMALL(IF('Work Items'!$A$6:$A$5000="CR",ROW('Work Items'!$A$6:$A$5000)-ROW('Work Items'!$A$6)+1),30)),"")</f>
        <v/>
      </c>
      <c r="L34">
        <f t="array" ref="L34">IFERROR(INDEX('Work Items'!$N$6:$N$5000,SMALL(IF('Work Items'!$A$6:$A$5000="CR",ROW('Work Items'!$A$6:$A$5000)-ROW('Work Items'!$A$6)+1),30)),"")</f>
        <v/>
      </c>
      <c r="M34">
        <f t="array" ref="M34">IFERROR(INDEX('Work Items'!$O$6:$O$5000,SMALL(IF('Work Items'!$A$6:$A$5000="CR",ROW('Work Items'!$A$6:$A$5000)-ROW('Work Items'!$A$6)+1),30)),"")</f>
        <v/>
      </c>
    </row>
    <row r="35">
      <c r="A35">
        <f t="array" ref="A35">IFERROR(INDEX('Work Items'!$A$6:$A$5000,SMALL(IF('Work Items'!$A$6:$A$5000="CR",ROW('Work Items'!$A$6:$A$5000)-ROW('Work Items'!$A$6)+1),31)),"")</f>
        <v/>
      </c>
      <c r="B35">
        <f t="array" ref="B35">IFERROR(INDEX('Work Items'!$B$6:$B$5000,SMALL(IF('Work Items'!$A$6:$A$5000="CR",ROW('Work Items'!$A$6:$A$5000)-ROW('Work Items'!$A$6)+1),31)),"")</f>
        <v/>
      </c>
      <c r="C35">
        <f t="array" ref="C35">IFERROR(INDEX('Work Items'!$C$6:$C$5000,SMALL(IF('Work Items'!$A$6:$A$5000="CR",ROW('Work Items'!$A$6:$A$5000)-ROW('Work Items'!$A$6)+1),31)),"")</f>
        <v/>
      </c>
      <c r="D35">
        <f t="array" ref="D35">IFERROR(INDEX('Work Items'!$D$6:$D$5000,SMALL(IF('Work Items'!$A$6:$A$5000="CR",ROW('Work Items'!$A$6:$A$5000)-ROW('Work Items'!$A$6)+1),31)),"")</f>
        <v/>
      </c>
      <c r="E35">
        <f t="array" ref="E35">IFERROR(INDEX('Work Items'!$E$6:$E$5000,SMALL(IF('Work Items'!$A$6:$A$5000="CR",ROW('Work Items'!$A$6:$A$5000)-ROW('Work Items'!$A$6)+1),31)),"")</f>
        <v/>
      </c>
      <c r="F35">
        <f t="array" ref="F35">IFERROR(INDEX('Work Items'!$F$6:$F$5000,SMALL(IF('Work Items'!$A$6:$A$5000="CR",ROW('Work Items'!$A$6:$A$5000)-ROW('Work Items'!$A$6)+1),31)),"")</f>
        <v/>
      </c>
      <c r="G35">
        <f t="array" ref="G35">IFERROR(INDEX('Work Items'!$J$6:$J$5000,SMALL(IF('Work Items'!$A$6:$A$5000="CR",ROW('Work Items'!$A$6:$A$5000)-ROW('Work Items'!$A$6)+1),31)),"")</f>
        <v/>
      </c>
      <c r="H35">
        <f t="array" ref="H35">IFERROR(INDEX('Work Items'!$K$6:$K$5000,SMALL(IF('Work Items'!$A$6:$A$5000="CR",ROW('Work Items'!$A$6:$A$5000)-ROW('Work Items'!$A$6)+1),31)),"")</f>
        <v/>
      </c>
      <c r="I35">
        <f t="array" ref="I35">IFERROR(INDEX('Work Items'!$L$6:$L$5000,SMALL(IF('Work Items'!$A$6:$A$5000="CR",ROW('Work Items'!$A$6:$A$5000)-ROW('Work Items'!$A$6)+1),31)),"")</f>
        <v/>
      </c>
      <c r="J35" s="217">
        <f t="array" ref="J35">IFERROR(INDEX('Work Items'!$M$6:$M$5000,SMALL(IF('Work Items'!$A$6:$A$5000="CR",ROW('Work Items'!$A$6:$A$5000)-ROW('Work Items'!$A$6)+1),31)),"")</f>
        <v/>
      </c>
      <c r="K35" s="217">
        <f t="array" ref="K35">IFERROR(INDEX('Work Items'!$Q$6:$Q$5000,SMALL(IF('Work Items'!$A$6:$A$5000="CR",ROW('Work Items'!$A$6:$A$5000)-ROW('Work Items'!$A$6)+1),31)),"")</f>
        <v/>
      </c>
      <c r="L35">
        <f t="array" ref="L35">IFERROR(INDEX('Work Items'!$N$6:$N$5000,SMALL(IF('Work Items'!$A$6:$A$5000="CR",ROW('Work Items'!$A$6:$A$5000)-ROW('Work Items'!$A$6)+1),31)),"")</f>
        <v/>
      </c>
      <c r="M35">
        <f t="array" ref="M35">IFERROR(INDEX('Work Items'!$O$6:$O$5000,SMALL(IF('Work Items'!$A$6:$A$5000="CR",ROW('Work Items'!$A$6:$A$5000)-ROW('Work Items'!$A$6)+1),31)),"")</f>
        <v/>
      </c>
    </row>
    <row r="36">
      <c r="A36">
        <f t="array" ref="A36">IFERROR(INDEX('Work Items'!$A$6:$A$5000,SMALL(IF('Work Items'!$A$6:$A$5000="CR",ROW('Work Items'!$A$6:$A$5000)-ROW('Work Items'!$A$6)+1),32)),"")</f>
        <v/>
      </c>
      <c r="B36">
        <f t="array" ref="B36">IFERROR(INDEX('Work Items'!$B$6:$B$5000,SMALL(IF('Work Items'!$A$6:$A$5000="CR",ROW('Work Items'!$A$6:$A$5000)-ROW('Work Items'!$A$6)+1),32)),"")</f>
        <v/>
      </c>
      <c r="C36">
        <f t="array" ref="C36">IFERROR(INDEX('Work Items'!$C$6:$C$5000,SMALL(IF('Work Items'!$A$6:$A$5000="CR",ROW('Work Items'!$A$6:$A$5000)-ROW('Work Items'!$A$6)+1),32)),"")</f>
        <v/>
      </c>
      <c r="D36">
        <f t="array" ref="D36">IFERROR(INDEX('Work Items'!$D$6:$D$5000,SMALL(IF('Work Items'!$A$6:$A$5000="CR",ROW('Work Items'!$A$6:$A$5000)-ROW('Work Items'!$A$6)+1),32)),"")</f>
        <v/>
      </c>
      <c r="E36">
        <f t="array" ref="E36">IFERROR(INDEX('Work Items'!$E$6:$E$5000,SMALL(IF('Work Items'!$A$6:$A$5000="CR",ROW('Work Items'!$A$6:$A$5000)-ROW('Work Items'!$A$6)+1),32)),"")</f>
        <v/>
      </c>
      <c r="F36">
        <f t="array" ref="F36">IFERROR(INDEX('Work Items'!$F$6:$F$5000,SMALL(IF('Work Items'!$A$6:$A$5000="CR",ROW('Work Items'!$A$6:$A$5000)-ROW('Work Items'!$A$6)+1),32)),"")</f>
        <v/>
      </c>
      <c r="G36">
        <f t="array" ref="G36">IFERROR(INDEX('Work Items'!$J$6:$J$5000,SMALL(IF('Work Items'!$A$6:$A$5000="CR",ROW('Work Items'!$A$6:$A$5000)-ROW('Work Items'!$A$6)+1),32)),"")</f>
        <v/>
      </c>
      <c r="H36">
        <f t="array" ref="H36">IFERROR(INDEX('Work Items'!$K$6:$K$5000,SMALL(IF('Work Items'!$A$6:$A$5000="CR",ROW('Work Items'!$A$6:$A$5000)-ROW('Work Items'!$A$6)+1),32)),"")</f>
        <v/>
      </c>
      <c r="I36">
        <f t="array" ref="I36">IFERROR(INDEX('Work Items'!$L$6:$L$5000,SMALL(IF('Work Items'!$A$6:$A$5000="CR",ROW('Work Items'!$A$6:$A$5000)-ROW('Work Items'!$A$6)+1),32)),"")</f>
        <v/>
      </c>
      <c r="J36" s="217">
        <f t="array" ref="J36">IFERROR(INDEX('Work Items'!$M$6:$M$5000,SMALL(IF('Work Items'!$A$6:$A$5000="CR",ROW('Work Items'!$A$6:$A$5000)-ROW('Work Items'!$A$6)+1),32)),"")</f>
        <v/>
      </c>
      <c r="K36" s="217">
        <f t="array" ref="K36">IFERROR(INDEX('Work Items'!$Q$6:$Q$5000,SMALL(IF('Work Items'!$A$6:$A$5000="CR",ROW('Work Items'!$A$6:$A$5000)-ROW('Work Items'!$A$6)+1),32)),"")</f>
        <v/>
      </c>
      <c r="L36">
        <f t="array" ref="L36">IFERROR(INDEX('Work Items'!$N$6:$N$5000,SMALL(IF('Work Items'!$A$6:$A$5000="CR",ROW('Work Items'!$A$6:$A$5000)-ROW('Work Items'!$A$6)+1),32)),"")</f>
        <v/>
      </c>
      <c r="M36">
        <f t="array" ref="M36">IFERROR(INDEX('Work Items'!$O$6:$O$5000,SMALL(IF('Work Items'!$A$6:$A$5000="CR",ROW('Work Items'!$A$6:$A$5000)-ROW('Work Items'!$A$6)+1),32)),"")</f>
        <v/>
      </c>
    </row>
    <row r="37">
      <c r="A37">
        <f t="array" ref="A37">IFERROR(INDEX('Work Items'!$A$6:$A$5000,SMALL(IF('Work Items'!$A$6:$A$5000="CR",ROW('Work Items'!$A$6:$A$5000)-ROW('Work Items'!$A$6)+1),33)),"")</f>
        <v/>
      </c>
      <c r="B37">
        <f t="array" ref="B37">IFERROR(INDEX('Work Items'!$B$6:$B$5000,SMALL(IF('Work Items'!$A$6:$A$5000="CR",ROW('Work Items'!$A$6:$A$5000)-ROW('Work Items'!$A$6)+1),33)),"")</f>
        <v/>
      </c>
      <c r="C37">
        <f t="array" ref="C37">IFERROR(INDEX('Work Items'!$C$6:$C$5000,SMALL(IF('Work Items'!$A$6:$A$5000="CR",ROW('Work Items'!$A$6:$A$5000)-ROW('Work Items'!$A$6)+1),33)),"")</f>
        <v/>
      </c>
      <c r="D37">
        <f t="array" ref="D37">IFERROR(INDEX('Work Items'!$D$6:$D$5000,SMALL(IF('Work Items'!$A$6:$A$5000="CR",ROW('Work Items'!$A$6:$A$5000)-ROW('Work Items'!$A$6)+1),33)),"")</f>
        <v/>
      </c>
      <c r="E37">
        <f t="array" ref="E37">IFERROR(INDEX('Work Items'!$E$6:$E$5000,SMALL(IF('Work Items'!$A$6:$A$5000="CR",ROW('Work Items'!$A$6:$A$5000)-ROW('Work Items'!$A$6)+1),33)),"")</f>
        <v/>
      </c>
      <c r="F37">
        <f t="array" ref="F37">IFERROR(INDEX('Work Items'!$F$6:$F$5000,SMALL(IF('Work Items'!$A$6:$A$5000="CR",ROW('Work Items'!$A$6:$A$5000)-ROW('Work Items'!$A$6)+1),33)),"")</f>
        <v/>
      </c>
      <c r="G37">
        <f t="array" ref="G37">IFERROR(INDEX('Work Items'!$J$6:$J$5000,SMALL(IF('Work Items'!$A$6:$A$5000="CR",ROW('Work Items'!$A$6:$A$5000)-ROW('Work Items'!$A$6)+1),33)),"")</f>
        <v/>
      </c>
      <c r="H37">
        <f t="array" ref="H37">IFERROR(INDEX('Work Items'!$K$6:$K$5000,SMALL(IF('Work Items'!$A$6:$A$5000="CR",ROW('Work Items'!$A$6:$A$5000)-ROW('Work Items'!$A$6)+1),33)),"")</f>
        <v/>
      </c>
      <c r="I37">
        <f t="array" ref="I37">IFERROR(INDEX('Work Items'!$L$6:$L$5000,SMALL(IF('Work Items'!$A$6:$A$5000="CR",ROW('Work Items'!$A$6:$A$5000)-ROW('Work Items'!$A$6)+1),33)),"")</f>
        <v/>
      </c>
      <c r="J37" s="217">
        <f t="array" ref="J37">IFERROR(INDEX('Work Items'!$M$6:$M$5000,SMALL(IF('Work Items'!$A$6:$A$5000="CR",ROW('Work Items'!$A$6:$A$5000)-ROW('Work Items'!$A$6)+1),33)),"")</f>
        <v/>
      </c>
      <c r="K37" s="217">
        <f t="array" ref="K37">IFERROR(INDEX('Work Items'!$Q$6:$Q$5000,SMALL(IF('Work Items'!$A$6:$A$5000="CR",ROW('Work Items'!$A$6:$A$5000)-ROW('Work Items'!$A$6)+1),33)),"")</f>
        <v/>
      </c>
      <c r="L37">
        <f t="array" ref="L37">IFERROR(INDEX('Work Items'!$N$6:$N$5000,SMALL(IF('Work Items'!$A$6:$A$5000="CR",ROW('Work Items'!$A$6:$A$5000)-ROW('Work Items'!$A$6)+1),33)),"")</f>
        <v/>
      </c>
      <c r="M37">
        <f t="array" ref="M37">IFERROR(INDEX('Work Items'!$O$6:$O$5000,SMALL(IF('Work Items'!$A$6:$A$5000="CR",ROW('Work Items'!$A$6:$A$5000)-ROW('Work Items'!$A$6)+1),33)),"")</f>
        <v/>
      </c>
    </row>
    <row r="38">
      <c r="A38">
        <f t="array" ref="A38">IFERROR(INDEX('Work Items'!$A$6:$A$5000,SMALL(IF('Work Items'!$A$6:$A$5000="CR",ROW('Work Items'!$A$6:$A$5000)-ROW('Work Items'!$A$6)+1),34)),"")</f>
        <v/>
      </c>
      <c r="B38">
        <f t="array" ref="B38">IFERROR(INDEX('Work Items'!$B$6:$B$5000,SMALL(IF('Work Items'!$A$6:$A$5000="CR",ROW('Work Items'!$A$6:$A$5000)-ROW('Work Items'!$A$6)+1),34)),"")</f>
        <v/>
      </c>
      <c r="C38">
        <f t="array" ref="C38">IFERROR(INDEX('Work Items'!$C$6:$C$5000,SMALL(IF('Work Items'!$A$6:$A$5000="CR",ROW('Work Items'!$A$6:$A$5000)-ROW('Work Items'!$A$6)+1),34)),"")</f>
        <v/>
      </c>
      <c r="D38">
        <f t="array" ref="D38">IFERROR(INDEX('Work Items'!$D$6:$D$5000,SMALL(IF('Work Items'!$A$6:$A$5000="CR",ROW('Work Items'!$A$6:$A$5000)-ROW('Work Items'!$A$6)+1),34)),"")</f>
        <v/>
      </c>
      <c r="E38">
        <f t="array" ref="E38">IFERROR(INDEX('Work Items'!$E$6:$E$5000,SMALL(IF('Work Items'!$A$6:$A$5000="CR",ROW('Work Items'!$A$6:$A$5000)-ROW('Work Items'!$A$6)+1),34)),"")</f>
        <v/>
      </c>
      <c r="F38">
        <f t="array" ref="F38">IFERROR(INDEX('Work Items'!$F$6:$F$5000,SMALL(IF('Work Items'!$A$6:$A$5000="CR",ROW('Work Items'!$A$6:$A$5000)-ROW('Work Items'!$A$6)+1),34)),"")</f>
        <v/>
      </c>
      <c r="G38">
        <f t="array" ref="G38">IFERROR(INDEX('Work Items'!$J$6:$J$5000,SMALL(IF('Work Items'!$A$6:$A$5000="CR",ROW('Work Items'!$A$6:$A$5000)-ROW('Work Items'!$A$6)+1),34)),"")</f>
        <v/>
      </c>
      <c r="H38">
        <f t="array" ref="H38">IFERROR(INDEX('Work Items'!$K$6:$K$5000,SMALL(IF('Work Items'!$A$6:$A$5000="CR",ROW('Work Items'!$A$6:$A$5000)-ROW('Work Items'!$A$6)+1),34)),"")</f>
        <v/>
      </c>
      <c r="I38">
        <f t="array" ref="I38">IFERROR(INDEX('Work Items'!$L$6:$L$5000,SMALL(IF('Work Items'!$A$6:$A$5000="CR",ROW('Work Items'!$A$6:$A$5000)-ROW('Work Items'!$A$6)+1),34)),"")</f>
        <v/>
      </c>
      <c r="J38" s="217">
        <f t="array" ref="J38">IFERROR(INDEX('Work Items'!$M$6:$M$5000,SMALL(IF('Work Items'!$A$6:$A$5000="CR",ROW('Work Items'!$A$6:$A$5000)-ROW('Work Items'!$A$6)+1),34)),"")</f>
        <v/>
      </c>
      <c r="K38" s="217">
        <f t="array" ref="K38">IFERROR(INDEX('Work Items'!$Q$6:$Q$5000,SMALL(IF('Work Items'!$A$6:$A$5000="CR",ROW('Work Items'!$A$6:$A$5000)-ROW('Work Items'!$A$6)+1),34)),"")</f>
        <v/>
      </c>
      <c r="L38">
        <f t="array" ref="L38">IFERROR(INDEX('Work Items'!$N$6:$N$5000,SMALL(IF('Work Items'!$A$6:$A$5000="CR",ROW('Work Items'!$A$6:$A$5000)-ROW('Work Items'!$A$6)+1),34)),"")</f>
        <v/>
      </c>
      <c r="M38">
        <f t="array" ref="M38">IFERROR(INDEX('Work Items'!$O$6:$O$5000,SMALL(IF('Work Items'!$A$6:$A$5000="CR",ROW('Work Items'!$A$6:$A$5000)-ROW('Work Items'!$A$6)+1),34)),"")</f>
        <v/>
      </c>
    </row>
    <row r="39">
      <c r="A39">
        <f t="array" ref="A39">IFERROR(INDEX('Work Items'!$A$6:$A$5000,SMALL(IF('Work Items'!$A$6:$A$5000="CR",ROW('Work Items'!$A$6:$A$5000)-ROW('Work Items'!$A$6)+1),35)),"")</f>
        <v/>
      </c>
      <c r="B39">
        <f t="array" ref="B39">IFERROR(INDEX('Work Items'!$B$6:$B$5000,SMALL(IF('Work Items'!$A$6:$A$5000="CR",ROW('Work Items'!$A$6:$A$5000)-ROW('Work Items'!$A$6)+1),35)),"")</f>
        <v/>
      </c>
      <c r="C39">
        <f t="array" ref="C39">IFERROR(INDEX('Work Items'!$C$6:$C$5000,SMALL(IF('Work Items'!$A$6:$A$5000="CR",ROW('Work Items'!$A$6:$A$5000)-ROW('Work Items'!$A$6)+1),35)),"")</f>
        <v/>
      </c>
      <c r="D39">
        <f t="array" ref="D39">IFERROR(INDEX('Work Items'!$D$6:$D$5000,SMALL(IF('Work Items'!$A$6:$A$5000="CR",ROW('Work Items'!$A$6:$A$5000)-ROW('Work Items'!$A$6)+1),35)),"")</f>
        <v/>
      </c>
      <c r="E39">
        <f t="array" ref="E39">IFERROR(INDEX('Work Items'!$E$6:$E$5000,SMALL(IF('Work Items'!$A$6:$A$5000="CR",ROW('Work Items'!$A$6:$A$5000)-ROW('Work Items'!$A$6)+1),35)),"")</f>
        <v/>
      </c>
      <c r="F39">
        <f t="array" ref="F39">IFERROR(INDEX('Work Items'!$F$6:$F$5000,SMALL(IF('Work Items'!$A$6:$A$5000="CR",ROW('Work Items'!$A$6:$A$5000)-ROW('Work Items'!$A$6)+1),35)),"")</f>
        <v/>
      </c>
      <c r="G39">
        <f t="array" ref="G39">IFERROR(INDEX('Work Items'!$J$6:$J$5000,SMALL(IF('Work Items'!$A$6:$A$5000="CR",ROW('Work Items'!$A$6:$A$5000)-ROW('Work Items'!$A$6)+1),35)),"")</f>
        <v/>
      </c>
      <c r="H39">
        <f t="array" ref="H39">IFERROR(INDEX('Work Items'!$K$6:$K$5000,SMALL(IF('Work Items'!$A$6:$A$5000="CR",ROW('Work Items'!$A$6:$A$5000)-ROW('Work Items'!$A$6)+1),35)),"")</f>
        <v/>
      </c>
      <c r="I39">
        <f t="array" ref="I39">IFERROR(INDEX('Work Items'!$L$6:$L$5000,SMALL(IF('Work Items'!$A$6:$A$5000="CR",ROW('Work Items'!$A$6:$A$5000)-ROW('Work Items'!$A$6)+1),35)),"")</f>
        <v/>
      </c>
      <c r="J39" s="217">
        <f t="array" ref="J39">IFERROR(INDEX('Work Items'!$M$6:$M$5000,SMALL(IF('Work Items'!$A$6:$A$5000="CR",ROW('Work Items'!$A$6:$A$5000)-ROW('Work Items'!$A$6)+1),35)),"")</f>
        <v/>
      </c>
      <c r="K39" s="217">
        <f t="array" ref="K39">IFERROR(INDEX('Work Items'!$Q$6:$Q$5000,SMALL(IF('Work Items'!$A$6:$A$5000="CR",ROW('Work Items'!$A$6:$A$5000)-ROW('Work Items'!$A$6)+1),35)),"")</f>
        <v/>
      </c>
      <c r="L39">
        <f t="array" ref="L39">IFERROR(INDEX('Work Items'!$N$6:$N$5000,SMALL(IF('Work Items'!$A$6:$A$5000="CR",ROW('Work Items'!$A$6:$A$5000)-ROW('Work Items'!$A$6)+1),35)),"")</f>
        <v/>
      </c>
      <c r="M39">
        <f t="array" ref="M39">IFERROR(INDEX('Work Items'!$O$6:$O$5000,SMALL(IF('Work Items'!$A$6:$A$5000="CR",ROW('Work Items'!$A$6:$A$5000)-ROW('Work Items'!$A$6)+1),35)),"")</f>
        <v/>
      </c>
    </row>
    <row r="40">
      <c r="A40">
        <f t="array" ref="A40">IFERROR(INDEX('Work Items'!$A$6:$A$5000,SMALL(IF('Work Items'!$A$6:$A$5000="CR",ROW('Work Items'!$A$6:$A$5000)-ROW('Work Items'!$A$6)+1),36)),"")</f>
        <v/>
      </c>
      <c r="B40">
        <f t="array" ref="B40">IFERROR(INDEX('Work Items'!$B$6:$B$5000,SMALL(IF('Work Items'!$A$6:$A$5000="CR",ROW('Work Items'!$A$6:$A$5000)-ROW('Work Items'!$A$6)+1),36)),"")</f>
        <v/>
      </c>
      <c r="C40">
        <f t="array" ref="C40">IFERROR(INDEX('Work Items'!$C$6:$C$5000,SMALL(IF('Work Items'!$A$6:$A$5000="CR",ROW('Work Items'!$A$6:$A$5000)-ROW('Work Items'!$A$6)+1),36)),"")</f>
        <v/>
      </c>
      <c r="D40">
        <f t="array" ref="D40">IFERROR(INDEX('Work Items'!$D$6:$D$5000,SMALL(IF('Work Items'!$A$6:$A$5000="CR",ROW('Work Items'!$A$6:$A$5000)-ROW('Work Items'!$A$6)+1),36)),"")</f>
        <v/>
      </c>
      <c r="E40">
        <f t="array" ref="E40">IFERROR(INDEX('Work Items'!$E$6:$E$5000,SMALL(IF('Work Items'!$A$6:$A$5000="CR",ROW('Work Items'!$A$6:$A$5000)-ROW('Work Items'!$A$6)+1),36)),"")</f>
        <v/>
      </c>
      <c r="F40">
        <f t="array" ref="F40">IFERROR(INDEX('Work Items'!$F$6:$F$5000,SMALL(IF('Work Items'!$A$6:$A$5000="CR",ROW('Work Items'!$A$6:$A$5000)-ROW('Work Items'!$A$6)+1),36)),"")</f>
        <v/>
      </c>
      <c r="G40">
        <f t="array" ref="G40">IFERROR(INDEX('Work Items'!$J$6:$J$5000,SMALL(IF('Work Items'!$A$6:$A$5000="CR",ROW('Work Items'!$A$6:$A$5000)-ROW('Work Items'!$A$6)+1),36)),"")</f>
        <v/>
      </c>
      <c r="H40">
        <f t="array" ref="H40">IFERROR(INDEX('Work Items'!$K$6:$K$5000,SMALL(IF('Work Items'!$A$6:$A$5000="CR",ROW('Work Items'!$A$6:$A$5000)-ROW('Work Items'!$A$6)+1),36)),"")</f>
        <v/>
      </c>
      <c r="I40">
        <f t="array" ref="I40">IFERROR(INDEX('Work Items'!$L$6:$L$5000,SMALL(IF('Work Items'!$A$6:$A$5000="CR",ROW('Work Items'!$A$6:$A$5000)-ROW('Work Items'!$A$6)+1),36)),"")</f>
        <v/>
      </c>
      <c r="J40" s="217">
        <f t="array" ref="J40">IFERROR(INDEX('Work Items'!$M$6:$M$5000,SMALL(IF('Work Items'!$A$6:$A$5000="CR",ROW('Work Items'!$A$6:$A$5000)-ROW('Work Items'!$A$6)+1),36)),"")</f>
        <v/>
      </c>
      <c r="K40" s="217">
        <f t="array" ref="K40">IFERROR(INDEX('Work Items'!$Q$6:$Q$5000,SMALL(IF('Work Items'!$A$6:$A$5000="CR",ROW('Work Items'!$A$6:$A$5000)-ROW('Work Items'!$A$6)+1),36)),"")</f>
        <v/>
      </c>
      <c r="L40">
        <f t="array" ref="L40">IFERROR(INDEX('Work Items'!$N$6:$N$5000,SMALL(IF('Work Items'!$A$6:$A$5000="CR",ROW('Work Items'!$A$6:$A$5000)-ROW('Work Items'!$A$6)+1),36)),"")</f>
        <v/>
      </c>
      <c r="M40">
        <f t="array" ref="M40">IFERROR(INDEX('Work Items'!$O$6:$O$5000,SMALL(IF('Work Items'!$A$6:$A$5000="CR",ROW('Work Items'!$A$6:$A$5000)-ROW('Work Items'!$A$6)+1),36)),"")</f>
        <v/>
      </c>
    </row>
    <row r="41">
      <c r="A41">
        <f t="array" ref="A41">IFERROR(INDEX('Work Items'!$A$6:$A$5000,SMALL(IF('Work Items'!$A$6:$A$5000="CR",ROW('Work Items'!$A$6:$A$5000)-ROW('Work Items'!$A$6)+1),37)),"")</f>
        <v/>
      </c>
      <c r="B41">
        <f t="array" ref="B41">IFERROR(INDEX('Work Items'!$B$6:$B$5000,SMALL(IF('Work Items'!$A$6:$A$5000="CR",ROW('Work Items'!$A$6:$A$5000)-ROW('Work Items'!$A$6)+1),37)),"")</f>
        <v/>
      </c>
      <c r="C41">
        <f t="array" ref="C41">IFERROR(INDEX('Work Items'!$C$6:$C$5000,SMALL(IF('Work Items'!$A$6:$A$5000="CR",ROW('Work Items'!$A$6:$A$5000)-ROW('Work Items'!$A$6)+1),37)),"")</f>
        <v/>
      </c>
      <c r="D41">
        <f t="array" ref="D41">IFERROR(INDEX('Work Items'!$D$6:$D$5000,SMALL(IF('Work Items'!$A$6:$A$5000="CR",ROW('Work Items'!$A$6:$A$5000)-ROW('Work Items'!$A$6)+1),37)),"")</f>
        <v/>
      </c>
      <c r="E41">
        <f t="array" ref="E41">IFERROR(INDEX('Work Items'!$E$6:$E$5000,SMALL(IF('Work Items'!$A$6:$A$5000="CR",ROW('Work Items'!$A$6:$A$5000)-ROW('Work Items'!$A$6)+1),37)),"")</f>
        <v/>
      </c>
      <c r="F41">
        <f t="array" ref="F41">IFERROR(INDEX('Work Items'!$F$6:$F$5000,SMALL(IF('Work Items'!$A$6:$A$5000="CR",ROW('Work Items'!$A$6:$A$5000)-ROW('Work Items'!$A$6)+1),37)),"")</f>
        <v/>
      </c>
      <c r="G41">
        <f t="array" ref="G41">IFERROR(INDEX('Work Items'!$J$6:$J$5000,SMALL(IF('Work Items'!$A$6:$A$5000="CR",ROW('Work Items'!$A$6:$A$5000)-ROW('Work Items'!$A$6)+1),37)),"")</f>
        <v/>
      </c>
      <c r="H41">
        <f t="array" ref="H41">IFERROR(INDEX('Work Items'!$K$6:$K$5000,SMALL(IF('Work Items'!$A$6:$A$5000="CR",ROW('Work Items'!$A$6:$A$5000)-ROW('Work Items'!$A$6)+1),37)),"")</f>
        <v/>
      </c>
      <c r="I41">
        <f t="array" ref="I41">IFERROR(INDEX('Work Items'!$L$6:$L$5000,SMALL(IF('Work Items'!$A$6:$A$5000="CR",ROW('Work Items'!$A$6:$A$5000)-ROW('Work Items'!$A$6)+1),37)),"")</f>
        <v/>
      </c>
      <c r="J41" s="217">
        <f t="array" ref="J41">IFERROR(INDEX('Work Items'!$M$6:$M$5000,SMALL(IF('Work Items'!$A$6:$A$5000="CR",ROW('Work Items'!$A$6:$A$5000)-ROW('Work Items'!$A$6)+1),37)),"")</f>
        <v/>
      </c>
      <c r="K41" s="217">
        <f t="array" ref="K41">IFERROR(INDEX('Work Items'!$Q$6:$Q$5000,SMALL(IF('Work Items'!$A$6:$A$5000="CR",ROW('Work Items'!$A$6:$A$5000)-ROW('Work Items'!$A$6)+1),37)),"")</f>
        <v/>
      </c>
      <c r="L41">
        <f t="array" ref="L41">IFERROR(INDEX('Work Items'!$N$6:$N$5000,SMALL(IF('Work Items'!$A$6:$A$5000="CR",ROW('Work Items'!$A$6:$A$5000)-ROW('Work Items'!$A$6)+1),37)),"")</f>
        <v/>
      </c>
      <c r="M41">
        <f t="array" ref="M41">IFERROR(INDEX('Work Items'!$O$6:$O$5000,SMALL(IF('Work Items'!$A$6:$A$5000="CR",ROW('Work Items'!$A$6:$A$5000)-ROW('Work Items'!$A$6)+1),37)),"")</f>
        <v/>
      </c>
    </row>
    <row r="42">
      <c r="A42">
        <f t="array" ref="A42">IFERROR(INDEX('Work Items'!$A$6:$A$5000,SMALL(IF('Work Items'!$A$6:$A$5000="CR",ROW('Work Items'!$A$6:$A$5000)-ROW('Work Items'!$A$6)+1),38)),"")</f>
        <v/>
      </c>
      <c r="B42">
        <f t="array" ref="B42">IFERROR(INDEX('Work Items'!$B$6:$B$5000,SMALL(IF('Work Items'!$A$6:$A$5000="CR",ROW('Work Items'!$A$6:$A$5000)-ROW('Work Items'!$A$6)+1),38)),"")</f>
        <v/>
      </c>
      <c r="C42">
        <f t="array" ref="C42">IFERROR(INDEX('Work Items'!$C$6:$C$5000,SMALL(IF('Work Items'!$A$6:$A$5000="CR",ROW('Work Items'!$A$6:$A$5000)-ROW('Work Items'!$A$6)+1),38)),"")</f>
        <v/>
      </c>
      <c r="D42">
        <f t="array" ref="D42">IFERROR(INDEX('Work Items'!$D$6:$D$5000,SMALL(IF('Work Items'!$A$6:$A$5000="CR",ROW('Work Items'!$A$6:$A$5000)-ROW('Work Items'!$A$6)+1),38)),"")</f>
        <v/>
      </c>
      <c r="E42">
        <f t="array" ref="E42">IFERROR(INDEX('Work Items'!$E$6:$E$5000,SMALL(IF('Work Items'!$A$6:$A$5000="CR",ROW('Work Items'!$A$6:$A$5000)-ROW('Work Items'!$A$6)+1),38)),"")</f>
        <v/>
      </c>
      <c r="F42">
        <f t="array" ref="F42">IFERROR(INDEX('Work Items'!$F$6:$F$5000,SMALL(IF('Work Items'!$A$6:$A$5000="CR",ROW('Work Items'!$A$6:$A$5000)-ROW('Work Items'!$A$6)+1),38)),"")</f>
        <v/>
      </c>
      <c r="G42">
        <f t="array" ref="G42">IFERROR(INDEX('Work Items'!$J$6:$J$5000,SMALL(IF('Work Items'!$A$6:$A$5000="CR",ROW('Work Items'!$A$6:$A$5000)-ROW('Work Items'!$A$6)+1),38)),"")</f>
        <v/>
      </c>
      <c r="H42">
        <f t="array" ref="H42">IFERROR(INDEX('Work Items'!$K$6:$K$5000,SMALL(IF('Work Items'!$A$6:$A$5000="CR",ROW('Work Items'!$A$6:$A$5000)-ROW('Work Items'!$A$6)+1),38)),"")</f>
        <v/>
      </c>
      <c r="I42">
        <f t="array" ref="I42">IFERROR(INDEX('Work Items'!$L$6:$L$5000,SMALL(IF('Work Items'!$A$6:$A$5000="CR",ROW('Work Items'!$A$6:$A$5000)-ROW('Work Items'!$A$6)+1),38)),"")</f>
        <v/>
      </c>
      <c r="J42" s="217">
        <f t="array" ref="J42">IFERROR(INDEX('Work Items'!$M$6:$M$5000,SMALL(IF('Work Items'!$A$6:$A$5000="CR",ROW('Work Items'!$A$6:$A$5000)-ROW('Work Items'!$A$6)+1),38)),"")</f>
        <v/>
      </c>
      <c r="K42" s="217">
        <f t="array" ref="K42">IFERROR(INDEX('Work Items'!$Q$6:$Q$5000,SMALL(IF('Work Items'!$A$6:$A$5000="CR",ROW('Work Items'!$A$6:$A$5000)-ROW('Work Items'!$A$6)+1),38)),"")</f>
        <v/>
      </c>
      <c r="L42">
        <f t="array" ref="L42">IFERROR(INDEX('Work Items'!$N$6:$N$5000,SMALL(IF('Work Items'!$A$6:$A$5000="CR",ROW('Work Items'!$A$6:$A$5000)-ROW('Work Items'!$A$6)+1),38)),"")</f>
        <v/>
      </c>
      <c r="M42">
        <f t="array" ref="M42">IFERROR(INDEX('Work Items'!$O$6:$O$5000,SMALL(IF('Work Items'!$A$6:$A$5000="CR",ROW('Work Items'!$A$6:$A$5000)-ROW('Work Items'!$A$6)+1),38)),"")</f>
        <v/>
      </c>
    </row>
    <row r="43">
      <c r="A43">
        <f t="array" ref="A43">IFERROR(INDEX('Work Items'!$A$6:$A$5000,SMALL(IF('Work Items'!$A$6:$A$5000="CR",ROW('Work Items'!$A$6:$A$5000)-ROW('Work Items'!$A$6)+1),39)),"")</f>
        <v/>
      </c>
      <c r="B43">
        <f t="array" ref="B43">IFERROR(INDEX('Work Items'!$B$6:$B$5000,SMALL(IF('Work Items'!$A$6:$A$5000="CR",ROW('Work Items'!$A$6:$A$5000)-ROW('Work Items'!$A$6)+1),39)),"")</f>
        <v/>
      </c>
      <c r="C43">
        <f t="array" ref="C43">IFERROR(INDEX('Work Items'!$C$6:$C$5000,SMALL(IF('Work Items'!$A$6:$A$5000="CR",ROW('Work Items'!$A$6:$A$5000)-ROW('Work Items'!$A$6)+1),39)),"")</f>
        <v/>
      </c>
      <c r="D43">
        <f t="array" ref="D43">IFERROR(INDEX('Work Items'!$D$6:$D$5000,SMALL(IF('Work Items'!$A$6:$A$5000="CR",ROW('Work Items'!$A$6:$A$5000)-ROW('Work Items'!$A$6)+1),39)),"")</f>
        <v/>
      </c>
      <c r="E43">
        <f t="array" ref="E43">IFERROR(INDEX('Work Items'!$E$6:$E$5000,SMALL(IF('Work Items'!$A$6:$A$5000="CR",ROW('Work Items'!$A$6:$A$5000)-ROW('Work Items'!$A$6)+1),39)),"")</f>
        <v/>
      </c>
      <c r="F43">
        <f t="array" ref="F43">IFERROR(INDEX('Work Items'!$F$6:$F$5000,SMALL(IF('Work Items'!$A$6:$A$5000="CR",ROW('Work Items'!$A$6:$A$5000)-ROW('Work Items'!$A$6)+1),39)),"")</f>
        <v/>
      </c>
      <c r="G43">
        <f t="array" ref="G43">IFERROR(INDEX('Work Items'!$J$6:$J$5000,SMALL(IF('Work Items'!$A$6:$A$5000="CR",ROW('Work Items'!$A$6:$A$5000)-ROW('Work Items'!$A$6)+1),39)),"")</f>
        <v/>
      </c>
      <c r="H43">
        <f t="array" ref="H43">IFERROR(INDEX('Work Items'!$K$6:$K$5000,SMALL(IF('Work Items'!$A$6:$A$5000="CR",ROW('Work Items'!$A$6:$A$5000)-ROW('Work Items'!$A$6)+1),39)),"")</f>
        <v/>
      </c>
      <c r="I43">
        <f t="array" ref="I43">IFERROR(INDEX('Work Items'!$L$6:$L$5000,SMALL(IF('Work Items'!$A$6:$A$5000="CR",ROW('Work Items'!$A$6:$A$5000)-ROW('Work Items'!$A$6)+1),39)),"")</f>
        <v/>
      </c>
      <c r="J43" s="217">
        <f t="array" ref="J43">IFERROR(INDEX('Work Items'!$M$6:$M$5000,SMALL(IF('Work Items'!$A$6:$A$5000="CR",ROW('Work Items'!$A$6:$A$5000)-ROW('Work Items'!$A$6)+1),39)),"")</f>
        <v/>
      </c>
      <c r="K43" s="217">
        <f t="array" ref="K43">IFERROR(INDEX('Work Items'!$Q$6:$Q$5000,SMALL(IF('Work Items'!$A$6:$A$5000="CR",ROW('Work Items'!$A$6:$A$5000)-ROW('Work Items'!$A$6)+1),39)),"")</f>
        <v/>
      </c>
      <c r="L43">
        <f t="array" ref="L43">IFERROR(INDEX('Work Items'!$N$6:$N$5000,SMALL(IF('Work Items'!$A$6:$A$5000="CR",ROW('Work Items'!$A$6:$A$5000)-ROW('Work Items'!$A$6)+1),39)),"")</f>
        <v/>
      </c>
      <c r="M43">
        <f t="array" ref="M43">IFERROR(INDEX('Work Items'!$O$6:$O$5000,SMALL(IF('Work Items'!$A$6:$A$5000="CR",ROW('Work Items'!$A$6:$A$5000)-ROW('Work Items'!$A$6)+1),39)),"")</f>
        <v/>
      </c>
    </row>
    <row r="44">
      <c r="A44">
        <f t="array" ref="A44">IFERROR(INDEX('Work Items'!$A$6:$A$5000,SMALL(IF('Work Items'!$A$6:$A$5000="CR",ROW('Work Items'!$A$6:$A$5000)-ROW('Work Items'!$A$6)+1),40)),"")</f>
        <v/>
      </c>
      <c r="B44">
        <f t="array" ref="B44">IFERROR(INDEX('Work Items'!$B$6:$B$5000,SMALL(IF('Work Items'!$A$6:$A$5000="CR",ROW('Work Items'!$A$6:$A$5000)-ROW('Work Items'!$A$6)+1),40)),"")</f>
        <v/>
      </c>
      <c r="C44">
        <f t="array" ref="C44">IFERROR(INDEX('Work Items'!$C$6:$C$5000,SMALL(IF('Work Items'!$A$6:$A$5000="CR",ROW('Work Items'!$A$6:$A$5000)-ROW('Work Items'!$A$6)+1),40)),"")</f>
        <v/>
      </c>
      <c r="D44">
        <f t="array" ref="D44">IFERROR(INDEX('Work Items'!$D$6:$D$5000,SMALL(IF('Work Items'!$A$6:$A$5000="CR",ROW('Work Items'!$A$6:$A$5000)-ROW('Work Items'!$A$6)+1),40)),"")</f>
        <v/>
      </c>
      <c r="E44">
        <f t="array" ref="E44">IFERROR(INDEX('Work Items'!$E$6:$E$5000,SMALL(IF('Work Items'!$A$6:$A$5000="CR",ROW('Work Items'!$A$6:$A$5000)-ROW('Work Items'!$A$6)+1),40)),"")</f>
        <v/>
      </c>
      <c r="F44">
        <f t="array" ref="F44">IFERROR(INDEX('Work Items'!$F$6:$F$5000,SMALL(IF('Work Items'!$A$6:$A$5000="CR",ROW('Work Items'!$A$6:$A$5000)-ROW('Work Items'!$A$6)+1),40)),"")</f>
        <v/>
      </c>
      <c r="G44">
        <f t="array" ref="G44">IFERROR(INDEX('Work Items'!$J$6:$J$5000,SMALL(IF('Work Items'!$A$6:$A$5000="CR",ROW('Work Items'!$A$6:$A$5000)-ROW('Work Items'!$A$6)+1),40)),"")</f>
        <v/>
      </c>
      <c r="H44">
        <f t="array" ref="H44">IFERROR(INDEX('Work Items'!$K$6:$K$5000,SMALL(IF('Work Items'!$A$6:$A$5000="CR",ROW('Work Items'!$A$6:$A$5000)-ROW('Work Items'!$A$6)+1),40)),"")</f>
        <v/>
      </c>
      <c r="I44">
        <f t="array" ref="I44">IFERROR(INDEX('Work Items'!$L$6:$L$5000,SMALL(IF('Work Items'!$A$6:$A$5000="CR",ROW('Work Items'!$A$6:$A$5000)-ROW('Work Items'!$A$6)+1),40)),"")</f>
        <v/>
      </c>
      <c r="J44" s="217">
        <f t="array" ref="J44">IFERROR(INDEX('Work Items'!$M$6:$M$5000,SMALL(IF('Work Items'!$A$6:$A$5000="CR",ROW('Work Items'!$A$6:$A$5000)-ROW('Work Items'!$A$6)+1),40)),"")</f>
        <v/>
      </c>
      <c r="K44" s="217">
        <f t="array" ref="K44">IFERROR(INDEX('Work Items'!$Q$6:$Q$5000,SMALL(IF('Work Items'!$A$6:$A$5000="CR",ROW('Work Items'!$A$6:$A$5000)-ROW('Work Items'!$A$6)+1),40)),"")</f>
        <v/>
      </c>
      <c r="L44">
        <f t="array" ref="L44">IFERROR(INDEX('Work Items'!$N$6:$N$5000,SMALL(IF('Work Items'!$A$6:$A$5000="CR",ROW('Work Items'!$A$6:$A$5000)-ROW('Work Items'!$A$6)+1),40)),"")</f>
        <v/>
      </c>
      <c r="M44">
        <f t="array" ref="M44">IFERROR(INDEX('Work Items'!$O$6:$O$5000,SMALL(IF('Work Items'!$A$6:$A$5000="CR",ROW('Work Items'!$A$6:$A$5000)-ROW('Work Items'!$A$6)+1),40)),"")</f>
        <v/>
      </c>
    </row>
    <row r="45">
      <c r="A45">
        <f t="array" ref="A45">IFERROR(INDEX('Work Items'!$A$6:$A$5000,SMALL(IF('Work Items'!$A$6:$A$5000="CR",ROW('Work Items'!$A$6:$A$5000)-ROW('Work Items'!$A$6)+1),41)),"")</f>
        <v/>
      </c>
      <c r="B45">
        <f t="array" ref="B45">IFERROR(INDEX('Work Items'!$B$6:$B$5000,SMALL(IF('Work Items'!$A$6:$A$5000="CR",ROW('Work Items'!$A$6:$A$5000)-ROW('Work Items'!$A$6)+1),41)),"")</f>
        <v/>
      </c>
      <c r="C45">
        <f t="array" ref="C45">IFERROR(INDEX('Work Items'!$C$6:$C$5000,SMALL(IF('Work Items'!$A$6:$A$5000="CR",ROW('Work Items'!$A$6:$A$5000)-ROW('Work Items'!$A$6)+1),41)),"")</f>
        <v/>
      </c>
      <c r="D45">
        <f t="array" ref="D45">IFERROR(INDEX('Work Items'!$D$6:$D$5000,SMALL(IF('Work Items'!$A$6:$A$5000="CR",ROW('Work Items'!$A$6:$A$5000)-ROW('Work Items'!$A$6)+1),41)),"")</f>
        <v/>
      </c>
      <c r="E45">
        <f t="array" ref="E45">IFERROR(INDEX('Work Items'!$E$6:$E$5000,SMALL(IF('Work Items'!$A$6:$A$5000="CR",ROW('Work Items'!$A$6:$A$5000)-ROW('Work Items'!$A$6)+1),41)),"")</f>
        <v/>
      </c>
      <c r="F45">
        <f t="array" ref="F45">IFERROR(INDEX('Work Items'!$F$6:$F$5000,SMALL(IF('Work Items'!$A$6:$A$5000="CR",ROW('Work Items'!$A$6:$A$5000)-ROW('Work Items'!$A$6)+1),41)),"")</f>
        <v/>
      </c>
      <c r="G45">
        <f t="array" ref="G45">IFERROR(INDEX('Work Items'!$J$6:$J$5000,SMALL(IF('Work Items'!$A$6:$A$5000="CR",ROW('Work Items'!$A$6:$A$5000)-ROW('Work Items'!$A$6)+1),41)),"")</f>
        <v/>
      </c>
      <c r="H45">
        <f t="array" ref="H45">IFERROR(INDEX('Work Items'!$K$6:$K$5000,SMALL(IF('Work Items'!$A$6:$A$5000="CR",ROW('Work Items'!$A$6:$A$5000)-ROW('Work Items'!$A$6)+1),41)),"")</f>
        <v/>
      </c>
      <c r="I45">
        <f t="array" ref="I45">IFERROR(INDEX('Work Items'!$L$6:$L$5000,SMALL(IF('Work Items'!$A$6:$A$5000="CR",ROW('Work Items'!$A$6:$A$5000)-ROW('Work Items'!$A$6)+1),41)),"")</f>
        <v/>
      </c>
      <c r="J45" s="217">
        <f t="array" ref="J45">IFERROR(INDEX('Work Items'!$M$6:$M$5000,SMALL(IF('Work Items'!$A$6:$A$5000="CR",ROW('Work Items'!$A$6:$A$5000)-ROW('Work Items'!$A$6)+1),41)),"")</f>
        <v/>
      </c>
      <c r="K45" s="217">
        <f t="array" ref="K45">IFERROR(INDEX('Work Items'!$Q$6:$Q$5000,SMALL(IF('Work Items'!$A$6:$A$5000="CR",ROW('Work Items'!$A$6:$A$5000)-ROW('Work Items'!$A$6)+1),41)),"")</f>
        <v/>
      </c>
      <c r="L45">
        <f t="array" ref="L45">IFERROR(INDEX('Work Items'!$N$6:$N$5000,SMALL(IF('Work Items'!$A$6:$A$5000="CR",ROW('Work Items'!$A$6:$A$5000)-ROW('Work Items'!$A$6)+1),41)),"")</f>
        <v/>
      </c>
      <c r="M45">
        <f t="array" ref="M45">IFERROR(INDEX('Work Items'!$O$6:$O$5000,SMALL(IF('Work Items'!$A$6:$A$5000="CR",ROW('Work Items'!$A$6:$A$5000)-ROW('Work Items'!$A$6)+1),41)),"")</f>
        <v/>
      </c>
    </row>
    <row r="46">
      <c r="A46">
        <f t="array" ref="A46">IFERROR(INDEX('Work Items'!$A$6:$A$5000,SMALL(IF('Work Items'!$A$6:$A$5000="CR",ROW('Work Items'!$A$6:$A$5000)-ROW('Work Items'!$A$6)+1),42)),"")</f>
        <v/>
      </c>
      <c r="B46">
        <f t="array" ref="B46">IFERROR(INDEX('Work Items'!$B$6:$B$5000,SMALL(IF('Work Items'!$A$6:$A$5000="CR",ROW('Work Items'!$A$6:$A$5000)-ROW('Work Items'!$A$6)+1),42)),"")</f>
        <v/>
      </c>
      <c r="C46">
        <f t="array" ref="C46">IFERROR(INDEX('Work Items'!$C$6:$C$5000,SMALL(IF('Work Items'!$A$6:$A$5000="CR",ROW('Work Items'!$A$6:$A$5000)-ROW('Work Items'!$A$6)+1),42)),"")</f>
        <v/>
      </c>
      <c r="D46">
        <f t="array" ref="D46">IFERROR(INDEX('Work Items'!$D$6:$D$5000,SMALL(IF('Work Items'!$A$6:$A$5000="CR",ROW('Work Items'!$A$6:$A$5000)-ROW('Work Items'!$A$6)+1),42)),"")</f>
        <v/>
      </c>
      <c r="E46">
        <f t="array" ref="E46">IFERROR(INDEX('Work Items'!$E$6:$E$5000,SMALL(IF('Work Items'!$A$6:$A$5000="CR",ROW('Work Items'!$A$6:$A$5000)-ROW('Work Items'!$A$6)+1),42)),"")</f>
        <v/>
      </c>
      <c r="F46">
        <f t="array" ref="F46">IFERROR(INDEX('Work Items'!$F$6:$F$5000,SMALL(IF('Work Items'!$A$6:$A$5000="CR",ROW('Work Items'!$A$6:$A$5000)-ROW('Work Items'!$A$6)+1),42)),"")</f>
        <v/>
      </c>
      <c r="G46">
        <f t="array" ref="G46">IFERROR(INDEX('Work Items'!$J$6:$J$5000,SMALL(IF('Work Items'!$A$6:$A$5000="CR",ROW('Work Items'!$A$6:$A$5000)-ROW('Work Items'!$A$6)+1),42)),"")</f>
        <v/>
      </c>
      <c r="H46">
        <f t="array" ref="H46">IFERROR(INDEX('Work Items'!$K$6:$K$5000,SMALL(IF('Work Items'!$A$6:$A$5000="CR",ROW('Work Items'!$A$6:$A$5000)-ROW('Work Items'!$A$6)+1),42)),"")</f>
        <v/>
      </c>
      <c r="I46">
        <f t="array" ref="I46">IFERROR(INDEX('Work Items'!$L$6:$L$5000,SMALL(IF('Work Items'!$A$6:$A$5000="CR",ROW('Work Items'!$A$6:$A$5000)-ROW('Work Items'!$A$6)+1),42)),"")</f>
        <v/>
      </c>
      <c r="J46" s="217">
        <f t="array" ref="J46">IFERROR(INDEX('Work Items'!$M$6:$M$5000,SMALL(IF('Work Items'!$A$6:$A$5000="CR",ROW('Work Items'!$A$6:$A$5000)-ROW('Work Items'!$A$6)+1),42)),"")</f>
        <v/>
      </c>
      <c r="K46" s="217">
        <f t="array" ref="K46">IFERROR(INDEX('Work Items'!$Q$6:$Q$5000,SMALL(IF('Work Items'!$A$6:$A$5000="CR",ROW('Work Items'!$A$6:$A$5000)-ROW('Work Items'!$A$6)+1),42)),"")</f>
        <v/>
      </c>
      <c r="L46">
        <f t="array" ref="L46">IFERROR(INDEX('Work Items'!$N$6:$N$5000,SMALL(IF('Work Items'!$A$6:$A$5000="CR",ROW('Work Items'!$A$6:$A$5000)-ROW('Work Items'!$A$6)+1),42)),"")</f>
        <v/>
      </c>
      <c r="M46">
        <f t="array" ref="M46">IFERROR(INDEX('Work Items'!$O$6:$O$5000,SMALL(IF('Work Items'!$A$6:$A$5000="CR",ROW('Work Items'!$A$6:$A$5000)-ROW('Work Items'!$A$6)+1),42)),"")</f>
        <v/>
      </c>
    </row>
    <row r="47">
      <c r="A47">
        <f t="array" ref="A47">IFERROR(INDEX('Work Items'!$A$6:$A$5000,SMALL(IF('Work Items'!$A$6:$A$5000="CR",ROW('Work Items'!$A$6:$A$5000)-ROW('Work Items'!$A$6)+1),43)),"")</f>
        <v/>
      </c>
      <c r="B47">
        <f t="array" ref="B47">IFERROR(INDEX('Work Items'!$B$6:$B$5000,SMALL(IF('Work Items'!$A$6:$A$5000="CR",ROW('Work Items'!$A$6:$A$5000)-ROW('Work Items'!$A$6)+1),43)),"")</f>
        <v/>
      </c>
      <c r="C47">
        <f t="array" ref="C47">IFERROR(INDEX('Work Items'!$C$6:$C$5000,SMALL(IF('Work Items'!$A$6:$A$5000="CR",ROW('Work Items'!$A$6:$A$5000)-ROW('Work Items'!$A$6)+1),43)),"")</f>
        <v/>
      </c>
      <c r="D47">
        <f t="array" ref="D47">IFERROR(INDEX('Work Items'!$D$6:$D$5000,SMALL(IF('Work Items'!$A$6:$A$5000="CR",ROW('Work Items'!$A$6:$A$5000)-ROW('Work Items'!$A$6)+1),43)),"")</f>
        <v/>
      </c>
      <c r="E47">
        <f t="array" ref="E47">IFERROR(INDEX('Work Items'!$E$6:$E$5000,SMALL(IF('Work Items'!$A$6:$A$5000="CR",ROW('Work Items'!$A$6:$A$5000)-ROW('Work Items'!$A$6)+1),43)),"")</f>
        <v/>
      </c>
      <c r="F47">
        <f t="array" ref="F47">IFERROR(INDEX('Work Items'!$F$6:$F$5000,SMALL(IF('Work Items'!$A$6:$A$5000="CR",ROW('Work Items'!$A$6:$A$5000)-ROW('Work Items'!$A$6)+1),43)),"")</f>
        <v/>
      </c>
      <c r="G47">
        <f t="array" ref="G47">IFERROR(INDEX('Work Items'!$J$6:$J$5000,SMALL(IF('Work Items'!$A$6:$A$5000="CR",ROW('Work Items'!$A$6:$A$5000)-ROW('Work Items'!$A$6)+1),43)),"")</f>
        <v/>
      </c>
      <c r="H47">
        <f t="array" ref="H47">IFERROR(INDEX('Work Items'!$K$6:$K$5000,SMALL(IF('Work Items'!$A$6:$A$5000="CR",ROW('Work Items'!$A$6:$A$5000)-ROW('Work Items'!$A$6)+1),43)),"")</f>
        <v/>
      </c>
      <c r="I47">
        <f t="array" ref="I47">IFERROR(INDEX('Work Items'!$L$6:$L$5000,SMALL(IF('Work Items'!$A$6:$A$5000="CR",ROW('Work Items'!$A$6:$A$5000)-ROW('Work Items'!$A$6)+1),43)),"")</f>
        <v/>
      </c>
      <c r="J47" s="217">
        <f t="array" ref="J47">IFERROR(INDEX('Work Items'!$M$6:$M$5000,SMALL(IF('Work Items'!$A$6:$A$5000="CR",ROW('Work Items'!$A$6:$A$5000)-ROW('Work Items'!$A$6)+1),43)),"")</f>
        <v/>
      </c>
      <c r="K47" s="217">
        <f t="array" ref="K47">IFERROR(INDEX('Work Items'!$Q$6:$Q$5000,SMALL(IF('Work Items'!$A$6:$A$5000="CR",ROW('Work Items'!$A$6:$A$5000)-ROW('Work Items'!$A$6)+1),43)),"")</f>
        <v/>
      </c>
      <c r="L47">
        <f t="array" ref="L47">IFERROR(INDEX('Work Items'!$N$6:$N$5000,SMALL(IF('Work Items'!$A$6:$A$5000="CR",ROW('Work Items'!$A$6:$A$5000)-ROW('Work Items'!$A$6)+1),43)),"")</f>
        <v/>
      </c>
      <c r="M47">
        <f t="array" ref="M47">IFERROR(INDEX('Work Items'!$O$6:$O$5000,SMALL(IF('Work Items'!$A$6:$A$5000="CR",ROW('Work Items'!$A$6:$A$5000)-ROW('Work Items'!$A$6)+1),43)),"")</f>
        <v/>
      </c>
    </row>
    <row r="48">
      <c r="A48">
        <f t="array" ref="A48">IFERROR(INDEX('Work Items'!$A$6:$A$5000,SMALL(IF('Work Items'!$A$6:$A$5000="CR",ROW('Work Items'!$A$6:$A$5000)-ROW('Work Items'!$A$6)+1),44)),"")</f>
        <v/>
      </c>
      <c r="B48">
        <f t="array" ref="B48">IFERROR(INDEX('Work Items'!$B$6:$B$5000,SMALL(IF('Work Items'!$A$6:$A$5000="CR",ROW('Work Items'!$A$6:$A$5000)-ROW('Work Items'!$A$6)+1),44)),"")</f>
        <v/>
      </c>
      <c r="C48">
        <f t="array" ref="C48">IFERROR(INDEX('Work Items'!$C$6:$C$5000,SMALL(IF('Work Items'!$A$6:$A$5000="CR",ROW('Work Items'!$A$6:$A$5000)-ROW('Work Items'!$A$6)+1),44)),"")</f>
        <v/>
      </c>
      <c r="D48">
        <f t="array" ref="D48">IFERROR(INDEX('Work Items'!$D$6:$D$5000,SMALL(IF('Work Items'!$A$6:$A$5000="CR",ROW('Work Items'!$A$6:$A$5000)-ROW('Work Items'!$A$6)+1),44)),"")</f>
        <v/>
      </c>
      <c r="E48">
        <f t="array" ref="E48">IFERROR(INDEX('Work Items'!$E$6:$E$5000,SMALL(IF('Work Items'!$A$6:$A$5000="CR",ROW('Work Items'!$A$6:$A$5000)-ROW('Work Items'!$A$6)+1),44)),"")</f>
        <v/>
      </c>
      <c r="F48">
        <f t="array" ref="F48">IFERROR(INDEX('Work Items'!$F$6:$F$5000,SMALL(IF('Work Items'!$A$6:$A$5000="CR",ROW('Work Items'!$A$6:$A$5000)-ROW('Work Items'!$A$6)+1),44)),"")</f>
        <v/>
      </c>
      <c r="G48">
        <f t="array" ref="G48">IFERROR(INDEX('Work Items'!$J$6:$J$5000,SMALL(IF('Work Items'!$A$6:$A$5000="CR",ROW('Work Items'!$A$6:$A$5000)-ROW('Work Items'!$A$6)+1),44)),"")</f>
        <v/>
      </c>
      <c r="H48">
        <f t="array" ref="H48">IFERROR(INDEX('Work Items'!$K$6:$K$5000,SMALL(IF('Work Items'!$A$6:$A$5000="CR",ROW('Work Items'!$A$6:$A$5000)-ROW('Work Items'!$A$6)+1),44)),"")</f>
        <v/>
      </c>
      <c r="I48">
        <f t="array" ref="I48">IFERROR(INDEX('Work Items'!$L$6:$L$5000,SMALL(IF('Work Items'!$A$6:$A$5000="CR",ROW('Work Items'!$A$6:$A$5000)-ROW('Work Items'!$A$6)+1),44)),"")</f>
        <v/>
      </c>
      <c r="J48" s="217">
        <f t="array" ref="J48">IFERROR(INDEX('Work Items'!$M$6:$M$5000,SMALL(IF('Work Items'!$A$6:$A$5000="CR",ROW('Work Items'!$A$6:$A$5000)-ROW('Work Items'!$A$6)+1),44)),"")</f>
        <v/>
      </c>
      <c r="K48" s="217">
        <f t="array" ref="K48">IFERROR(INDEX('Work Items'!$Q$6:$Q$5000,SMALL(IF('Work Items'!$A$6:$A$5000="CR",ROW('Work Items'!$A$6:$A$5000)-ROW('Work Items'!$A$6)+1),44)),"")</f>
        <v/>
      </c>
      <c r="L48">
        <f t="array" ref="L48">IFERROR(INDEX('Work Items'!$N$6:$N$5000,SMALL(IF('Work Items'!$A$6:$A$5000="CR",ROW('Work Items'!$A$6:$A$5000)-ROW('Work Items'!$A$6)+1),44)),"")</f>
        <v/>
      </c>
      <c r="M48">
        <f t="array" ref="M48">IFERROR(INDEX('Work Items'!$O$6:$O$5000,SMALL(IF('Work Items'!$A$6:$A$5000="CR",ROW('Work Items'!$A$6:$A$5000)-ROW('Work Items'!$A$6)+1),44)),"")</f>
        <v/>
      </c>
    </row>
    <row r="49">
      <c r="A49">
        <f t="array" ref="A49">IFERROR(INDEX('Work Items'!$A$6:$A$5000,SMALL(IF('Work Items'!$A$6:$A$5000="CR",ROW('Work Items'!$A$6:$A$5000)-ROW('Work Items'!$A$6)+1),45)),"")</f>
        <v/>
      </c>
      <c r="B49">
        <f t="array" ref="B49">IFERROR(INDEX('Work Items'!$B$6:$B$5000,SMALL(IF('Work Items'!$A$6:$A$5000="CR",ROW('Work Items'!$A$6:$A$5000)-ROW('Work Items'!$A$6)+1),45)),"")</f>
        <v/>
      </c>
      <c r="C49">
        <f t="array" ref="C49">IFERROR(INDEX('Work Items'!$C$6:$C$5000,SMALL(IF('Work Items'!$A$6:$A$5000="CR",ROW('Work Items'!$A$6:$A$5000)-ROW('Work Items'!$A$6)+1),45)),"")</f>
        <v/>
      </c>
      <c r="D49">
        <f t="array" ref="D49">IFERROR(INDEX('Work Items'!$D$6:$D$5000,SMALL(IF('Work Items'!$A$6:$A$5000="CR",ROW('Work Items'!$A$6:$A$5000)-ROW('Work Items'!$A$6)+1),45)),"")</f>
        <v/>
      </c>
      <c r="E49">
        <f t="array" ref="E49">IFERROR(INDEX('Work Items'!$E$6:$E$5000,SMALL(IF('Work Items'!$A$6:$A$5000="CR",ROW('Work Items'!$A$6:$A$5000)-ROW('Work Items'!$A$6)+1),45)),"")</f>
        <v/>
      </c>
      <c r="F49">
        <f t="array" ref="F49">IFERROR(INDEX('Work Items'!$F$6:$F$5000,SMALL(IF('Work Items'!$A$6:$A$5000="CR",ROW('Work Items'!$A$6:$A$5000)-ROW('Work Items'!$A$6)+1),45)),"")</f>
        <v/>
      </c>
      <c r="G49">
        <f t="array" ref="G49">IFERROR(INDEX('Work Items'!$J$6:$J$5000,SMALL(IF('Work Items'!$A$6:$A$5000="CR",ROW('Work Items'!$A$6:$A$5000)-ROW('Work Items'!$A$6)+1),45)),"")</f>
        <v/>
      </c>
      <c r="H49">
        <f t="array" ref="H49">IFERROR(INDEX('Work Items'!$K$6:$K$5000,SMALL(IF('Work Items'!$A$6:$A$5000="CR",ROW('Work Items'!$A$6:$A$5000)-ROW('Work Items'!$A$6)+1),45)),"")</f>
        <v/>
      </c>
      <c r="I49">
        <f t="array" ref="I49">IFERROR(INDEX('Work Items'!$L$6:$L$5000,SMALL(IF('Work Items'!$A$6:$A$5000="CR",ROW('Work Items'!$A$6:$A$5000)-ROW('Work Items'!$A$6)+1),45)),"")</f>
        <v/>
      </c>
      <c r="J49" s="217">
        <f t="array" ref="J49">IFERROR(INDEX('Work Items'!$M$6:$M$5000,SMALL(IF('Work Items'!$A$6:$A$5000="CR",ROW('Work Items'!$A$6:$A$5000)-ROW('Work Items'!$A$6)+1),45)),"")</f>
        <v/>
      </c>
      <c r="K49" s="217">
        <f t="array" ref="K49">IFERROR(INDEX('Work Items'!$Q$6:$Q$5000,SMALL(IF('Work Items'!$A$6:$A$5000="CR",ROW('Work Items'!$A$6:$A$5000)-ROW('Work Items'!$A$6)+1),45)),"")</f>
        <v/>
      </c>
      <c r="L49">
        <f t="array" ref="L49">IFERROR(INDEX('Work Items'!$N$6:$N$5000,SMALL(IF('Work Items'!$A$6:$A$5000="CR",ROW('Work Items'!$A$6:$A$5000)-ROW('Work Items'!$A$6)+1),45)),"")</f>
        <v/>
      </c>
      <c r="M49">
        <f t="array" ref="M49">IFERROR(INDEX('Work Items'!$O$6:$O$5000,SMALL(IF('Work Items'!$A$6:$A$5000="CR",ROW('Work Items'!$A$6:$A$5000)-ROW('Work Items'!$A$6)+1),45)),"")</f>
        <v/>
      </c>
    </row>
    <row r="50">
      <c r="A50">
        <f t="array" ref="A50">IFERROR(INDEX('Work Items'!$A$6:$A$5000,SMALL(IF('Work Items'!$A$6:$A$5000="CR",ROW('Work Items'!$A$6:$A$5000)-ROW('Work Items'!$A$6)+1),46)),"")</f>
        <v/>
      </c>
      <c r="B50">
        <f t="array" ref="B50">IFERROR(INDEX('Work Items'!$B$6:$B$5000,SMALL(IF('Work Items'!$A$6:$A$5000="CR",ROW('Work Items'!$A$6:$A$5000)-ROW('Work Items'!$A$6)+1),46)),"")</f>
        <v/>
      </c>
      <c r="C50">
        <f t="array" ref="C50">IFERROR(INDEX('Work Items'!$C$6:$C$5000,SMALL(IF('Work Items'!$A$6:$A$5000="CR",ROW('Work Items'!$A$6:$A$5000)-ROW('Work Items'!$A$6)+1),46)),"")</f>
        <v/>
      </c>
      <c r="D50">
        <f t="array" ref="D50">IFERROR(INDEX('Work Items'!$D$6:$D$5000,SMALL(IF('Work Items'!$A$6:$A$5000="CR",ROW('Work Items'!$A$6:$A$5000)-ROW('Work Items'!$A$6)+1),46)),"")</f>
        <v/>
      </c>
      <c r="E50">
        <f t="array" ref="E50">IFERROR(INDEX('Work Items'!$E$6:$E$5000,SMALL(IF('Work Items'!$A$6:$A$5000="CR",ROW('Work Items'!$A$6:$A$5000)-ROW('Work Items'!$A$6)+1),46)),"")</f>
        <v/>
      </c>
      <c r="F50">
        <f t="array" ref="F50">IFERROR(INDEX('Work Items'!$F$6:$F$5000,SMALL(IF('Work Items'!$A$6:$A$5000="CR",ROW('Work Items'!$A$6:$A$5000)-ROW('Work Items'!$A$6)+1),46)),"")</f>
        <v/>
      </c>
      <c r="G50">
        <f t="array" ref="G50">IFERROR(INDEX('Work Items'!$J$6:$J$5000,SMALL(IF('Work Items'!$A$6:$A$5000="CR",ROW('Work Items'!$A$6:$A$5000)-ROW('Work Items'!$A$6)+1),46)),"")</f>
        <v/>
      </c>
      <c r="H50">
        <f t="array" ref="H50">IFERROR(INDEX('Work Items'!$K$6:$K$5000,SMALL(IF('Work Items'!$A$6:$A$5000="CR",ROW('Work Items'!$A$6:$A$5000)-ROW('Work Items'!$A$6)+1),46)),"")</f>
        <v/>
      </c>
      <c r="I50">
        <f t="array" ref="I50">IFERROR(INDEX('Work Items'!$L$6:$L$5000,SMALL(IF('Work Items'!$A$6:$A$5000="CR",ROW('Work Items'!$A$6:$A$5000)-ROW('Work Items'!$A$6)+1),46)),"")</f>
        <v/>
      </c>
      <c r="J50" s="217">
        <f t="array" ref="J50">IFERROR(INDEX('Work Items'!$M$6:$M$5000,SMALL(IF('Work Items'!$A$6:$A$5000="CR",ROW('Work Items'!$A$6:$A$5000)-ROW('Work Items'!$A$6)+1),46)),"")</f>
        <v/>
      </c>
      <c r="K50" s="217">
        <f t="array" ref="K50">IFERROR(INDEX('Work Items'!$Q$6:$Q$5000,SMALL(IF('Work Items'!$A$6:$A$5000="CR",ROW('Work Items'!$A$6:$A$5000)-ROW('Work Items'!$A$6)+1),46)),"")</f>
        <v/>
      </c>
      <c r="L50">
        <f t="array" ref="L50">IFERROR(INDEX('Work Items'!$N$6:$N$5000,SMALL(IF('Work Items'!$A$6:$A$5000="CR",ROW('Work Items'!$A$6:$A$5000)-ROW('Work Items'!$A$6)+1),46)),"")</f>
        <v/>
      </c>
      <c r="M50">
        <f t="array" ref="M50">IFERROR(INDEX('Work Items'!$O$6:$O$5000,SMALL(IF('Work Items'!$A$6:$A$5000="CR",ROW('Work Items'!$A$6:$A$5000)-ROW('Work Items'!$A$6)+1),46)),"")</f>
        <v/>
      </c>
    </row>
    <row r="51">
      <c r="A51">
        <f t="array" ref="A51">IFERROR(INDEX('Work Items'!$A$6:$A$5000,SMALL(IF('Work Items'!$A$6:$A$5000="CR",ROW('Work Items'!$A$6:$A$5000)-ROW('Work Items'!$A$6)+1),47)),"")</f>
        <v/>
      </c>
      <c r="B51">
        <f t="array" ref="B51">IFERROR(INDEX('Work Items'!$B$6:$B$5000,SMALL(IF('Work Items'!$A$6:$A$5000="CR",ROW('Work Items'!$A$6:$A$5000)-ROW('Work Items'!$A$6)+1),47)),"")</f>
        <v/>
      </c>
      <c r="C51">
        <f t="array" ref="C51">IFERROR(INDEX('Work Items'!$C$6:$C$5000,SMALL(IF('Work Items'!$A$6:$A$5000="CR",ROW('Work Items'!$A$6:$A$5000)-ROW('Work Items'!$A$6)+1),47)),"")</f>
        <v/>
      </c>
      <c r="D51">
        <f t="array" ref="D51">IFERROR(INDEX('Work Items'!$D$6:$D$5000,SMALL(IF('Work Items'!$A$6:$A$5000="CR",ROW('Work Items'!$A$6:$A$5000)-ROW('Work Items'!$A$6)+1),47)),"")</f>
        <v/>
      </c>
      <c r="E51">
        <f t="array" ref="E51">IFERROR(INDEX('Work Items'!$E$6:$E$5000,SMALL(IF('Work Items'!$A$6:$A$5000="CR",ROW('Work Items'!$A$6:$A$5000)-ROW('Work Items'!$A$6)+1),47)),"")</f>
        <v/>
      </c>
      <c r="F51">
        <f t="array" ref="F51">IFERROR(INDEX('Work Items'!$F$6:$F$5000,SMALL(IF('Work Items'!$A$6:$A$5000="CR",ROW('Work Items'!$A$6:$A$5000)-ROW('Work Items'!$A$6)+1),47)),"")</f>
        <v/>
      </c>
      <c r="G51">
        <f t="array" ref="G51">IFERROR(INDEX('Work Items'!$J$6:$J$5000,SMALL(IF('Work Items'!$A$6:$A$5000="CR",ROW('Work Items'!$A$6:$A$5000)-ROW('Work Items'!$A$6)+1),47)),"")</f>
        <v/>
      </c>
      <c r="H51">
        <f t="array" ref="H51">IFERROR(INDEX('Work Items'!$K$6:$K$5000,SMALL(IF('Work Items'!$A$6:$A$5000="CR",ROW('Work Items'!$A$6:$A$5000)-ROW('Work Items'!$A$6)+1),47)),"")</f>
        <v/>
      </c>
      <c r="I51">
        <f t="array" ref="I51">IFERROR(INDEX('Work Items'!$L$6:$L$5000,SMALL(IF('Work Items'!$A$6:$A$5000="CR",ROW('Work Items'!$A$6:$A$5000)-ROW('Work Items'!$A$6)+1),47)),"")</f>
        <v/>
      </c>
      <c r="J51" s="217">
        <f t="array" ref="J51">IFERROR(INDEX('Work Items'!$M$6:$M$5000,SMALL(IF('Work Items'!$A$6:$A$5000="CR",ROW('Work Items'!$A$6:$A$5000)-ROW('Work Items'!$A$6)+1),47)),"")</f>
        <v/>
      </c>
      <c r="K51" s="217">
        <f t="array" ref="K51">IFERROR(INDEX('Work Items'!$Q$6:$Q$5000,SMALL(IF('Work Items'!$A$6:$A$5000="CR",ROW('Work Items'!$A$6:$A$5000)-ROW('Work Items'!$A$6)+1),47)),"")</f>
        <v/>
      </c>
      <c r="L51">
        <f t="array" ref="L51">IFERROR(INDEX('Work Items'!$N$6:$N$5000,SMALL(IF('Work Items'!$A$6:$A$5000="CR",ROW('Work Items'!$A$6:$A$5000)-ROW('Work Items'!$A$6)+1),47)),"")</f>
        <v/>
      </c>
      <c r="M51">
        <f t="array" ref="M51">IFERROR(INDEX('Work Items'!$O$6:$O$5000,SMALL(IF('Work Items'!$A$6:$A$5000="CR",ROW('Work Items'!$A$6:$A$5000)-ROW('Work Items'!$A$6)+1),47)),"")</f>
        <v/>
      </c>
    </row>
    <row r="52">
      <c r="A52">
        <f t="array" ref="A52">IFERROR(INDEX('Work Items'!$A$6:$A$5000,SMALL(IF('Work Items'!$A$6:$A$5000="CR",ROW('Work Items'!$A$6:$A$5000)-ROW('Work Items'!$A$6)+1),48)),"")</f>
        <v/>
      </c>
      <c r="B52">
        <f t="array" ref="B52">IFERROR(INDEX('Work Items'!$B$6:$B$5000,SMALL(IF('Work Items'!$A$6:$A$5000="CR",ROW('Work Items'!$A$6:$A$5000)-ROW('Work Items'!$A$6)+1),48)),"")</f>
        <v/>
      </c>
      <c r="C52">
        <f t="array" ref="C52">IFERROR(INDEX('Work Items'!$C$6:$C$5000,SMALL(IF('Work Items'!$A$6:$A$5000="CR",ROW('Work Items'!$A$6:$A$5000)-ROW('Work Items'!$A$6)+1),48)),"")</f>
        <v/>
      </c>
      <c r="D52">
        <f t="array" ref="D52">IFERROR(INDEX('Work Items'!$D$6:$D$5000,SMALL(IF('Work Items'!$A$6:$A$5000="CR",ROW('Work Items'!$A$6:$A$5000)-ROW('Work Items'!$A$6)+1),48)),"")</f>
        <v/>
      </c>
      <c r="E52">
        <f t="array" ref="E52">IFERROR(INDEX('Work Items'!$E$6:$E$5000,SMALL(IF('Work Items'!$A$6:$A$5000="CR",ROW('Work Items'!$A$6:$A$5000)-ROW('Work Items'!$A$6)+1),48)),"")</f>
        <v/>
      </c>
      <c r="F52">
        <f t="array" ref="F52">IFERROR(INDEX('Work Items'!$F$6:$F$5000,SMALL(IF('Work Items'!$A$6:$A$5000="CR",ROW('Work Items'!$A$6:$A$5000)-ROW('Work Items'!$A$6)+1),48)),"")</f>
        <v/>
      </c>
      <c r="G52">
        <f t="array" ref="G52">IFERROR(INDEX('Work Items'!$J$6:$J$5000,SMALL(IF('Work Items'!$A$6:$A$5000="CR",ROW('Work Items'!$A$6:$A$5000)-ROW('Work Items'!$A$6)+1),48)),"")</f>
        <v/>
      </c>
      <c r="H52">
        <f t="array" ref="H52">IFERROR(INDEX('Work Items'!$K$6:$K$5000,SMALL(IF('Work Items'!$A$6:$A$5000="CR",ROW('Work Items'!$A$6:$A$5000)-ROW('Work Items'!$A$6)+1),48)),"")</f>
        <v/>
      </c>
      <c r="I52">
        <f t="array" ref="I52">IFERROR(INDEX('Work Items'!$L$6:$L$5000,SMALL(IF('Work Items'!$A$6:$A$5000="CR",ROW('Work Items'!$A$6:$A$5000)-ROW('Work Items'!$A$6)+1),48)),"")</f>
        <v/>
      </c>
      <c r="J52" s="217">
        <f t="array" ref="J52">IFERROR(INDEX('Work Items'!$M$6:$M$5000,SMALL(IF('Work Items'!$A$6:$A$5000="CR",ROW('Work Items'!$A$6:$A$5000)-ROW('Work Items'!$A$6)+1),48)),"")</f>
        <v/>
      </c>
      <c r="K52" s="217">
        <f t="array" ref="K52">IFERROR(INDEX('Work Items'!$Q$6:$Q$5000,SMALL(IF('Work Items'!$A$6:$A$5000="CR",ROW('Work Items'!$A$6:$A$5000)-ROW('Work Items'!$A$6)+1),48)),"")</f>
        <v/>
      </c>
      <c r="L52">
        <f t="array" ref="L52">IFERROR(INDEX('Work Items'!$N$6:$N$5000,SMALL(IF('Work Items'!$A$6:$A$5000="CR",ROW('Work Items'!$A$6:$A$5000)-ROW('Work Items'!$A$6)+1),48)),"")</f>
        <v/>
      </c>
      <c r="M52">
        <f t="array" ref="M52">IFERROR(INDEX('Work Items'!$O$6:$O$5000,SMALL(IF('Work Items'!$A$6:$A$5000="CR",ROW('Work Items'!$A$6:$A$5000)-ROW('Work Items'!$A$6)+1),48)),"")</f>
        <v/>
      </c>
    </row>
    <row r="53">
      <c r="A53">
        <f t="array" ref="A53">IFERROR(INDEX('Work Items'!$A$6:$A$5000,SMALL(IF('Work Items'!$A$6:$A$5000="CR",ROW('Work Items'!$A$6:$A$5000)-ROW('Work Items'!$A$6)+1),49)),"")</f>
        <v/>
      </c>
      <c r="B53">
        <f t="array" ref="B53">IFERROR(INDEX('Work Items'!$B$6:$B$5000,SMALL(IF('Work Items'!$A$6:$A$5000="CR",ROW('Work Items'!$A$6:$A$5000)-ROW('Work Items'!$A$6)+1),49)),"")</f>
        <v/>
      </c>
      <c r="C53">
        <f t="array" ref="C53">IFERROR(INDEX('Work Items'!$C$6:$C$5000,SMALL(IF('Work Items'!$A$6:$A$5000="CR",ROW('Work Items'!$A$6:$A$5000)-ROW('Work Items'!$A$6)+1),49)),"")</f>
        <v/>
      </c>
      <c r="D53">
        <f t="array" ref="D53">IFERROR(INDEX('Work Items'!$D$6:$D$5000,SMALL(IF('Work Items'!$A$6:$A$5000="CR",ROW('Work Items'!$A$6:$A$5000)-ROW('Work Items'!$A$6)+1),49)),"")</f>
        <v/>
      </c>
      <c r="E53">
        <f t="array" ref="E53">IFERROR(INDEX('Work Items'!$E$6:$E$5000,SMALL(IF('Work Items'!$A$6:$A$5000="CR",ROW('Work Items'!$A$6:$A$5000)-ROW('Work Items'!$A$6)+1),49)),"")</f>
        <v/>
      </c>
      <c r="F53">
        <f t="array" ref="F53">IFERROR(INDEX('Work Items'!$F$6:$F$5000,SMALL(IF('Work Items'!$A$6:$A$5000="CR",ROW('Work Items'!$A$6:$A$5000)-ROW('Work Items'!$A$6)+1),49)),"")</f>
        <v/>
      </c>
      <c r="G53">
        <f t="array" ref="G53">IFERROR(INDEX('Work Items'!$J$6:$J$5000,SMALL(IF('Work Items'!$A$6:$A$5000="CR",ROW('Work Items'!$A$6:$A$5000)-ROW('Work Items'!$A$6)+1),49)),"")</f>
        <v/>
      </c>
      <c r="H53">
        <f t="array" ref="H53">IFERROR(INDEX('Work Items'!$K$6:$K$5000,SMALL(IF('Work Items'!$A$6:$A$5000="CR",ROW('Work Items'!$A$6:$A$5000)-ROW('Work Items'!$A$6)+1),49)),"")</f>
        <v/>
      </c>
      <c r="I53">
        <f t="array" ref="I53">IFERROR(INDEX('Work Items'!$L$6:$L$5000,SMALL(IF('Work Items'!$A$6:$A$5000="CR",ROW('Work Items'!$A$6:$A$5000)-ROW('Work Items'!$A$6)+1),49)),"")</f>
        <v/>
      </c>
      <c r="J53" s="217">
        <f t="array" ref="J53">IFERROR(INDEX('Work Items'!$M$6:$M$5000,SMALL(IF('Work Items'!$A$6:$A$5000="CR",ROW('Work Items'!$A$6:$A$5000)-ROW('Work Items'!$A$6)+1),49)),"")</f>
        <v/>
      </c>
      <c r="K53" s="217">
        <f t="array" ref="K53">IFERROR(INDEX('Work Items'!$Q$6:$Q$5000,SMALL(IF('Work Items'!$A$6:$A$5000="CR",ROW('Work Items'!$A$6:$A$5000)-ROW('Work Items'!$A$6)+1),49)),"")</f>
        <v/>
      </c>
      <c r="L53">
        <f t="array" ref="L53">IFERROR(INDEX('Work Items'!$N$6:$N$5000,SMALL(IF('Work Items'!$A$6:$A$5000="CR",ROW('Work Items'!$A$6:$A$5000)-ROW('Work Items'!$A$6)+1),49)),"")</f>
        <v/>
      </c>
      <c r="M53">
        <f t="array" ref="M53">IFERROR(INDEX('Work Items'!$O$6:$O$5000,SMALL(IF('Work Items'!$A$6:$A$5000="CR",ROW('Work Items'!$A$6:$A$5000)-ROW('Work Items'!$A$6)+1),49)),"")</f>
        <v/>
      </c>
    </row>
    <row r="54">
      <c r="A54">
        <f t="array" ref="A54">IFERROR(INDEX('Work Items'!$A$6:$A$5000,SMALL(IF('Work Items'!$A$6:$A$5000="CR",ROW('Work Items'!$A$6:$A$5000)-ROW('Work Items'!$A$6)+1),50)),"")</f>
        <v/>
      </c>
      <c r="B54">
        <f t="array" ref="B54">IFERROR(INDEX('Work Items'!$B$6:$B$5000,SMALL(IF('Work Items'!$A$6:$A$5000="CR",ROW('Work Items'!$A$6:$A$5000)-ROW('Work Items'!$A$6)+1),50)),"")</f>
        <v/>
      </c>
      <c r="C54">
        <f t="array" ref="C54">IFERROR(INDEX('Work Items'!$C$6:$C$5000,SMALL(IF('Work Items'!$A$6:$A$5000="CR",ROW('Work Items'!$A$6:$A$5000)-ROW('Work Items'!$A$6)+1),50)),"")</f>
        <v/>
      </c>
      <c r="D54">
        <f t="array" ref="D54">IFERROR(INDEX('Work Items'!$D$6:$D$5000,SMALL(IF('Work Items'!$A$6:$A$5000="CR",ROW('Work Items'!$A$6:$A$5000)-ROW('Work Items'!$A$6)+1),50)),"")</f>
        <v/>
      </c>
      <c r="E54">
        <f t="array" ref="E54">IFERROR(INDEX('Work Items'!$E$6:$E$5000,SMALL(IF('Work Items'!$A$6:$A$5000="CR",ROW('Work Items'!$A$6:$A$5000)-ROW('Work Items'!$A$6)+1),50)),"")</f>
        <v/>
      </c>
      <c r="F54">
        <f t="array" ref="F54">IFERROR(INDEX('Work Items'!$F$6:$F$5000,SMALL(IF('Work Items'!$A$6:$A$5000="CR",ROW('Work Items'!$A$6:$A$5000)-ROW('Work Items'!$A$6)+1),50)),"")</f>
        <v/>
      </c>
      <c r="G54">
        <f t="array" ref="G54">IFERROR(INDEX('Work Items'!$J$6:$J$5000,SMALL(IF('Work Items'!$A$6:$A$5000="CR",ROW('Work Items'!$A$6:$A$5000)-ROW('Work Items'!$A$6)+1),50)),"")</f>
        <v/>
      </c>
      <c r="H54">
        <f t="array" ref="H54">IFERROR(INDEX('Work Items'!$K$6:$K$5000,SMALL(IF('Work Items'!$A$6:$A$5000="CR",ROW('Work Items'!$A$6:$A$5000)-ROW('Work Items'!$A$6)+1),50)),"")</f>
        <v/>
      </c>
      <c r="I54">
        <f t="array" ref="I54">IFERROR(INDEX('Work Items'!$L$6:$L$5000,SMALL(IF('Work Items'!$A$6:$A$5000="CR",ROW('Work Items'!$A$6:$A$5000)-ROW('Work Items'!$A$6)+1),50)),"")</f>
        <v/>
      </c>
      <c r="J54" s="217">
        <f t="array" ref="J54">IFERROR(INDEX('Work Items'!$M$6:$M$5000,SMALL(IF('Work Items'!$A$6:$A$5000="CR",ROW('Work Items'!$A$6:$A$5000)-ROW('Work Items'!$A$6)+1),50)),"")</f>
        <v/>
      </c>
      <c r="K54" s="217">
        <f t="array" ref="K54">IFERROR(INDEX('Work Items'!$Q$6:$Q$5000,SMALL(IF('Work Items'!$A$6:$A$5000="CR",ROW('Work Items'!$A$6:$A$5000)-ROW('Work Items'!$A$6)+1),50)),"")</f>
        <v/>
      </c>
      <c r="L54">
        <f t="array" ref="L54">IFERROR(INDEX('Work Items'!$N$6:$N$5000,SMALL(IF('Work Items'!$A$6:$A$5000="CR",ROW('Work Items'!$A$6:$A$5000)-ROW('Work Items'!$A$6)+1),50)),"")</f>
        <v/>
      </c>
      <c r="M54">
        <f t="array" ref="M54">IFERROR(INDEX('Work Items'!$O$6:$O$5000,SMALL(IF('Work Items'!$A$6:$A$5000="CR",ROW('Work Items'!$A$6:$A$5000)-ROW('Work Items'!$A$6)+1),50)),"")</f>
        <v/>
      </c>
    </row>
    <row r="55">
      <c r="A55">
        <f t="array" ref="A55">IFERROR(INDEX('Work Items'!$A$6:$A$5000,SMALL(IF('Work Items'!$A$6:$A$5000="CR",ROW('Work Items'!$A$6:$A$5000)-ROW('Work Items'!$A$6)+1),51)),"")</f>
        <v/>
      </c>
      <c r="B55">
        <f t="array" ref="B55">IFERROR(INDEX('Work Items'!$B$6:$B$5000,SMALL(IF('Work Items'!$A$6:$A$5000="CR",ROW('Work Items'!$A$6:$A$5000)-ROW('Work Items'!$A$6)+1),51)),"")</f>
        <v/>
      </c>
      <c r="C55">
        <f t="array" ref="C55">IFERROR(INDEX('Work Items'!$C$6:$C$5000,SMALL(IF('Work Items'!$A$6:$A$5000="CR",ROW('Work Items'!$A$6:$A$5000)-ROW('Work Items'!$A$6)+1),51)),"")</f>
        <v/>
      </c>
      <c r="D55">
        <f t="array" ref="D55">IFERROR(INDEX('Work Items'!$D$6:$D$5000,SMALL(IF('Work Items'!$A$6:$A$5000="CR",ROW('Work Items'!$A$6:$A$5000)-ROW('Work Items'!$A$6)+1),51)),"")</f>
        <v/>
      </c>
      <c r="E55">
        <f t="array" ref="E55">IFERROR(INDEX('Work Items'!$E$6:$E$5000,SMALL(IF('Work Items'!$A$6:$A$5000="CR",ROW('Work Items'!$A$6:$A$5000)-ROW('Work Items'!$A$6)+1),51)),"")</f>
        <v/>
      </c>
      <c r="F55">
        <f t="array" ref="F55">IFERROR(INDEX('Work Items'!$F$6:$F$5000,SMALL(IF('Work Items'!$A$6:$A$5000="CR",ROW('Work Items'!$A$6:$A$5000)-ROW('Work Items'!$A$6)+1),51)),"")</f>
        <v/>
      </c>
      <c r="G55">
        <f t="array" ref="G55">IFERROR(INDEX('Work Items'!$J$6:$J$5000,SMALL(IF('Work Items'!$A$6:$A$5000="CR",ROW('Work Items'!$A$6:$A$5000)-ROW('Work Items'!$A$6)+1),51)),"")</f>
        <v/>
      </c>
      <c r="H55">
        <f t="array" ref="H55">IFERROR(INDEX('Work Items'!$K$6:$K$5000,SMALL(IF('Work Items'!$A$6:$A$5000="CR",ROW('Work Items'!$A$6:$A$5000)-ROW('Work Items'!$A$6)+1),51)),"")</f>
        <v/>
      </c>
      <c r="I55">
        <f t="array" ref="I55">IFERROR(INDEX('Work Items'!$L$6:$L$5000,SMALL(IF('Work Items'!$A$6:$A$5000="CR",ROW('Work Items'!$A$6:$A$5000)-ROW('Work Items'!$A$6)+1),51)),"")</f>
        <v/>
      </c>
      <c r="J55" s="217">
        <f t="array" ref="J55">IFERROR(INDEX('Work Items'!$M$6:$M$5000,SMALL(IF('Work Items'!$A$6:$A$5000="CR",ROW('Work Items'!$A$6:$A$5000)-ROW('Work Items'!$A$6)+1),51)),"")</f>
        <v/>
      </c>
      <c r="K55" s="217">
        <f t="array" ref="K55">IFERROR(INDEX('Work Items'!$Q$6:$Q$5000,SMALL(IF('Work Items'!$A$6:$A$5000="CR",ROW('Work Items'!$A$6:$A$5000)-ROW('Work Items'!$A$6)+1),51)),"")</f>
        <v/>
      </c>
      <c r="L55">
        <f t="array" ref="L55">IFERROR(INDEX('Work Items'!$N$6:$N$5000,SMALL(IF('Work Items'!$A$6:$A$5000="CR",ROW('Work Items'!$A$6:$A$5000)-ROW('Work Items'!$A$6)+1),51)),"")</f>
        <v/>
      </c>
      <c r="M55">
        <f t="array" ref="M55">IFERROR(INDEX('Work Items'!$O$6:$O$5000,SMALL(IF('Work Items'!$A$6:$A$5000="CR",ROW('Work Items'!$A$6:$A$5000)-ROW('Work Items'!$A$6)+1),51)),"")</f>
        <v/>
      </c>
    </row>
    <row r="56">
      <c r="A56">
        <f t="array" ref="A56">IFERROR(INDEX('Work Items'!$A$6:$A$5000,SMALL(IF('Work Items'!$A$6:$A$5000="CR",ROW('Work Items'!$A$6:$A$5000)-ROW('Work Items'!$A$6)+1),52)),"")</f>
        <v/>
      </c>
      <c r="B56">
        <f t="array" ref="B56">IFERROR(INDEX('Work Items'!$B$6:$B$5000,SMALL(IF('Work Items'!$A$6:$A$5000="CR",ROW('Work Items'!$A$6:$A$5000)-ROW('Work Items'!$A$6)+1),52)),"")</f>
        <v/>
      </c>
      <c r="C56">
        <f t="array" ref="C56">IFERROR(INDEX('Work Items'!$C$6:$C$5000,SMALL(IF('Work Items'!$A$6:$A$5000="CR",ROW('Work Items'!$A$6:$A$5000)-ROW('Work Items'!$A$6)+1),52)),"")</f>
        <v/>
      </c>
      <c r="D56">
        <f t="array" ref="D56">IFERROR(INDEX('Work Items'!$D$6:$D$5000,SMALL(IF('Work Items'!$A$6:$A$5000="CR",ROW('Work Items'!$A$6:$A$5000)-ROW('Work Items'!$A$6)+1),52)),"")</f>
        <v/>
      </c>
      <c r="E56">
        <f t="array" ref="E56">IFERROR(INDEX('Work Items'!$E$6:$E$5000,SMALL(IF('Work Items'!$A$6:$A$5000="CR",ROW('Work Items'!$A$6:$A$5000)-ROW('Work Items'!$A$6)+1),52)),"")</f>
        <v/>
      </c>
      <c r="F56">
        <f t="array" ref="F56">IFERROR(INDEX('Work Items'!$F$6:$F$5000,SMALL(IF('Work Items'!$A$6:$A$5000="CR",ROW('Work Items'!$A$6:$A$5000)-ROW('Work Items'!$A$6)+1),52)),"")</f>
        <v/>
      </c>
      <c r="G56">
        <f t="array" ref="G56">IFERROR(INDEX('Work Items'!$J$6:$J$5000,SMALL(IF('Work Items'!$A$6:$A$5000="CR",ROW('Work Items'!$A$6:$A$5000)-ROW('Work Items'!$A$6)+1),52)),"")</f>
        <v/>
      </c>
      <c r="H56">
        <f t="array" ref="H56">IFERROR(INDEX('Work Items'!$K$6:$K$5000,SMALL(IF('Work Items'!$A$6:$A$5000="CR",ROW('Work Items'!$A$6:$A$5000)-ROW('Work Items'!$A$6)+1),52)),"")</f>
        <v/>
      </c>
      <c r="I56">
        <f t="array" ref="I56">IFERROR(INDEX('Work Items'!$L$6:$L$5000,SMALL(IF('Work Items'!$A$6:$A$5000="CR",ROW('Work Items'!$A$6:$A$5000)-ROW('Work Items'!$A$6)+1),52)),"")</f>
        <v/>
      </c>
      <c r="J56" s="217">
        <f t="array" ref="J56">IFERROR(INDEX('Work Items'!$M$6:$M$5000,SMALL(IF('Work Items'!$A$6:$A$5000="CR",ROW('Work Items'!$A$6:$A$5000)-ROW('Work Items'!$A$6)+1),52)),"")</f>
        <v/>
      </c>
      <c r="K56" s="217">
        <f t="array" ref="K56">IFERROR(INDEX('Work Items'!$Q$6:$Q$5000,SMALL(IF('Work Items'!$A$6:$A$5000="CR",ROW('Work Items'!$A$6:$A$5000)-ROW('Work Items'!$A$6)+1),52)),"")</f>
        <v/>
      </c>
      <c r="L56">
        <f t="array" ref="L56">IFERROR(INDEX('Work Items'!$N$6:$N$5000,SMALL(IF('Work Items'!$A$6:$A$5000="CR",ROW('Work Items'!$A$6:$A$5000)-ROW('Work Items'!$A$6)+1),52)),"")</f>
        <v/>
      </c>
      <c r="M56">
        <f t="array" ref="M56">IFERROR(INDEX('Work Items'!$O$6:$O$5000,SMALL(IF('Work Items'!$A$6:$A$5000="CR",ROW('Work Items'!$A$6:$A$5000)-ROW('Work Items'!$A$6)+1),52)),"")</f>
        <v/>
      </c>
    </row>
    <row r="57">
      <c r="A57">
        <f t="array" ref="A57">IFERROR(INDEX('Work Items'!$A$6:$A$5000,SMALL(IF('Work Items'!$A$6:$A$5000="CR",ROW('Work Items'!$A$6:$A$5000)-ROW('Work Items'!$A$6)+1),53)),"")</f>
        <v/>
      </c>
      <c r="B57">
        <f t="array" ref="B57">IFERROR(INDEX('Work Items'!$B$6:$B$5000,SMALL(IF('Work Items'!$A$6:$A$5000="CR",ROW('Work Items'!$A$6:$A$5000)-ROW('Work Items'!$A$6)+1),53)),"")</f>
        <v/>
      </c>
      <c r="C57">
        <f t="array" ref="C57">IFERROR(INDEX('Work Items'!$C$6:$C$5000,SMALL(IF('Work Items'!$A$6:$A$5000="CR",ROW('Work Items'!$A$6:$A$5000)-ROW('Work Items'!$A$6)+1),53)),"")</f>
        <v/>
      </c>
      <c r="D57">
        <f t="array" ref="D57">IFERROR(INDEX('Work Items'!$D$6:$D$5000,SMALL(IF('Work Items'!$A$6:$A$5000="CR",ROW('Work Items'!$A$6:$A$5000)-ROW('Work Items'!$A$6)+1),53)),"")</f>
        <v/>
      </c>
      <c r="E57">
        <f t="array" ref="E57">IFERROR(INDEX('Work Items'!$E$6:$E$5000,SMALL(IF('Work Items'!$A$6:$A$5000="CR",ROW('Work Items'!$A$6:$A$5000)-ROW('Work Items'!$A$6)+1),53)),"")</f>
        <v/>
      </c>
      <c r="F57">
        <f t="array" ref="F57">IFERROR(INDEX('Work Items'!$F$6:$F$5000,SMALL(IF('Work Items'!$A$6:$A$5000="CR",ROW('Work Items'!$A$6:$A$5000)-ROW('Work Items'!$A$6)+1),53)),"")</f>
        <v/>
      </c>
      <c r="G57">
        <f t="array" ref="G57">IFERROR(INDEX('Work Items'!$J$6:$J$5000,SMALL(IF('Work Items'!$A$6:$A$5000="CR",ROW('Work Items'!$A$6:$A$5000)-ROW('Work Items'!$A$6)+1),53)),"")</f>
        <v/>
      </c>
      <c r="H57">
        <f t="array" ref="H57">IFERROR(INDEX('Work Items'!$K$6:$K$5000,SMALL(IF('Work Items'!$A$6:$A$5000="CR",ROW('Work Items'!$A$6:$A$5000)-ROW('Work Items'!$A$6)+1),53)),"")</f>
        <v/>
      </c>
      <c r="I57">
        <f t="array" ref="I57">IFERROR(INDEX('Work Items'!$L$6:$L$5000,SMALL(IF('Work Items'!$A$6:$A$5000="CR",ROW('Work Items'!$A$6:$A$5000)-ROW('Work Items'!$A$6)+1),53)),"")</f>
        <v/>
      </c>
      <c r="J57" s="217">
        <f t="array" ref="J57">IFERROR(INDEX('Work Items'!$M$6:$M$5000,SMALL(IF('Work Items'!$A$6:$A$5000="CR",ROW('Work Items'!$A$6:$A$5000)-ROW('Work Items'!$A$6)+1),53)),"")</f>
        <v/>
      </c>
      <c r="K57" s="217">
        <f t="array" ref="K57">IFERROR(INDEX('Work Items'!$Q$6:$Q$5000,SMALL(IF('Work Items'!$A$6:$A$5000="CR",ROW('Work Items'!$A$6:$A$5000)-ROW('Work Items'!$A$6)+1),53)),"")</f>
        <v/>
      </c>
      <c r="L57">
        <f t="array" ref="L57">IFERROR(INDEX('Work Items'!$N$6:$N$5000,SMALL(IF('Work Items'!$A$6:$A$5000="CR",ROW('Work Items'!$A$6:$A$5000)-ROW('Work Items'!$A$6)+1),53)),"")</f>
        <v/>
      </c>
      <c r="M57">
        <f t="array" ref="M57">IFERROR(INDEX('Work Items'!$O$6:$O$5000,SMALL(IF('Work Items'!$A$6:$A$5000="CR",ROW('Work Items'!$A$6:$A$5000)-ROW('Work Items'!$A$6)+1),53)),"")</f>
        <v/>
      </c>
    </row>
    <row r="58">
      <c r="A58">
        <f t="array" ref="A58">IFERROR(INDEX('Work Items'!$A$6:$A$5000,SMALL(IF('Work Items'!$A$6:$A$5000="CR",ROW('Work Items'!$A$6:$A$5000)-ROW('Work Items'!$A$6)+1),54)),"")</f>
        <v/>
      </c>
      <c r="B58">
        <f t="array" ref="B58">IFERROR(INDEX('Work Items'!$B$6:$B$5000,SMALL(IF('Work Items'!$A$6:$A$5000="CR",ROW('Work Items'!$A$6:$A$5000)-ROW('Work Items'!$A$6)+1),54)),"")</f>
        <v/>
      </c>
      <c r="C58">
        <f t="array" ref="C58">IFERROR(INDEX('Work Items'!$C$6:$C$5000,SMALL(IF('Work Items'!$A$6:$A$5000="CR",ROW('Work Items'!$A$6:$A$5000)-ROW('Work Items'!$A$6)+1),54)),"")</f>
        <v/>
      </c>
      <c r="D58">
        <f t="array" ref="D58">IFERROR(INDEX('Work Items'!$D$6:$D$5000,SMALL(IF('Work Items'!$A$6:$A$5000="CR",ROW('Work Items'!$A$6:$A$5000)-ROW('Work Items'!$A$6)+1),54)),"")</f>
        <v/>
      </c>
      <c r="E58">
        <f t="array" ref="E58">IFERROR(INDEX('Work Items'!$E$6:$E$5000,SMALL(IF('Work Items'!$A$6:$A$5000="CR",ROW('Work Items'!$A$6:$A$5000)-ROW('Work Items'!$A$6)+1),54)),"")</f>
        <v/>
      </c>
      <c r="F58">
        <f t="array" ref="F58">IFERROR(INDEX('Work Items'!$F$6:$F$5000,SMALL(IF('Work Items'!$A$6:$A$5000="CR",ROW('Work Items'!$A$6:$A$5000)-ROW('Work Items'!$A$6)+1),54)),"")</f>
        <v/>
      </c>
      <c r="G58">
        <f t="array" ref="G58">IFERROR(INDEX('Work Items'!$J$6:$J$5000,SMALL(IF('Work Items'!$A$6:$A$5000="CR",ROW('Work Items'!$A$6:$A$5000)-ROW('Work Items'!$A$6)+1),54)),"")</f>
        <v/>
      </c>
      <c r="H58">
        <f t="array" ref="H58">IFERROR(INDEX('Work Items'!$K$6:$K$5000,SMALL(IF('Work Items'!$A$6:$A$5000="CR",ROW('Work Items'!$A$6:$A$5000)-ROW('Work Items'!$A$6)+1),54)),"")</f>
        <v/>
      </c>
      <c r="I58">
        <f t="array" ref="I58">IFERROR(INDEX('Work Items'!$L$6:$L$5000,SMALL(IF('Work Items'!$A$6:$A$5000="CR",ROW('Work Items'!$A$6:$A$5000)-ROW('Work Items'!$A$6)+1),54)),"")</f>
        <v/>
      </c>
      <c r="J58" s="217">
        <f t="array" ref="J58">IFERROR(INDEX('Work Items'!$M$6:$M$5000,SMALL(IF('Work Items'!$A$6:$A$5000="CR",ROW('Work Items'!$A$6:$A$5000)-ROW('Work Items'!$A$6)+1),54)),"")</f>
        <v/>
      </c>
      <c r="K58" s="217">
        <f t="array" ref="K58">IFERROR(INDEX('Work Items'!$Q$6:$Q$5000,SMALL(IF('Work Items'!$A$6:$A$5000="CR",ROW('Work Items'!$A$6:$A$5000)-ROW('Work Items'!$A$6)+1),54)),"")</f>
        <v/>
      </c>
      <c r="L58">
        <f t="array" ref="L58">IFERROR(INDEX('Work Items'!$N$6:$N$5000,SMALL(IF('Work Items'!$A$6:$A$5000="CR",ROW('Work Items'!$A$6:$A$5000)-ROW('Work Items'!$A$6)+1),54)),"")</f>
        <v/>
      </c>
      <c r="M58">
        <f t="array" ref="M58">IFERROR(INDEX('Work Items'!$O$6:$O$5000,SMALL(IF('Work Items'!$A$6:$A$5000="CR",ROW('Work Items'!$A$6:$A$5000)-ROW('Work Items'!$A$6)+1),54)),"")</f>
        <v/>
      </c>
    </row>
    <row r="59">
      <c r="A59">
        <f t="array" ref="A59">IFERROR(INDEX('Work Items'!$A$6:$A$5000,SMALL(IF('Work Items'!$A$6:$A$5000="CR",ROW('Work Items'!$A$6:$A$5000)-ROW('Work Items'!$A$6)+1),55)),"")</f>
        <v/>
      </c>
      <c r="B59">
        <f t="array" ref="B59">IFERROR(INDEX('Work Items'!$B$6:$B$5000,SMALL(IF('Work Items'!$A$6:$A$5000="CR",ROW('Work Items'!$A$6:$A$5000)-ROW('Work Items'!$A$6)+1),55)),"")</f>
        <v/>
      </c>
      <c r="C59">
        <f t="array" ref="C59">IFERROR(INDEX('Work Items'!$C$6:$C$5000,SMALL(IF('Work Items'!$A$6:$A$5000="CR",ROW('Work Items'!$A$6:$A$5000)-ROW('Work Items'!$A$6)+1),55)),"")</f>
        <v/>
      </c>
      <c r="D59">
        <f t="array" ref="D59">IFERROR(INDEX('Work Items'!$D$6:$D$5000,SMALL(IF('Work Items'!$A$6:$A$5000="CR",ROW('Work Items'!$A$6:$A$5000)-ROW('Work Items'!$A$6)+1),55)),"")</f>
        <v/>
      </c>
      <c r="E59">
        <f t="array" ref="E59">IFERROR(INDEX('Work Items'!$E$6:$E$5000,SMALL(IF('Work Items'!$A$6:$A$5000="CR",ROW('Work Items'!$A$6:$A$5000)-ROW('Work Items'!$A$6)+1),55)),"")</f>
        <v/>
      </c>
      <c r="F59">
        <f t="array" ref="F59">IFERROR(INDEX('Work Items'!$F$6:$F$5000,SMALL(IF('Work Items'!$A$6:$A$5000="CR",ROW('Work Items'!$A$6:$A$5000)-ROW('Work Items'!$A$6)+1),55)),"")</f>
        <v/>
      </c>
      <c r="G59">
        <f t="array" ref="G59">IFERROR(INDEX('Work Items'!$J$6:$J$5000,SMALL(IF('Work Items'!$A$6:$A$5000="CR",ROW('Work Items'!$A$6:$A$5000)-ROW('Work Items'!$A$6)+1),55)),"")</f>
        <v/>
      </c>
      <c r="H59">
        <f t="array" ref="H59">IFERROR(INDEX('Work Items'!$K$6:$K$5000,SMALL(IF('Work Items'!$A$6:$A$5000="CR",ROW('Work Items'!$A$6:$A$5000)-ROW('Work Items'!$A$6)+1),55)),"")</f>
        <v/>
      </c>
      <c r="I59">
        <f t="array" ref="I59">IFERROR(INDEX('Work Items'!$L$6:$L$5000,SMALL(IF('Work Items'!$A$6:$A$5000="CR",ROW('Work Items'!$A$6:$A$5000)-ROW('Work Items'!$A$6)+1),55)),"")</f>
        <v/>
      </c>
      <c r="J59" s="217">
        <f t="array" ref="J59">IFERROR(INDEX('Work Items'!$M$6:$M$5000,SMALL(IF('Work Items'!$A$6:$A$5000="CR",ROW('Work Items'!$A$6:$A$5000)-ROW('Work Items'!$A$6)+1),55)),"")</f>
        <v/>
      </c>
      <c r="K59" s="217">
        <f t="array" ref="K59">IFERROR(INDEX('Work Items'!$Q$6:$Q$5000,SMALL(IF('Work Items'!$A$6:$A$5000="CR",ROW('Work Items'!$A$6:$A$5000)-ROW('Work Items'!$A$6)+1),55)),"")</f>
        <v/>
      </c>
      <c r="L59">
        <f t="array" ref="L59">IFERROR(INDEX('Work Items'!$N$6:$N$5000,SMALL(IF('Work Items'!$A$6:$A$5000="CR",ROW('Work Items'!$A$6:$A$5000)-ROW('Work Items'!$A$6)+1),55)),"")</f>
        <v/>
      </c>
      <c r="M59">
        <f t="array" ref="M59">IFERROR(INDEX('Work Items'!$O$6:$O$5000,SMALL(IF('Work Items'!$A$6:$A$5000="CR",ROW('Work Items'!$A$6:$A$5000)-ROW('Work Items'!$A$6)+1),55)),"")</f>
        <v/>
      </c>
    </row>
    <row r="60">
      <c r="A60">
        <f t="array" ref="A60">IFERROR(INDEX('Work Items'!$A$6:$A$5000,SMALL(IF('Work Items'!$A$6:$A$5000="CR",ROW('Work Items'!$A$6:$A$5000)-ROW('Work Items'!$A$6)+1),56)),"")</f>
        <v/>
      </c>
      <c r="B60">
        <f t="array" ref="B60">IFERROR(INDEX('Work Items'!$B$6:$B$5000,SMALL(IF('Work Items'!$A$6:$A$5000="CR",ROW('Work Items'!$A$6:$A$5000)-ROW('Work Items'!$A$6)+1),56)),"")</f>
        <v/>
      </c>
      <c r="C60">
        <f t="array" ref="C60">IFERROR(INDEX('Work Items'!$C$6:$C$5000,SMALL(IF('Work Items'!$A$6:$A$5000="CR",ROW('Work Items'!$A$6:$A$5000)-ROW('Work Items'!$A$6)+1),56)),"")</f>
        <v/>
      </c>
      <c r="D60">
        <f t="array" ref="D60">IFERROR(INDEX('Work Items'!$D$6:$D$5000,SMALL(IF('Work Items'!$A$6:$A$5000="CR",ROW('Work Items'!$A$6:$A$5000)-ROW('Work Items'!$A$6)+1),56)),"")</f>
        <v/>
      </c>
      <c r="E60">
        <f t="array" ref="E60">IFERROR(INDEX('Work Items'!$E$6:$E$5000,SMALL(IF('Work Items'!$A$6:$A$5000="CR",ROW('Work Items'!$A$6:$A$5000)-ROW('Work Items'!$A$6)+1),56)),"")</f>
        <v/>
      </c>
      <c r="F60">
        <f t="array" ref="F60">IFERROR(INDEX('Work Items'!$F$6:$F$5000,SMALL(IF('Work Items'!$A$6:$A$5000="CR",ROW('Work Items'!$A$6:$A$5000)-ROW('Work Items'!$A$6)+1),56)),"")</f>
        <v/>
      </c>
      <c r="G60">
        <f t="array" ref="G60">IFERROR(INDEX('Work Items'!$J$6:$J$5000,SMALL(IF('Work Items'!$A$6:$A$5000="CR",ROW('Work Items'!$A$6:$A$5000)-ROW('Work Items'!$A$6)+1),56)),"")</f>
        <v/>
      </c>
      <c r="H60">
        <f t="array" ref="H60">IFERROR(INDEX('Work Items'!$K$6:$K$5000,SMALL(IF('Work Items'!$A$6:$A$5000="CR",ROW('Work Items'!$A$6:$A$5000)-ROW('Work Items'!$A$6)+1),56)),"")</f>
        <v/>
      </c>
      <c r="I60">
        <f t="array" ref="I60">IFERROR(INDEX('Work Items'!$L$6:$L$5000,SMALL(IF('Work Items'!$A$6:$A$5000="CR",ROW('Work Items'!$A$6:$A$5000)-ROW('Work Items'!$A$6)+1),56)),"")</f>
        <v/>
      </c>
      <c r="J60" s="217">
        <f t="array" ref="J60">IFERROR(INDEX('Work Items'!$M$6:$M$5000,SMALL(IF('Work Items'!$A$6:$A$5000="CR",ROW('Work Items'!$A$6:$A$5000)-ROW('Work Items'!$A$6)+1),56)),"")</f>
        <v/>
      </c>
      <c r="K60" s="217">
        <f t="array" ref="K60">IFERROR(INDEX('Work Items'!$Q$6:$Q$5000,SMALL(IF('Work Items'!$A$6:$A$5000="CR",ROW('Work Items'!$A$6:$A$5000)-ROW('Work Items'!$A$6)+1),56)),"")</f>
        <v/>
      </c>
      <c r="L60">
        <f t="array" ref="L60">IFERROR(INDEX('Work Items'!$N$6:$N$5000,SMALL(IF('Work Items'!$A$6:$A$5000="CR",ROW('Work Items'!$A$6:$A$5000)-ROW('Work Items'!$A$6)+1),56)),"")</f>
        <v/>
      </c>
      <c r="M60">
        <f t="array" ref="M60">IFERROR(INDEX('Work Items'!$O$6:$O$5000,SMALL(IF('Work Items'!$A$6:$A$5000="CR",ROW('Work Items'!$A$6:$A$5000)-ROW('Work Items'!$A$6)+1),56)),"")</f>
        <v/>
      </c>
    </row>
    <row r="61">
      <c r="A61">
        <f t="array" ref="A61">IFERROR(INDEX('Work Items'!$A$6:$A$5000,SMALL(IF('Work Items'!$A$6:$A$5000="CR",ROW('Work Items'!$A$6:$A$5000)-ROW('Work Items'!$A$6)+1),57)),"")</f>
        <v/>
      </c>
      <c r="B61">
        <f t="array" ref="B61">IFERROR(INDEX('Work Items'!$B$6:$B$5000,SMALL(IF('Work Items'!$A$6:$A$5000="CR",ROW('Work Items'!$A$6:$A$5000)-ROW('Work Items'!$A$6)+1),57)),"")</f>
        <v/>
      </c>
      <c r="C61">
        <f t="array" ref="C61">IFERROR(INDEX('Work Items'!$C$6:$C$5000,SMALL(IF('Work Items'!$A$6:$A$5000="CR",ROW('Work Items'!$A$6:$A$5000)-ROW('Work Items'!$A$6)+1),57)),"")</f>
        <v/>
      </c>
      <c r="D61">
        <f t="array" ref="D61">IFERROR(INDEX('Work Items'!$D$6:$D$5000,SMALL(IF('Work Items'!$A$6:$A$5000="CR",ROW('Work Items'!$A$6:$A$5000)-ROW('Work Items'!$A$6)+1),57)),"")</f>
        <v/>
      </c>
      <c r="E61">
        <f t="array" ref="E61">IFERROR(INDEX('Work Items'!$E$6:$E$5000,SMALL(IF('Work Items'!$A$6:$A$5000="CR",ROW('Work Items'!$A$6:$A$5000)-ROW('Work Items'!$A$6)+1),57)),"")</f>
        <v/>
      </c>
      <c r="F61">
        <f t="array" ref="F61">IFERROR(INDEX('Work Items'!$F$6:$F$5000,SMALL(IF('Work Items'!$A$6:$A$5000="CR",ROW('Work Items'!$A$6:$A$5000)-ROW('Work Items'!$A$6)+1),57)),"")</f>
        <v/>
      </c>
      <c r="G61">
        <f t="array" ref="G61">IFERROR(INDEX('Work Items'!$J$6:$J$5000,SMALL(IF('Work Items'!$A$6:$A$5000="CR",ROW('Work Items'!$A$6:$A$5000)-ROW('Work Items'!$A$6)+1),57)),"")</f>
        <v/>
      </c>
      <c r="H61">
        <f t="array" ref="H61">IFERROR(INDEX('Work Items'!$K$6:$K$5000,SMALL(IF('Work Items'!$A$6:$A$5000="CR",ROW('Work Items'!$A$6:$A$5000)-ROW('Work Items'!$A$6)+1),57)),"")</f>
        <v/>
      </c>
      <c r="I61">
        <f t="array" ref="I61">IFERROR(INDEX('Work Items'!$L$6:$L$5000,SMALL(IF('Work Items'!$A$6:$A$5000="CR",ROW('Work Items'!$A$6:$A$5000)-ROW('Work Items'!$A$6)+1),57)),"")</f>
        <v/>
      </c>
      <c r="J61" s="217">
        <f t="array" ref="J61">IFERROR(INDEX('Work Items'!$M$6:$M$5000,SMALL(IF('Work Items'!$A$6:$A$5000="CR",ROW('Work Items'!$A$6:$A$5000)-ROW('Work Items'!$A$6)+1),57)),"")</f>
        <v/>
      </c>
      <c r="K61" s="217">
        <f t="array" ref="K61">IFERROR(INDEX('Work Items'!$Q$6:$Q$5000,SMALL(IF('Work Items'!$A$6:$A$5000="CR",ROW('Work Items'!$A$6:$A$5000)-ROW('Work Items'!$A$6)+1),57)),"")</f>
        <v/>
      </c>
      <c r="L61">
        <f t="array" ref="L61">IFERROR(INDEX('Work Items'!$N$6:$N$5000,SMALL(IF('Work Items'!$A$6:$A$5000="CR",ROW('Work Items'!$A$6:$A$5000)-ROW('Work Items'!$A$6)+1),57)),"")</f>
        <v/>
      </c>
      <c r="M61">
        <f t="array" ref="M61">IFERROR(INDEX('Work Items'!$O$6:$O$5000,SMALL(IF('Work Items'!$A$6:$A$5000="CR",ROW('Work Items'!$A$6:$A$5000)-ROW('Work Items'!$A$6)+1),57)),"")</f>
        <v/>
      </c>
    </row>
    <row r="62">
      <c r="A62">
        <f t="array" ref="A62">IFERROR(INDEX('Work Items'!$A$6:$A$5000,SMALL(IF('Work Items'!$A$6:$A$5000="CR",ROW('Work Items'!$A$6:$A$5000)-ROW('Work Items'!$A$6)+1),58)),"")</f>
        <v/>
      </c>
      <c r="B62">
        <f t="array" ref="B62">IFERROR(INDEX('Work Items'!$B$6:$B$5000,SMALL(IF('Work Items'!$A$6:$A$5000="CR",ROW('Work Items'!$A$6:$A$5000)-ROW('Work Items'!$A$6)+1),58)),"")</f>
        <v/>
      </c>
      <c r="C62">
        <f t="array" ref="C62">IFERROR(INDEX('Work Items'!$C$6:$C$5000,SMALL(IF('Work Items'!$A$6:$A$5000="CR",ROW('Work Items'!$A$6:$A$5000)-ROW('Work Items'!$A$6)+1),58)),"")</f>
        <v/>
      </c>
      <c r="D62">
        <f t="array" ref="D62">IFERROR(INDEX('Work Items'!$D$6:$D$5000,SMALL(IF('Work Items'!$A$6:$A$5000="CR",ROW('Work Items'!$A$6:$A$5000)-ROW('Work Items'!$A$6)+1),58)),"")</f>
        <v/>
      </c>
      <c r="E62">
        <f t="array" ref="E62">IFERROR(INDEX('Work Items'!$E$6:$E$5000,SMALL(IF('Work Items'!$A$6:$A$5000="CR",ROW('Work Items'!$A$6:$A$5000)-ROW('Work Items'!$A$6)+1),58)),"")</f>
        <v/>
      </c>
      <c r="F62">
        <f t="array" ref="F62">IFERROR(INDEX('Work Items'!$F$6:$F$5000,SMALL(IF('Work Items'!$A$6:$A$5000="CR",ROW('Work Items'!$A$6:$A$5000)-ROW('Work Items'!$A$6)+1),58)),"")</f>
        <v/>
      </c>
      <c r="G62">
        <f t="array" ref="G62">IFERROR(INDEX('Work Items'!$J$6:$J$5000,SMALL(IF('Work Items'!$A$6:$A$5000="CR",ROW('Work Items'!$A$6:$A$5000)-ROW('Work Items'!$A$6)+1),58)),"")</f>
        <v/>
      </c>
      <c r="H62">
        <f t="array" ref="H62">IFERROR(INDEX('Work Items'!$K$6:$K$5000,SMALL(IF('Work Items'!$A$6:$A$5000="CR",ROW('Work Items'!$A$6:$A$5000)-ROW('Work Items'!$A$6)+1),58)),"")</f>
        <v/>
      </c>
      <c r="I62">
        <f t="array" ref="I62">IFERROR(INDEX('Work Items'!$L$6:$L$5000,SMALL(IF('Work Items'!$A$6:$A$5000="CR",ROW('Work Items'!$A$6:$A$5000)-ROW('Work Items'!$A$6)+1),58)),"")</f>
        <v/>
      </c>
      <c r="J62" s="217">
        <f t="array" ref="J62">IFERROR(INDEX('Work Items'!$M$6:$M$5000,SMALL(IF('Work Items'!$A$6:$A$5000="CR",ROW('Work Items'!$A$6:$A$5000)-ROW('Work Items'!$A$6)+1),58)),"")</f>
        <v/>
      </c>
      <c r="K62" s="217">
        <f t="array" ref="K62">IFERROR(INDEX('Work Items'!$Q$6:$Q$5000,SMALL(IF('Work Items'!$A$6:$A$5000="CR",ROW('Work Items'!$A$6:$A$5000)-ROW('Work Items'!$A$6)+1),58)),"")</f>
        <v/>
      </c>
      <c r="L62">
        <f t="array" ref="L62">IFERROR(INDEX('Work Items'!$N$6:$N$5000,SMALL(IF('Work Items'!$A$6:$A$5000="CR",ROW('Work Items'!$A$6:$A$5000)-ROW('Work Items'!$A$6)+1),58)),"")</f>
        <v/>
      </c>
      <c r="M62">
        <f t="array" ref="M62">IFERROR(INDEX('Work Items'!$O$6:$O$5000,SMALL(IF('Work Items'!$A$6:$A$5000="CR",ROW('Work Items'!$A$6:$A$5000)-ROW('Work Items'!$A$6)+1),58)),"")</f>
        <v/>
      </c>
    </row>
    <row r="63">
      <c r="A63">
        <f t="array" ref="A63">IFERROR(INDEX('Work Items'!$A$6:$A$5000,SMALL(IF('Work Items'!$A$6:$A$5000="CR",ROW('Work Items'!$A$6:$A$5000)-ROW('Work Items'!$A$6)+1),59)),"")</f>
        <v/>
      </c>
      <c r="B63">
        <f t="array" ref="B63">IFERROR(INDEX('Work Items'!$B$6:$B$5000,SMALL(IF('Work Items'!$A$6:$A$5000="CR",ROW('Work Items'!$A$6:$A$5000)-ROW('Work Items'!$A$6)+1),59)),"")</f>
        <v/>
      </c>
      <c r="C63">
        <f t="array" ref="C63">IFERROR(INDEX('Work Items'!$C$6:$C$5000,SMALL(IF('Work Items'!$A$6:$A$5000="CR",ROW('Work Items'!$A$6:$A$5000)-ROW('Work Items'!$A$6)+1),59)),"")</f>
        <v/>
      </c>
      <c r="D63">
        <f t="array" ref="D63">IFERROR(INDEX('Work Items'!$D$6:$D$5000,SMALL(IF('Work Items'!$A$6:$A$5000="CR",ROW('Work Items'!$A$6:$A$5000)-ROW('Work Items'!$A$6)+1),59)),"")</f>
        <v/>
      </c>
      <c r="E63">
        <f t="array" ref="E63">IFERROR(INDEX('Work Items'!$E$6:$E$5000,SMALL(IF('Work Items'!$A$6:$A$5000="CR",ROW('Work Items'!$A$6:$A$5000)-ROW('Work Items'!$A$6)+1),59)),"")</f>
        <v/>
      </c>
      <c r="F63">
        <f t="array" ref="F63">IFERROR(INDEX('Work Items'!$F$6:$F$5000,SMALL(IF('Work Items'!$A$6:$A$5000="CR",ROW('Work Items'!$A$6:$A$5000)-ROW('Work Items'!$A$6)+1),59)),"")</f>
        <v/>
      </c>
      <c r="G63">
        <f t="array" ref="G63">IFERROR(INDEX('Work Items'!$J$6:$J$5000,SMALL(IF('Work Items'!$A$6:$A$5000="CR",ROW('Work Items'!$A$6:$A$5000)-ROW('Work Items'!$A$6)+1),59)),"")</f>
        <v/>
      </c>
      <c r="H63">
        <f t="array" ref="H63">IFERROR(INDEX('Work Items'!$K$6:$K$5000,SMALL(IF('Work Items'!$A$6:$A$5000="CR",ROW('Work Items'!$A$6:$A$5000)-ROW('Work Items'!$A$6)+1),59)),"")</f>
        <v/>
      </c>
      <c r="I63">
        <f t="array" ref="I63">IFERROR(INDEX('Work Items'!$L$6:$L$5000,SMALL(IF('Work Items'!$A$6:$A$5000="CR",ROW('Work Items'!$A$6:$A$5000)-ROW('Work Items'!$A$6)+1),59)),"")</f>
        <v/>
      </c>
      <c r="J63" s="217">
        <f t="array" ref="J63">IFERROR(INDEX('Work Items'!$M$6:$M$5000,SMALL(IF('Work Items'!$A$6:$A$5000="CR",ROW('Work Items'!$A$6:$A$5000)-ROW('Work Items'!$A$6)+1),59)),"")</f>
        <v/>
      </c>
      <c r="K63" s="217">
        <f t="array" ref="K63">IFERROR(INDEX('Work Items'!$Q$6:$Q$5000,SMALL(IF('Work Items'!$A$6:$A$5000="CR",ROW('Work Items'!$A$6:$A$5000)-ROW('Work Items'!$A$6)+1),59)),"")</f>
        <v/>
      </c>
      <c r="L63">
        <f t="array" ref="L63">IFERROR(INDEX('Work Items'!$N$6:$N$5000,SMALL(IF('Work Items'!$A$6:$A$5000="CR",ROW('Work Items'!$A$6:$A$5000)-ROW('Work Items'!$A$6)+1),59)),"")</f>
        <v/>
      </c>
      <c r="M63">
        <f t="array" ref="M63">IFERROR(INDEX('Work Items'!$O$6:$O$5000,SMALL(IF('Work Items'!$A$6:$A$5000="CR",ROW('Work Items'!$A$6:$A$5000)-ROW('Work Items'!$A$6)+1),59)),"")</f>
        <v/>
      </c>
    </row>
    <row r="64">
      <c r="A64">
        <f t="array" ref="A64">IFERROR(INDEX('Work Items'!$A$6:$A$5000,SMALL(IF('Work Items'!$A$6:$A$5000="CR",ROW('Work Items'!$A$6:$A$5000)-ROW('Work Items'!$A$6)+1),60)),"")</f>
        <v/>
      </c>
      <c r="B64">
        <f t="array" ref="B64">IFERROR(INDEX('Work Items'!$B$6:$B$5000,SMALL(IF('Work Items'!$A$6:$A$5000="CR",ROW('Work Items'!$A$6:$A$5000)-ROW('Work Items'!$A$6)+1),60)),"")</f>
        <v/>
      </c>
      <c r="C64">
        <f t="array" ref="C64">IFERROR(INDEX('Work Items'!$C$6:$C$5000,SMALL(IF('Work Items'!$A$6:$A$5000="CR",ROW('Work Items'!$A$6:$A$5000)-ROW('Work Items'!$A$6)+1),60)),"")</f>
        <v/>
      </c>
      <c r="D64">
        <f t="array" ref="D64">IFERROR(INDEX('Work Items'!$D$6:$D$5000,SMALL(IF('Work Items'!$A$6:$A$5000="CR",ROW('Work Items'!$A$6:$A$5000)-ROW('Work Items'!$A$6)+1),60)),"")</f>
        <v/>
      </c>
      <c r="E64">
        <f t="array" ref="E64">IFERROR(INDEX('Work Items'!$E$6:$E$5000,SMALL(IF('Work Items'!$A$6:$A$5000="CR",ROW('Work Items'!$A$6:$A$5000)-ROW('Work Items'!$A$6)+1),60)),"")</f>
        <v/>
      </c>
      <c r="F64">
        <f t="array" ref="F64">IFERROR(INDEX('Work Items'!$F$6:$F$5000,SMALL(IF('Work Items'!$A$6:$A$5000="CR",ROW('Work Items'!$A$6:$A$5000)-ROW('Work Items'!$A$6)+1),60)),"")</f>
        <v/>
      </c>
      <c r="G64">
        <f t="array" ref="G64">IFERROR(INDEX('Work Items'!$J$6:$J$5000,SMALL(IF('Work Items'!$A$6:$A$5000="CR",ROW('Work Items'!$A$6:$A$5000)-ROW('Work Items'!$A$6)+1),60)),"")</f>
        <v/>
      </c>
      <c r="H64">
        <f t="array" ref="H64">IFERROR(INDEX('Work Items'!$K$6:$K$5000,SMALL(IF('Work Items'!$A$6:$A$5000="CR",ROW('Work Items'!$A$6:$A$5000)-ROW('Work Items'!$A$6)+1),60)),"")</f>
        <v/>
      </c>
      <c r="I64">
        <f t="array" ref="I64">IFERROR(INDEX('Work Items'!$L$6:$L$5000,SMALL(IF('Work Items'!$A$6:$A$5000="CR",ROW('Work Items'!$A$6:$A$5000)-ROW('Work Items'!$A$6)+1),60)),"")</f>
        <v/>
      </c>
      <c r="J64" s="217">
        <f t="array" ref="J64">IFERROR(INDEX('Work Items'!$M$6:$M$5000,SMALL(IF('Work Items'!$A$6:$A$5000="CR",ROW('Work Items'!$A$6:$A$5000)-ROW('Work Items'!$A$6)+1),60)),"")</f>
        <v/>
      </c>
      <c r="K64" s="217">
        <f t="array" ref="K64">IFERROR(INDEX('Work Items'!$Q$6:$Q$5000,SMALL(IF('Work Items'!$A$6:$A$5000="CR",ROW('Work Items'!$A$6:$A$5000)-ROW('Work Items'!$A$6)+1),60)),"")</f>
        <v/>
      </c>
      <c r="L64">
        <f t="array" ref="L64">IFERROR(INDEX('Work Items'!$N$6:$N$5000,SMALL(IF('Work Items'!$A$6:$A$5000="CR",ROW('Work Items'!$A$6:$A$5000)-ROW('Work Items'!$A$6)+1),60)),"")</f>
        <v/>
      </c>
      <c r="M64">
        <f t="array" ref="M64">IFERROR(INDEX('Work Items'!$O$6:$O$5000,SMALL(IF('Work Items'!$A$6:$A$5000="CR",ROW('Work Items'!$A$6:$A$5000)-ROW('Work Items'!$A$6)+1),60)),"")</f>
        <v/>
      </c>
    </row>
    <row r="65">
      <c r="A65">
        <f t="array" ref="A65">IFERROR(INDEX('Work Items'!$A$6:$A$5000,SMALL(IF('Work Items'!$A$6:$A$5000="CR",ROW('Work Items'!$A$6:$A$5000)-ROW('Work Items'!$A$6)+1),61)),"")</f>
        <v/>
      </c>
      <c r="B65">
        <f t="array" ref="B65">IFERROR(INDEX('Work Items'!$B$6:$B$5000,SMALL(IF('Work Items'!$A$6:$A$5000="CR",ROW('Work Items'!$A$6:$A$5000)-ROW('Work Items'!$A$6)+1),61)),"")</f>
        <v/>
      </c>
      <c r="C65">
        <f t="array" ref="C65">IFERROR(INDEX('Work Items'!$C$6:$C$5000,SMALL(IF('Work Items'!$A$6:$A$5000="CR",ROW('Work Items'!$A$6:$A$5000)-ROW('Work Items'!$A$6)+1),61)),"")</f>
        <v/>
      </c>
      <c r="D65">
        <f t="array" ref="D65">IFERROR(INDEX('Work Items'!$D$6:$D$5000,SMALL(IF('Work Items'!$A$6:$A$5000="CR",ROW('Work Items'!$A$6:$A$5000)-ROW('Work Items'!$A$6)+1),61)),"")</f>
        <v/>
      </c>
      <c r="E65">
        <f t="array" ref="E65">IFERROR(INDEX('Work Items'!$E$6:$E$5000,SMALL(IF('Work Items'!$A$6:$A$5000="CR",ROW('Work Items'!$A$6:$A$5000)-ROW('Work Items'!$A$6)+1),61)),"")</f>
        <v/>
      </c>
      <c r="F65">
        <f t="array" ref="F65">IFERROR(INDEX('Work Items'!$F$6:$F$5000,SMALL(IF('Work Items'!$A$6:$A$5000="CR",ROW('Work Items'!$A$6:$A$5000)-ROW('Work Items'!$A$6)+1),61)),"")</f>
        <v/>
      </c>
      <c r="G65">
        <f t="array" ref="G65">IFERROR(INDEX('Work Items'!$J$6:$J$5000,SMALL(IF('Work Items'!$A$6:$A$5000="CR",ROW('Work Items'!$A$6:$A$5000)-ROW('Work Items'!$A$6)+1),61)),"")</f>
        <v/>
      </c>
      <c r="H65">
        <f t="array" ref="H65">IFERROR(INDEX('Work Items'!$K$6:$K$5000,SMALL(IF('Work Items'!$A$6:$A$5000="CR",ROW('Work Items'!$A$6:$A$5000)-ROW('Work Items'!$A$6)+1),61)),"")</f>
        <v/>
      </c>
      <c r="I65">
        <f t="array" ref="I65">IFERROR(INDEX('Work Items'!$L$6:$L$5000,SMALL(IF('Work Items'!$A$6:$A$5000="CR",ROW('Work Items'!$A$6:$A$5000)-ROW('Work Items'!$A$6)+1),61)),"")</f>
        <v/>
      </c>
      <c r="J65" s="217">
        <f t="array" ref="J65">IFERROR(INDEX('Work Items'!$M$6:$M$5000,SMALL(IF('Work Items'!$A$6:$A$5000="CR",ROW('Work Items'!$A$6:$A$5000)-ROW('Work Items'!$A$6)+1),61)),"")</f>
        <v/>
      </c>
      <c r="K65" s="217">
        <f t="array" ref="K65">IFERROR(INDEX('Work Items'!$Q$6:$Q$5000,SMALL(IF('Work Items'!$A$6:$A$5000="CR",ROW('Work Items'!$A$6:$A$5000)-ROW('Work Items'!$A$6)+1),61)),"")</f>
        <v/>
      </c>
      <c r="L65">
        <f t="array" ref="L65">IFERROR(INDEX('Work Items'!$N$6:$N$5000,SMALL(IF('Work Items'!$A$6:$A$5000="CR",ROW('Work Items'!$A$6:$A$5000)-ROW('Work Items'!$A$6)+1),61)),"")</f>
        <v/>
      </c>
      <c r="M65">
        <f t="array" ref="M65">IFERROR(INDEX('Work Items'!$O$6:$O$5000,SMALL(IF('Work Items'!$A$6:$A$5000="CR",ROW('Work Items'!$A$6:$A$5000)-ROW('Work Items'!$A$6)+1),61)),"")</f>
        <v/>
      </c>
    </row>
    <row r="66">
      <c r="A66">
        <f t="array" ref="A66">IFERROR(INDEX('Work Items'!$A$6:$A$5000,SMALL(IF('Work Items'!$A$6:$A$5000="CR",ROW('Work Items'!$A$6:$A$5000)-ROW('Work Items'!$A$6)+1),62)),"")</f>
        <v/>
      </c>
      <c r="B66">
        <f t="array" ref="B66">IFERROR(INDEX('Work Items'!$B$6:$B$5000,SMALL(IF('Work Items'!$A$6:$A$5000="CR",ROW('Work Items'!$A$6:$A$5000)-ROW('Work Items'!$A$6)+1),62)),"")</f>
        <v/>
      </c>
      <c r="C66">
        <f t="array" ref="C66">IFERROR(INDEX('Work Items'!$C$6:$C$5000,SMALL(IF('Work Items'!$A$6:$A$5000="CR",ROW('Work Items'!$A$6:$A$5000)-ROW('Work Items'!$A$6)+1),62)),"")</f>
        <v/>
      </c>
      <c r="D66">
        <f t="array" ref="D66">IFERROR(INDEX('Work Items'!$D$6:$D$5000,SMALL(IF('Work Items'!$A$6:$A$5000="CR",ROW('Work Items'!$A$6:$A$5000)-ROW('Work Items'!$A$6)+1),62)),"")</f>
        <v/>
      </c>
      <c r="E66">
        <f t="array" ref="E66">IFERROR(INDEX('Work Items'!$E$6:$E$5000,SMALL(IF('Work Items'!$A$6:$A$5000="CR",ROW('Work Items'!$A$6:$A$5000)-ROW('Work Items'!$A$6)+1),62)),"")</f>
        <v/>
      </c>
      <c r="F66">
        <f t="array" ref="F66">IFERROR(INDEX('Work Items'!$F$6:$F$5000,SMALL(IF('Work Items'!$A$6:$A$5000="CR",ROW('Work Items'!$A$6:$A$5000)-ROW('Work Items'!$A$6)+1),62)),"")</f>
        <v/>
      </c>
      <c r="G66">
        <f t="array" ref="G66">IFERROR(INDEX('Work Items'!$J$6:$J$5000,SMALL(IF('Work Items'!$A$6:$A$5000="CR",ROW('Work Items'!$A$6:$A$5000)-ROW('Work Items'!$A$6)+1),62)),"")</f>
        <v/>
      </c>
      <c r="H66">
        <f t="array" ref="H66">IFERROR(INDEX('Work Items'!$K$6:$K$5000,SMALL(IF('Work Items'!$A$6:$A$5000="CR",ROW('Work Items'!$A$6:$A$5000)-ROW('Work Items'!$A$6)+1),62)),"")</f>
        <v/>
      </c>
      <c r="I66">
        <f t="array" ref="I66">IFERROR(INDEX('Work Items'!$L$6:$L$5000,SMALL(IF('Work Items'!$A$6:$A$5000="CR",ROW('Work Items'!$A$6:$A$5000)-ROW('Work Items'!$A$6)+1),62)),"")</f>
        <v/>
      </c>
      <c r="J66" s="217">
        <f t="array" ref="J66">IFERROR(INDEX('Work Items'!$M$6:$M$5000,SMALL(IF('Work Items'!$A$6:$A$5000="CR",ROW('Work Items'!$A$6:$A$5000)-ROW('Work Items'!$A$6)+1),62)),"")</f>
        <v/>
      </c>
      <c r="K66" s="217">
        <f t="array" ref="K66">IFERROR(INDEX('Work Items'!$Q$6:$Q$5000,SMALL(IF('Work Items'!$A$6:$A$5000="CR",ROW('Work Items'!$A$6:$A$5000)-ROW('Work Items'!$A$6)+1),62)),"")</f>
        <v/>
      </c>
      <c r="L66">
        <f t="array" ref="L66">IFERROR(INDEX('Work Items'!$N$6:$N$5000,SMALL(IF('Work Items'!$A$6:$A$5000="CR",ROW('Work Items'!$A$6:$A$5000)-ROW('Work Items'!$A$6)+1),62)),"")</f>
        <v/>
      </c>
      <c r="M66">
        <f t="array" ref="M66">IFERROR(INDEX('Work Items'!$O$6:$O$5000,SMALL(IF('Work Items'!$A$6:$A$5000="CR",ROW('Work Items'!$A$6:$A$5000)-ROW('Work Items'!$A$6)+1),62)),"")</f>
        <v/>
      </c>
    </row>
    <row r="67">
      <c r="A67">
        <f t="array" ref="A67">IFERROR(INDEX('Work Items'!$A$6:$A$5000,SMALL(IF('Work Items'!$A$6:$A$5000="CR",ROW('Work Items'!$A$6:$A$5000)-ROW('Work Items'!$A$6)+1),63)),"")</f>
        <v/>
      </c>
      <c r="B67">
        <f t="array" ref="B67">IFERROR(INDEX('Work Items'!$B$6:$B$5000,SMALL(IF('Work Items'!$A$6:$A$5000="CR",ROW('Work Items'!$A$6:$A$5000)-ROW('Work Items'!$A$6)+1),63)),"")</f>
        <v/>
      </c>
      <c r="C67">
        <f t="array" ref="C67">IFERROR(INDEX('Work Items'!$C$6:$C$5000,SMALL(IF('Work Items'!$A$6:$A$5000="CR",ROW('Work Items'!$A$6:$A$5000)-ROW('Work Items'!$A$6)+1),63)),"")</f>
        <v/>
      </c>
      <c r="D67">
        <f t="array" ref="D67">IFERROR(INDEX('Work Items'!$D$6:$D$5000,SMALL(IF('Work Items'!$A$6:$A$5000="CR",ROW('Work Items'!$A$6:$A$5000)-ROW('Work Items'!$A$6)+1),63)),"")</f>
        <v/>
      </c>
      <c r="E67">
        <f t="array" ref="E67">IFERROR(INDEX('Work Items'!$E$6:$E$5000,SMALL(IF('Work Items'!$A$6:$A$5000="CR",ROW('Work Items'!$A$6:$A$5000)-ROW('Work Items'!$A$6)+1),63)),"")</f>
        <v/>
      </c>
      <c r="F67">
        <f t="array" ref="F67">IFERROR(INDEX('Work Items'!$F$6:$F$5000,SMALL(IF('Work Items'!$A$6:$A$5000="CR",ROW('Work Items'!$A$6:$A$5000)-ROW('Work Items'!$A$6)+1),63)),"")</f>
        <v/>
      </c>
      <c r="G67">
        <f t="array" ref="G67">IFERROR(INDEX('Work Items'!$J$6:$J$5000,SMALL(IF('Work Items'!$A$6:$A$5000="CR",ROW('Work Items'!$A$6:$A$5000)-ROW('Work Items'!$A$6)+1),63)),"")</f>
        <v/>
      </c>
      <c r="H67">
        <f t="array" ref="H67">IFERROR(INDEX('Work Items'!$K$6:$K$5000,SMALL(IF('Work Items'!$A$6:$A$5000="CR",ROW('Work Items'!$A$6:$A$5000)-ROW('Work Items'!$A$6)+1),63)),"")</f>
        <v/>
      </c>
      <c r="I67">
        <f t="array" ref="I67">IFERROR(INDEX('Work Items'!$L$6:$L$5000,SMALL(IF('Work Items'!$A$6:$A$5000="CR",ROW('Work Items'!$A$6:$A$5000)-ROW('Work Items'!$A$6)+1),63)),"")</f>
        <v/>
      </c>
      <c r="J67" s="217">
        <f t="array" ref="J67">IFERROR(INDEX('Work Items'!$M$6:$M$5000,SMALL(IF('Work Items'!$A$6:$A$5000="CR",ROW('Work Items'!$A$6:$A$5000)-ROW('Work Items'!$A$6)+1),63)),"")</f>
        <v/>
      </c>
      <c r="K67" s="217">
        <f t="array" ref="K67">IFERROR(INDEX('Work Items'!$Q$6:$Q$5000,SMALL(IF('Work Items'!$A$6:$A$5000="CR",ROW('Work Items'!$A$6:$A$5000)-ROW('Work Items'!$A$6)+1),63)),"")</f>
        <v/>
      </c>
      <c r="L67">
        <f t="array" ref="L67">IFERROR(INDEX('Work Items'!$N$6:$N$5000,SMALL(IF('Work Items'!$A$6:$A$5000="CR",ROW('Work Items'!$A$6:$A$5000)-ROW('Work Items'!$A$6)+1),63)),"")</f>
        <v/>
      </c>
      <c r="M67">
        <f t="array" ref="M67">IFERROR(INDEX('Work Items'!$O$6:$O$5000,SMALL(IF('Work Items'!$A$6:$A$5000="CR",ROW('Work Items'!$A$6:$A$5000)-ROW('Work Items'!$A$6)+1),63)),"")</f>
        <v/>
      </c>
    </row>
    <row r="68">
      <c r="A68">
        <f t="array" ref="A68">IFERROR(INDEX('Work Items'!$A$6:$A$5000,SMALL(IF('Work Items'!$A$6:$A$5000="CR",ROW('Work Items'!$A$6:$A$5000)-ROW('Work Items'!$A$6)+1),64)),"")</f>
        <v/>
      </c>
      <c r="B68">
        <f t="array" ref="B68">IFERROR(INDEX('Work Items'!$B$6:$B$5000,SMALL(IF('Work Items'!$A$6:$A$5000="CR",ROW('Work Items'!$A$6:$A$5000)-ROW('Work Items'!$A$6)+1),64)),"")</f>
        <v/>
      </c>
      <c r="C68">
        <f t="array" ref="C68">IFERROR(INDEX('Work Items'!$C$6:$C$5000,SMALL(IF('Work Items'!$A$6:$A$5000="CR",ROW('Work Items'!$A$6:$A$5000)-ROW('Work Items'!$A$6)+1),64)),"")</f>
        <v/>
      </c>
      <c r="D68">
        <f t="array" ref="D68">IFERROR(INDEX('Work Items'!$D$6:$D$5000,SMALL(IF('Work Items'!$A$6:$A$5000="CR",ROW('Work Items'!$A$6:$A$5000)-ROW('Work Items'!$A$6)+1),64)),"")</f>
        <v/>
      </c>
      <c r="E68">
        <f t="array" ref="E68">IFERROR(INDEX('Work Items'!$E$6:$E$5000,SMALL(IF('Work Items'!$A$6:$A$5000="CR",ROW('Work Items'!$A$6:$A$5000)-ROW('Work Items'!$A$6)+1),64)),"")</f>
        <v/>
      </c>
      <c r="F68">
        <f t="array" ref="F68">IFERROR(INDEX('Work Items'!$F$6:$F$5000,SMALL(IF('Work Items'!$A$6:$A$5000="CR",ROW('Work Items'!$A$6:$A$5000)-ROW('Work Items'!$A$6)+1),64)),"")</f>
        <v/>
      </c>
      <c r="G68">
        <f t="array" ref="G68">IFERROR(INDEX('Work Items'!$J$6:$J$5000,SMALL(IF('Work Items'!$A$6:$A$5000="CR",ROW('Work Items'!$A$6:$A$5000)-ROW('Work Items'!$A$6)+1),64)),"")</f>
        <v/>
      </c>
      <c r="H68">
        <f t="array" ref="H68">IFERROR(INDEX('Work Items'!$K$6:$K$5000,SMALL(IF('Work Items'!$A$6:$A$5000="CR",ROW('Work Items'!$A$6:$A$5000)-ROW('Work Items'!$A$6)+1),64)),"")</f>
        <v/>
      </c>
      <c r="I68">
        <f t="array" ref="I68">IFERROR(INDEX('Work Items'!$L$6:$L$5000,SMALL(IF('Work Items'!$A$6:$A$5000="CR",ROW('Work Items'!$A$6:$A$5000)-ROW('Work Items'!$A$6)+1),64)),"")</f>
        <v/>
      </c>
      <c r="J68" s="217">
        <f t="array" ref="J68">IFERROR(INDEX('Work Items'!$M$6:$M$5000,SMALL(IF('Work Items'!$A$6:$A$5000="CR",ROW('Work Items'!$A$6:$A$5000)-ROW('Work Items'!$A$6)+1),64)),"")</f>
        <v/>
      </c>
      <c r="K68" s="217">
        <f t="array" ref="K68">IFERROR(INDEX('Work Items'!$Q$6:$Q$5000,SMALL(IF('Work Items'!$A$6:$A$5000="CR",ROW('Work Items'!$A$6:$A$5000)-ROW('Work Items'!$A$6)+1),64)),"")</f>
        <v/>
      </c>
      <c r="L68">
        <f t="array" ref="L68">IFERROR(INDEX('Work Items'!$N$6:$N$5000,SMALL(IF('Work Items'!$A$6:$A$5000="CR",ROW('Work Items'!$A$6:$A$5000)-ROW('Work Items'!$A$6)+1),64)),"")</f>
        <v/>
      </c>
      <c r="M68">
        <f t="array" ref="M68">IFERROR(INDEX('Work Items'!$O$6:$O$5000,SMALL(IF('Work Items'!$A$6:$A$5000="CR",ROW('Work Items'!$A$6:$A$5000)-ROW('Work Items'!$A$6)+1),64)),"")</f>
        <v/>
      </c>
    </row>
    <row r="69">
      <c r="A69">
        <f t="array" ref="A69">IFERROR(INDEX('Work Items'!$A$6:$A$5000,SMALL(IF('Work Items'!$A$6:$A$5000="CR",ROW('Work Items'!$A$6:$A$5000)-ROW('Work Items'!$A$6)+1),65)),"")</f>
        <v/>
      </c>
      <c r="B69">
        <f t="array" ref="B69">IFERROR(INDEX('Work Items'!$B$6:$B$5000,SMALL(IF('Work Items'!$A$6:$A$5000="CR",ROW('Work Items'!$A$6:$A$5000)-ROW('Work Items'!$A$6)+1),65)),"")</f>
        <v/>
      </c>
      <c r="C69">
        <f t="array" ref="C69">IFERROR(INDEX('Work Items'!$C$6:$C$5000,SMALL(IF('Work Items'!$A$6:$A$5000="CR",ROW('Work Items'!$A$6:$A$5000)-ROW('Work Items'!$A$6)+1),65)),"")</f>
        <v/>
      </c>
      <c r="D69">
        <f t="array" ref="D69">IFERROR(INDEX('Work Items'!$D$6:$D$5000,SMALL(IF('Work Items'!$A$6:$A$5000="CR",ROW('Work Items'!$A$6:$A$5000)-ROW('Work Items'!$A$6)+1),65)),"")</f>
        <v/>
      </c>
      <c r="E69">
        <f t="array" ref="E69">IFERROR(INDEX('Work Items'!$E$6:$E$5000,SMALL(IF('Work Items'!$A$6:$A$5000="CR",ROW('Work Items'!$A$6:$A$5000)-ROW('Work Items'!$A$6)+1),65)),"")</f>
        <v/>
      </c>
      <c r="F69">
        <f t="array" ref="F69">IFERROR(INDEX('Work Items'!$F$6:$F$5000,SMALL(IF('Work Items'!$A$6:$A$5000="CR",ROW('Work Items'!$A$6:$A$5000)-ROW('Work Items'!$A$6)+1),65)),"")</f>
        <v/>
      </c>
      <c r="G69">
        <f t="array" ref="G69">IFERROR(INDEX('Work Items'!$J$6:$J$5000,SMALL(IF('Work Items'!$A$6:$A$5000="CR",ROW('Work Items'!$A$6:$A$5000)-ROW('Work Items'!$A$6)+1),65)),"")</f>
        <v/>
      </c>
      <c r="H69">
        <f t="array" ref="H69">IFERROR(INDEX('Work Items'!$K$6:$K$5000,SMALL(IF('Work Items'!$A$6:$A$5000="CR",ROW('Work Items'!$A$6:$A$5000)-ROW('Work Items'!$A$6)+1),65)),"")</f>
        <v/>
      </c>
      <c r="I69">
        <f t="array" ref="I69">IFERROR(INDEX('Work Items'!$L$6:$L$5000,SMALL(IF('Work Items'!$A$6:$A$5000="CR",ROW('Work Items'!$A$6:$A$5000)-ROW('Work Items'!$A$6)+1),65)),"")</f>
        <v/>
      </c>
      <c r="J69" s="217">
        <f t="array" ref="J69">IFERROR(INDEX('Work Items'!$M$6:$M$5000,SMALL(IF('Work Items'!$A$6:$A$5000="CR",ROW('Work Items'!$A$6:$A$5000)-ROW('Work Items'!$A$6)+1),65)),"")</f>
        <v/>
      </c>
      <c r="K69" s="217">
        <f t="array" ref="K69">IFERROR(INDEX('Work Items'!$Q$6:$Q$5000,SMALL(IF('Work Items'!$A$6:$A$5000="CR",ROW('Work Items'!$A$6:$A$5000)-ROW('Work Items'!$A$6)+1),65)),"")</f>
        <v/>
      </c>
      <c r="L69">
        <f t="array" ref="L69">IFERROR(INDEX('Work Items'!$N$6:$N$5000,SMALL(IF('Work Items'!$A$6:$A$5000="CR",ROW('Work Items'!$A$6:$A$5000)-ROW('Work Items'!$A$6)+1),65)),"")</f>
        <v/>
      </c>
      <c r="M69">
        <f t="array" ref="M69">IFERROR(INDEX('Work Items'!$O$6:$O$5000,SMALL(IF('Work Items'!$A$6:$A$5000="CR",ROW('Work Items'!$A$6:$A$5000)-ROW('Work Items'!$A$6)+1),65)),"")</f>
        <v/>
      </c>
    </row>
    <row r="70">
      <c r="A70">
        <f t="array" ref="A70">IFERROR(INDEX('Work Items'!$A$6:$A$5000,SMALL(IF('Work Items'!$A$6:$A$5000="CR",ROW('Work Items'!$A$6:$A$5000)-ROW('Work Items'!$A$6)+1),66)),"")</f>
        <v/>
      </c>
      <c r="B70">
        <f t="array" ref="B70">IFERROR(INDEX('Work Items'!$B$6:$B$5000,SMALL(IF('Work Items'!$A$6:$A$5000="CR",ROW('Work Items'!$A$6:$A$5000)-ROW('Work Items'!$A$6)+1),66)),"")</f>
        <v/>
      </c>
      <c r="C70">
        <f t="array" ref="C70">IFERROR(INDEX('Work Items'!$C$6:$C$5000,SMALL(IF('Work Items'!$A$6:$A$5000="CR",ROW('Work Items'!$A$6:$A$5000)-ROW('Work Items'!$A$6)+1),66)),"")</f>
        <v/>
      </c>
      <c r="D70">
        <f t="array" ref="D70">IFERROR(INDEX('Work Items'!$D$6:$D$5000,SMALL(IF('Work Items'!$A$6:$A$5000="CR",ROW('Work Items'!$A$6:$A$5000)-ROW('Work Items'!$A$6)+1),66)),"")</f>
        <v/>
      </c>
      <c r="E70">
        <f t="array" ref="E70">IFERROR(INDEX('Work Items'!$E$6:$E$5000,SMALL(IF('Work Items'!$A$6:$A$5000="CR",ROW('Work Items'!$A$6:$A$5000)-ROW('Work Items'!$A$6)+1),66)),"")</f>
        <v/>
      </c>
      <c r="F70">
        <f t="array" ref="F70">IFERROR(INDEX('Work Items'!$F$6:$F$5000,SMALL(IF('Work Items'!$A$6:$A$5000="CR",ROW('Work Items'!$A$6:$A$5000)-ROW('Work Items'!$A$6)+1),66)),"")</f>
        <v/>
      </c>
      <c r="G70">
        <f t="array" ref="G70">IFERROR(INDEX('Work Items'!$J$6:$J$5000,SMALL(IF('Work Items'!$A$6:$A$5000="CR",ROW('Work Items'!$A$6:$A$5000)-ROW('Work Items'!$A$6)+1),66)),"")</f>
        <v/>
      </c>
      <c r="H70">
        <f t="array" ref="H70">IFERROR(INDEX('Work Items'!$K$6:$K$5000,SMALL(IF('Work Items'!$A$6:$A$5000="CR",ROW('Work Items'!$A$6:$A$5000)-ROW('Work Items'!$A$6)+1),66)),"")</f>
        <v/>
      </c>
      <c r="I70">
        <f t="array" ref="I70">IFERROR(INDEX('Work Items'!$L$6:$L$5000,SMALL(IF('Work Items'!$A$6:$A$5000="CR",ROW('Work Items'!$A$6:$A$5000)-ROW('Work Items'!$A$6)+1),66)),"")</f>
        <v/>
      </c>
      <c r="J70" s="217">
        <f t="array" ref="J70">IFERROR(INDEX('Work Items'!$M$6:$M$5000,SMALL(IF('Work Items'!$A$6:$A$5000="CR",ROW('Work Items'!$A$6:$A$5000)-ROW('Work Items'!$A$6)+1),66)),"")</f>
        <v/>
      </c>
      <c r="K70" s="217">
        <f t="array" ref="K70">IFERROR(INDEX('Work Items'!$Q$6:$Q$5000,SMALL(IF('Work Items'!$A$6:$A$5000="CR",ROW('Work Items'!$A$6:$A$5000)-ROW('Work Items'!$A$6)+1),66)),"")</f>
        <v/>
      </c>
      <c r="L70">
        <f t="array" ref="L70">IFERROR(INDEX('Work Items'!$N$6:$N$5000,SMALL(IF('Work Items'!$A$6:$A$5000="CR",ROW('Work Items'!$A$6:$A$5000)-ROW('Work Items'!$A$6)+1),66)),"")</f>
        <v/>
      </c>
      <c r="M70">
        <f t="array" ref="M70">IFERROR(INDEX('Work Items'!$O$6:$O$5000,SMALL(IF('Work Items'!$A$6:$A$5000="CR",ROW('Work Items'!$A$6:$A$5000)-ROW('Work Items'!$A$6)+1),66)),"")</f>
        <v/>
      </c>
    </row>
    <row r="71">
      <c r="A71">
        <f t="array" ref="A71">IFERROR(INDEX('Work Items'!$A$6:$A$5000,SMALL(IF('Work Items'!$A$6:$A$5000="CR",ROW('Work Items'!$A$6:$A$5000)-ROW('Work Items'!$A$6)+1),67)),"")</f>
        <v/>
      </c>
      <c r="B71">
        <f t="array" ref="B71">IFERROR(INDEX('Work Items'!$B$6:$B$5000,SMALL(IF('Work Items'!$A$6:$A$5000="CR",ROW('Work Items'!$A$6:$A$5000)-ROW('Work Items'!$A$6)+1),67)),"")</f>
        <v/>
      </c>
      <c r="C71">
        <f t="array" ref="C71">IFERROR(INDEX('Work Items'!$C$6:$C$5000,SMALL(IF('Work Items'!$A$6:$A$5000="CR",ROW('Work Items'!$A$6:$A$5000)-ROW('Work Items'!$A$6)+1),67)),"")</f>
        <v/>
      </c>
      <c r="D71">
        <f t="array" ref="D71">IFERROR(INDEX('Work Items'!$D$6:$D$5000,SMALL(IF('Work Items'!$A$6:$A$5000="CR",ROW('Work Items'!$A$6:$A$5000)-ROW('Work Items'!$A$6)+1),67)),"")</f>
        <v/>
      </c>
      <c r="E71">
        <f t="array" ref="E71">IFERROR(INDEX('Work Items'!$E$6:$E$5000,SMALL(IF('Work Items'!$A$6:$A$5000="CR",ROW('Work Items'!$A$6:$A$5000)-ROW('Work Items'!$A$6)+1),67)),"")</f>
        <v/>
      </c>
      <c r="F71">
        <f t="array" ref="F71">IFERROR(INDEX('Work Items'!$F$6:$F$5000,SMALL(IF('Work Items'!$A$6:$A$5000="CR",ROW('Work Items'!$A$6:$A$5000)-ROW('Work Items'!$A$6)+1),67)),"")</f>
        <v/>
      </c>
      <c r="G71">
        <f t="array" ref="G71">IFERROR(INDEX('Work Items'!$J$6:$J$5000,SMALL(IF('Work Items'!$A$6:$A$5000="CR",ROW('Work Items'!$A$6:$A$5000)-ROW('Work Items'!$A$6)+1),67)),"")</f>
        <v/>
      </c>
      <c r="H71">
        <f t="array" ref="H71">IFERROR(INDEX('Work Items'!$K$6:$K$5000,SMALL(IF('Work Items'!$A$6:$A$5000="CR",ROW('Work Items'!$A$6:$A$5000)-ROW('Work Items'!$A$6)+1),67)),"")</f>
        <v/>
      </c>
      <c r="I71">
        <f t="array" ref="I71">IFERROR(INDEX('Work Items'!$L$6:$L$5000,SMALL(IF('Work Items'!$A$6:$A$5000="CR",ROW('Work Items'!$A$6:$A$5000)-ROW('Work Items'!$A$6)+1),67)),"")</f>
        <v/>
      </c>
      <c r="J71" s="217">
        <f t="array" ref="J71">IFERROR(INDEX('Work Items'!$M$6:$M$5000,SMALL(IF('Work Items'!$A$6:$A$5000="CR",ROW('Work Items'!$A$6:$A$5000)-ROW('Work Items'!$A$6)+1),67)),"")</f>
        <v/>
      </c>
      <c r="K71" s="217">
        <f t="array" ref="K71">IFERROR(INDEX('Work Items'!$Q$6:$Q$5000,SMALL(IF('Work Items'!$A$6:$A$5000="CR",ROW('Work Items'!$A$6:$A$5000)-ROW('Work Items'!$A$6)+1),67)),"")</f>
        <v/>
      </c>
      <c r="L71">
        <f t="array" ref="L71">IFERROR(INDEX('Work Items'!$N$6:$N$5000,SMALL(IF('Work Items'!$A$6:$A$5000="CR",ROW('Work Items'!$A$6:$A$5000)-ROW('Work Items'!$A$6)+1),67)),"")</f>
        <v/>
      </c>
      <c r="M71">
        <f t="array" ref="M71">IFERROR(INDEX('Work Items'!$O$6:$O$5000,SMALL(IF('Work Items'!$A$6:$A$5000="CR",ROW('Work Items'!$A$6:$A$5000)-ROW('Work Items'!$A$6)+1),67)),"")</f>
        <v/>
      </c>
    </row>
    <row r="72">
      <c r="A72">
        <f t="array" ref="A72">IFERROR(INDEX('Work Items'!$A$6:$A$5000,SMALL(IF('Work Items'!$A$6:$A$5000="CR",ROW('Work Items'!$A$6:$A$5000)-ROW('Work Items'!$A$6)+1),68)),"")</f>
        <v/>
      </c>
      <c r="B72">
        <f t="array" ref="B72">IFERROR(INDEX('Work Items'!$B$6:$B$5000,SMALL(IF('Work Items'!$A$6:$A$5000="CR",ROW('Work Items'!$A$6:$A$5000)-ROW('Work Items'!$A$6)+1),68)),"")</f>
        <v/>
      </c>
      <c r="C72">
        <f t="array" ref="C72">IFERROR(INDEX('Work Items'!$C$6:$C$5000,SMALL(IF('Work Items'!$A$6:$A$5000="CR",ROW('Work Items'!$A$6:$A$5000)-ROW('Work Items'!$A$6)+1),68)),"")</f>
        <v/>
      </c>
      <c r="D72">
        <f t="array" ref="D72">IFERROR(INDEX('Work Items'!$D$6:$D$5000,SMALL(IF('Work Items'!$A$6:$A$5000="CR",ROW('Work Items'!$A$6:$A$5000)-ROW('Work Items'!$A$6)+1),68)),"")</f>
        <v/>
      </c>
      <c r="E72">
        <f t="array" ref="E72">IFERROR(INDEX('Work Items'!$E$6:$E$5000,SMALL(IF('Work Items'!$A$6:$A$5000="CR",ROW('Work Items'!$A$6:$A$5000)-ROW('Work Items'!$A$6)+1),68)),"")</f>
        <v/>
      </c>
      <c r="F72">
        <f t="array" ref="F72">IFERROR(INDEX('Work Items'!$F$6:$F$5000,SMALL(IF('Work Items'!$A$6:$A$5000="CR",ROW('Work Items'!$A$6:$A$5000)-ROW('Work Items'!$A$6)+1),68)),"")</f>
        <v/>
      </c>
      <c r="G72">
        <f t="array" ref="G72">IFERROR(INDEX('Work Items'!$J$6:$J$5000,SMALL(IF('Work Items'!$A$6:$A$5000="CR",ROW('Work Items'!$A$6:$A$5000)-ROW('Work Items'!$A$6)+1),68)),"")</f>
        <v/>
      </c>
      <c r="H72">
        <f t="array" ref="H72">IFERROR(INDEX('Work Items'!$K$6:$K$5000,SMALL(IF('Work Items'!$A$6:$A$5000="CR",ROW('Work Items'!$A$6:$A$5000)-ROW('Work Items'!$A$6)+1),68)),"")</f>
        <v/>
      </c>
      <c r="I72">
        <f t="array" ref="I72">IFERROR(INDEX('Work Items'!$L$6:$L$5000,SMALL(IF('Work Items'!$A$6:$A$5000="CR",ROW('Work Items'!$A$6:$A$5000)-ROW('Work Items'!$A$6)+1),68)),"")</f>
        <v/>
      </c>
      <c r="J72" s="217">
        <f t="array" ref="J72">IFERROR(INDEX('Work Items'!$M$6:$M$5000,SMALL(IF('Work Items'!$A$6:$A$5000="CR",ROW('Work Items'!$A$6:$A$5000)-ROW('Work Items'!$A$6)+1),68)),"")</f>
        <v/>
      </c>
      <c r="K72" s="217">
        <f t="array" ref="K72">IFERROR(INDEX('Work Items'!$Q$6:$Q$5000,SMALL(IF('Work Items'!$A$6:$A$5000="CR",ROW('Work Items'!$A$6:$A$5000)-ROW('Work Items'!$A$6)+1),68)),"")</f>
        <v/>
      </c>
      <c r="L72">
        <f t="array" ref="L72">IFERROR(INDEX('Work Items'!$N$6:$N$5000,SMALL(IF('Work Items'!$A$6:$A$5000="CR",ROW('Work Items'!$A$6:$A$5000)-ROW('Work Items'!$A$6)+1),68)),"")</f>
        <v/>
      </c>
      <c r="M72">
        <f t="array" ref="M72">IFERROR(INDEX('Work Items'!$O$6:$O$5000,SMALL(IF('Work Items'!$A$6:$A$5000="CR",ROW('Work Items'!$A$6:$A$5000)-ROW('Work Items'!$A$6)+1),68)),"")</f>
        <v/>
      </c>
    </row>
    <row r="73">
      <c r="A73">
        <f t="array" ref="A73">IFERROR(INDEX('Work Items'!$A$6:$A$5000,SMALL(IF('Work Items'!$A$6:$A$5000="CR",ROW('Work Items'!$A$6:$A$5000)-ROW('Work Items'!$A$6)+1),69)),"")</f>
        <v/>
      </c>
      <c r="B73">
        <f t="array" ref="B73">IFERROR(INDEX('Work Items'!$B$6:$B$5000,SMALL(IF('Work Items'!$A$6:$A$5000="CR",ROW('Work Items'!$A$6:$A$5000)-ROW('Work Items'!$A$6)+1),69)),"")</f>
        <v/>
      </c>
      <c r="C73">
        <f t="array" ref="C73">IFERROR(INDEX('Work Items'!$C$6:$C$5000,SMALL(IF('Work Items'!$A$6:$A$5000="CR",ROW('Work Items'!$A$6:$A$5000)-ROW('Work Items'!$A$6)+1),69)),"")</f>
        <v/>
      </c>
      <c r="D73">
        <f t="array" ref="D73">IFERROR(INDEX('Work Items'!$D$6:$D$5000,SMALL(IF('Work Items'!$A$6:$A$5000="CR",ROW('Work Items'!$A$6:$A$5000)-ROW('Work Items'!$A$6)+1),69)),"")</f>
        <v/>
      </c>
      <c r="E73">
        <f t="array" ref="E73">IFERROR(INDEX('Work Items'!$E$6:$E$5000,SMALL(IF('Work Items'!$A$6:$A$5000="CR",ROW('Work Items'!$A$6:$A$5000)-ROW('Work Items'!$A$6)+1),69)),"")</f>
        <v/>
      </c>
      <c r="F73">
        <f t="array" ref="F73">IFERROR(INDEX('Work Items'!$F$6:$F$5000,SMALL(IF('Work Items'!$A$6:$A$5000="CR",ROW('Work Items'!$A$6:$A$5000)-ROW('Work Items'!$A$6)+1),69)),"")</f>
        <v/>
      </c>
      <c r="G73">
        <f t="array" ref="G73">IFERROR(INDEX('Work Items'!$J$6:$J$5000,SMALL(IF('Work Items'!$A$6:$A$5000="CR",ROW('Work Items'!$A$6:$A$5000)-ROW('Work Items'!$A$6)+1),69)),"")</f>
        <v/>
      </c>
      <c r="H73">
        <f t="array" ref="H73">IFERROR(INDEX('Work Items'!$K$6:$K$5000,SMALL(IF('Work Items'!$A$6:$A$5000="CR",ROW('Work Items'!$A$6:$A$5000)-ROW('Work Items'!$A$6)+1),69)),"")</f>
        <v/>
      </c>
      <c r="I73">
        <f t="array" ref="I73">IFERROR(INDEX('Work Items'!$L$6:$L$5000,SMALL(IF('Work Items'!$A$6:$A$5000="CR",ROW('Work Items'!$A$6:$A$5000)-ROW('Work Items'!$A$6)+1),69)),"")</f>
        <v/>
      </c>
      <c r="J73" s="217">
        <f t="array" ref="J73">IFERROR(INDEX('Work Items'!$M$6:$M$5000,SMALL(IF('Work Items'!$A$6:$A$5000="CR",ROW('Work Items'!$A$6:$A$5000)-ROW('Work Items'!$A$6)+1),69)),"")</f>
        <v/>
      </c>
      <c r="K73" s="217">
        <f t="array" ref="K73">IFERROR(INDEX('Work Items'!$Q$6:$Q$5000,SMALL(IF('Work Items'!$A$6:$A$5000="CR",ROW('Work Items'!$A$6:$A$5000)-ROW('Work Items'!$A$6)+1),69)),"")</f>
        <v/>
      </c>
      <c r="L73">
        <f t="array" ref="L73">IFERROR(INDEX('Work Items'!$N$6:$N$5000,SMALL(IF('Work Items'!$A$6:$A$5000="CR",ROW('Work Items'!$A$6:$A$5000)-ROW('Work Items'!$A$6)+1),69)),"")</f>
        <v/>
      </c>
      <c r="M73">
        <f t="array" ref="M73">IFERROR(INDEX('Work Items'!$O$6:$O$5000,SMALL(IF('Work Items'!$A$6:$A$5000="CR",ROW('Work Items'!$A$6:$A$5000)-ROW('Work Items'!$A$6)+1),69)),"")</f>
        <v/>
      </c>
    </row>
    <row r="74">
      <c r="A74">
        <f t="array" ref="A74">IFERROR(INDEX('Work Items'!$A$6:$A$5000,SMALL(IF('Work Items'!$A$6:$A$5000="CR",ROW('Work Items'!$A$6:$A$5000)-ROW('Work Items'!$A$6)+1),70)),"")</f>
        <v/>
      </c>
      <c r="B74">
        <f t="array" ref="B74">IFERROR(INDEX('Work Items'!$B$6:$B$5000,SMALL(IF('Work Items'!$A$6:$A$5000="CR",ROW('Work Items'!$A$6:$A$5000)-ROW('Work Items'!$A$6)+1),70)),"")</f>
        <v/>
      </c>
      <c r="C74">
        <f t="array" ref="C74">IFERROR(INDEX('Work Items'!$C$6:$C$5000,SMALL(IF('Work Items'!$A$6:$A$5000="CR",ROW('Work Items'!$A$6:$A$5000)-ROW('Work Items'!$A$6)+1),70)),"")</f>
        <v/>
      </c>
      <c r="D74">
        <f t="array" ref="D74">IFERROR(INDEX('Work Items'!$D$6:$D$5000,SMALL(IF('Work Items'!$A$6:$A$5000="CR",ROW('Work Items'!$A$6:$A$5000)-ROW('Work Items'!$A$6)+1),70)),"")</f>
        <v/>
      </c>
      <c r="E74">
        <f t="array" ref="E74">IFERROR(INDEX('Work Items'!$E$6:$E$5000,SMALL(IF('Work Items'!$A$6:$A$5000="CR",ROW('Work Items'!$A$6:$A$5000)-ROW('Work Items'!$A$6)+1),70)),"")</f>
        <v/>
      </c>
      <c r="F74">
        <f t="array" ref="F74">IFERROR(INDEX('Work Items'!$F$6:$F$5000,SMALL(IF('Work Items'!$A$6:$A$5000="CR",ROW('Work Items'!$A$6:$A$5000)-ROW('Work Items'!$A$6)+1),70)),"")</f>
        <v/>
      </c>
      <c r="G74">
        <f t="array" ref="G74">IFERROR(INDEX('Work Items'!$J$6:$J$5000,SMALL(IF('Work Items'!$A$6:$A$5000="CR",ROW('Work Items'!$A$6:$A$5000)-ROW('Work Items'!$A$6)+1),70)),"")</f>
        <v/>
      </c>
      <c r="H74">
        <f t="array" ref="H74">IFERROR(INDEX('Work Items'!$K$6:$K$5000,SMALL(IF('Work Items'!$A$6:$A$5000="CR",ROW('Work Items'!$A$6:$A$5000)-ROW('Work Items'!$A$6)+1),70)),"")</f>
        <v/>
      </c>
      <c r="I74">
        <f t="array" ref="I74">IFERROR(INDEX('Work Items'!$L$6:$L$5000,SMALL(IF('Work Items'!$A$6:$A$5000="CR",ROW('Work Items'!$A$6:$A$5000)-ROW('Work Items'!$A$6)+1),70)),"")</f>
        <v/>
      </c>
      <c r="J74" s="217">
        <f t="array" ref="J74">IFERROR(INDEX('Work Items'!$M$6:$M$5000,SMALL(IF('Work Items'!$A$6:$A$5000="CR",ROW('Work Items'!$A$6:$A$5000)-ROW('Work Items'!$A$6)+1),70)),"")</f>
        <v/>
      </c>
      <c r="K74" s="217">
        <f t="array" ref="K74">IFERROR(INDEX('Work Items'!$Q$6:$Q$5000,SMALL(IF('Work Items'!$A$6:$A$5000="CR",ROW('Work Items'!$A$6:$A$5000)-ROW('Work Items'!$A$6)+1),70)),"")</f>
        <v/>
      </c>
      <c r="L74">
        <f t="array" ref="L74">IFERROR(INDEX('Work Items'!$N$6:$N$5000,SMALL(IF('Work Items'!$A$6:$A$5000="CR",ROW('Work Items'!$A$6:$A$5000)-ROW('Work Items'!$A$6)+1),70)),"")</f>
        <v/>
      </c>
      <c r="M74">
        <f t="array" ref="M74">IFERROR(INDEX('Work Items'!$O$6:$O$5000,SMALL(IF('Work Items'!$A$6:$A$5000="CR",ROW('Work Items'!$A$6:$A$5000)-ROW('Work Items'!$A$6)+1),70)),"")</f>
        <v/>
      </c>
    </row>
    <row r="75">
      <c r="A75">
        <f t="array" ref="A75">IFERROR(INDEX('Work Items'!$A$6:$A$5000,SMALL(IF('Work Items'!$A$6:$A$5000="CR",ROW('Work Items'!$A$6:$A$5000)-ROW('Work Items'!$A$6)+1),71)),"")</f>
        <v/>
      </c>
      <c r="B75">
        <f t="array" ref="B75">IFERROR(INDEX('Work Items'!$B$6:$B$5000,SMALL(IF('Work Items'!$A$6:$A$5000="CR",ROW('Work Items'!$A$6:$A$5000)-ROW('Work Items'!$A$6)+1),71)),"")</f>
        <v/>
      </c>
      <c r="C75">
        <f t="array" ref="C75">IFERROR(INDEX('Work Items'!$C$6:$C$5000,SMALL(IF('Work Items'!$A$6:$A$5000="CR",ROW('Work Items'!$A$6:$A$5000)-ROW('Work Items'!$A$6)+1),71)),"")</f>
        <v/>
      </c>
      <c r="D75">
        <f t="array" ref="D75">IFERROR(INDEX('Work Items'!$D$6:$D$5000,SMALL(IF('Work Items'!$A$6:$A$5000="CR",ROW('Work Items'!$A$6:$A$5000)-ROW('Work Items'!$A$6)+1),71)),"")</f>
        <v/>
      </c>
      <c r="E75">
        <f t="array" ref="E75">IFERROR(INDEX('Work Items'!$E$6:$E$5000,SMALL(IF('Work Items'!$A$6:$A$5000="CR",ROW('Work Items'!$A$6:$A$5000)-ROW('Work Items'!$A$6)+1),71)),"")</f>
        <v/>
      </c>
      <c r="F75">
        <f t="array" ref="F75">IFERROR(INDEX('Work Items'!$F$6:$F$5000,SMALL(IF('Work Items'!$A$6:$A$5000="CR",ROW('Work Items'!$A$6:$A$5000)-ROW('Work Items'!$A$6)+1),71)),"")</f>
        <v/>
      </c>
      <c r="G75">
        <f t="array" ref="G75">IFERROR(INDEX('Work Items'!$J$6:$J$5000,SMALL(IF('Work Items'!$A$6:$A$5000="CR",ROW('Work Items'!$A$6:$A$5000)-ROW('Work Items'!$A$6)+1),71)),"")</f>
        <v/>
      </c>
      <c r="H75">
        <f t="array" ref="H75">IFERROR(INDEX('Work Items'!$K$6:$K$5000,SMALL(IF('Work Items'!$A$6:$A$5000="CR",ROW('Work Items'!$A$6:$A$5000)-ROW('Work Items'!$A$6)+1),71)),"")</f>
        <v/>
      </c>
      <c r="I75">
        <f t="array" ref="I75">IFERROR(INDEX('Work Items'!$L$6:$L$5000,SMALL(IF('Work Items'!$A$6:$A$5000="CR",ROW('Work Items'!$A$6:$A$5000)-ROW('Work Items'!$A$6)+1),71)),"")</f>
        <v/>
      </c>
      <c r="J75" s="217">
        <f t="array" ref="J75">IFERROR(INDEX('Work Items'!$M$6:$M$5000,SMALL(IF('Work Items'!$A$6:$A$5000="CR",ROW('Work Items'!$A$6:$A$5000)-ROW('Work Items'!$A$6)+1),71)),"")</f>
        <v/>
      </c>
      <c r="K75" s="217">
        <f t="array" ref="K75">IFERROR(INDEX('Work Items'!$Q$6:$Q$5000,SMALL(IF('Work Items'!$A$6:$A$5000="CR",ROW('Work Items'!$A$6:$A$5000)-ROW('Work Items'!$A$6)+1),71)),"")</f>
        <v/>
      </c>
      <c r="L75">
        <f t="array" ref="L75">IFERROR(INDEX('Work Items'!$N$6:$N$5000,SMALL(IF('Work Items'!$A$6:$A$5000="CR",ROW('Work Items'!$A$6:$A$5000)-ROW('Work Items'!$A$6)+1),71)),"")</f>
        <v/>
      </c>
      <c r="M75">
        <f t="array" ref="M75">IFERROR(INDEX('Work Items'!$O$6:$O$5000,SMALL(IF('Work Items'!$A$6:$A$5000="CR",ROW('Work Items'!$A$6:$A$5000)-ROW('Work Items'!$A$6)+1),71)),"")</f>
        <v/>
      </c>
    </row>
    <row r="76">
      <c r="A76">
        <f t="array" ref="A76">IFERROR(INDEX('Work Items'!$A$6:$A$5000,SMALL(IF('Work Items'!$A$6:$A$5000="CR",ROW('Work Items'!$A$6:$A$5000)-ROW('Work Items'!$A$6)+1),72)),"")</f>
        <v/>
      </c>
      <c r="B76">
        <f t="array" ref="B76">IFERROR(INDEX('Work Items'!$B$6:$B$5000,SMALL(IF('Work Items'!$A$6:$A$5000="CR",ROW('Work Items'!$A$6:$A$5000)-ROW('Work Items'!$A$6)+1),72)),"")</f>
        <v/>
      </c>
      <c r="C76">
        <f t="array" ref="C76">IFERROR(INDEX('Work Items'!$C$6:$C$5000,SMALL(IF('Work Items'!$A$6:$A$5000="CR",ROW('Work Items'!$A$6:$A$5000)-ROW('Work Items'!$A$6)+1),72)),"")</f>
        <v/>
      </c>
      <c r="D76">
        <f t="array" ref="D76">IFERROR(INDEX('Work Items'!$D$6:$D$5000,SMALL(IF('Work Items'!$A$6:$A$5000="CR",ROW('Work Items'!$A$6:$A$5000)-ROW('Work Items'!$A$6)+1),72)),"")</f>
        <v/>
      </c>
      <c r="E76">
        <f t="array" ref="E76">IFERROR(INDEX('Work Items'!$E$6:$E$5000,SMALL(IF('Work Items'!$A$6:$A$5000="CR",ROW('Work Items'!$A$6:$A$5000)-ROW('Work Items'!$A$6)+1),72)),"")</f>
        <v/>
      </c>
      <c r="F76">
        <f t="array" ref="F76">IFERROR(INDEX('Work Items'!$F$6:$F$5000,SMALL(IF('Work Items'!$A$6:$A$5000="CR",ROW('Work Items'!$A$6:$A$5000)-ROW('Work Items'!$A$6)+1),72)),"")</f>
        <v/>
      </c>
      <c r="G76">
        <f t="array" ref="G76">IFERROR(INDEX('Work Items'!$J$6:$J$5000,SMALL(IF('Work Items'!$A$6:$A$5000="CR",ROW('Work Items'!$A$6:$A$5000)-ROW('Work Items'!$A$6)+1),72)),"")</f>
        <v/>
      </c>
      <c r="H76">
        <f t="array" ref="H76">IFERROR(INDEX('Work Items'!$K$6:$K$5000,SMALL(IF('Work Items'!$A$6:$A$5000="CR",ROW('Work Items'!$A$6:$A$5000)-ROW('Work Items'!$A$6)+1),72)),"")</f>
        <v/>
      </c>
      <c r="I76">
        <f t="array" ref="I76">IFERROR(INDEX('Work Items'!$L$6:$L$5000,SMALL(IF('Work Items'!$A$6:$A$5000="CR",ROW('Work Items'!$A$6:$A$5000)-ROW('Work Items'!$A$6)+1),72)),"")</f>
        <v/>
      </c>
      <c r="J76" s="217">
        <f t="array" ref="J76">IFERROR(INDEX('Work Items'!$M$6:$M$5000,SMALL(IF('Work Items'!$A$6:$A$5000="CR",ROW('Work Items'!$A$6:$A$5000)-ROW('Work Items'!$A$6)+1),72)),"")</f>
        <v/>
      </c>
      <c r="K76" s="217">
        <f t="array" ref="K76">IFERROR(INDEX('Work Items'!$Q$6:$Q$5000,SMALL(IF('Work Items'!$A$6:$A$5000="CR",ROW('Work Items'!$A$6:$A$5000)-ROW('Work Items'!$A$6)+1),72)),"")</f>
        <v/>
      </c>
      <c r="L76">
        <f t="array" ref="L76">IFERROR(INDEX('Work Items'!$N$6:$N$5000,SMALL(IF('Work Items'!$A$6:$A$5000="CR",ROW('Work Items'!$A$6:$A$5000)-ROW('Work Items'!$A$6)+1),72)),"")</f>
        <v/>
      </c>
      <c r="M76">
        <f t="array" ref="M76">IFERROR(INDEX('Work Items'!$O$6:$O$5000,SMALL(IF('Work Items'!$A$6:$A$5000="CR",ROW('Work Items'!$A$6:$A$5000)-ROW('Work Items'!$A$6)+1),72)),"")</f>
        <v/>
      </c>
    </row>
    <row r="77">
      <c r="A77">
        <f t="array" ref="A77">IFERROR(INDEX('Work Items'!$A$6:$A$5000,SMALL(IF('Work Items'!$A$6:$A$5000="CR",ROW('Work Items'!$A$6:$A$5000)-ROW('Work Items'!$A$6)+1),73)),"")</f>
        <v/>
      </c>
      <c r="B77">
        <f t="array" ref="B77">IFERROR(INDEX('Work Items'!$B$6:$B$5000,SMALL(IF('Work Items'!$A$6:$A$5000="CR",ROW('Work Items'!$A$6:$A$5000)-ROW('Work Items'!$A$6)+1),73)),"")</f>
        <v/>
      </c>
      <c r="C77">
        <f t="array" ref="C77">IFERROR(INDEX('Work Items'!$C$6:$C$5000,SMALL(IF('Work Items'!$A$6:$A$5000="CR",ROW('Work Items'!$A$6:$A$5000)-ROW('Work Items'!$A$6)+1),73)),"")</f>
        <v/>
      </c>
      <c r="D77">
        <f t="array" ref="D77">IFERROR(INDEX('Work Items'!$D$6:$D$5000,SMALL(IF('Work Items'!$A$6:$A$5000="CR",ROW('Work Items'!$A$6:$A$5000)-ROW('Work Items'!$A$6)+1),73)),"")</f>
        <v/>
      </c>
      <c r="E77">
        <f t="array" ref="E77">IFERROR(INDEX('Work Items'!$E$6:$E$5000,SMALL(IF('Work Items'!$A$6:$A$5000="CR",ROW('Work Items'!$A$6:$A$5000)-ROW('Work Items'!$A$6)+1),73)),"")</f>
        <v/>
      </c>
      <c r="F77">
        <f t="array" ref="F77">IFERROR(INDEX('Work Items'!$F$6:$F$5000,SMALL(IF('Work Items'!$A$6:$A$5000="CR",ROW('Work Items'!$A$6:$A$5000)-ROW('Work Items'!$A$6)+1),73)),"")</f>
        <v/>
      </c>
      <c r="G77">
        <f t="array" ref="G77">IFERROR(INDEX('Work Items'!$J$6:$J$5000,SMALL(IF('Work Items'!$A$6:$A$5000="CR",ROW('Work Items'!$A$6:$A$5000)-ROW('Work Items'!$A$6)+1),73)),"")</f>
        <v/>
      </c>
      <c r="H77">
        <f t="array" ref="H77">IFERROR(INDEX('Work Items'!$K$6:$K$5000,SMALL(IF('Work Items'!$A$6:$A$5000="CR",ROW('Work Items'!$A$6:$A$5000)-ROW('Work Items'!$A$6)+1),73)),"")</f>
        <v/>
      </c>
      <c r="I77">
        <f t="array" ref="I77">IFERROR(INDEX('Work Items'!$L$6:$L$5000,SMALL(IF('Work Items'!$A$6:$A$5000="CR",ROW('Work Items'!$A$6:$A$5000)-ROW('Work Items'!$A$6)+1),73)),"")</f>
        <v/>
      </c>
      <c r="J77" s="217">
        <f t="array" ref="J77">IFERROR(INDEX('Work Items'!$M$6:$M$5000,SMALL(IF('Work Items'!$A$6:$A$5000="CR",ROW('Work Items'!$A$6:$A$5000)-ROW('Work Items'!$A$6)+1),73)),"")</f>
        <v/>
      </c>
      <c r="K77" s="217">
        <f t="array" ref="K77">IFERROR(INDEX('Work Items'!$Q$6:$Q$5000,SMALL(IF('Work Items'!$A$6:$A$5000="CR",ROW('Work Items'!$A$6:$A$5000)-ROW('Work Items'!$A$6)+1),73)),"")</f>
        <v/>
      </c>
      <c r="L77">
        <f t="array" ref="L77">IFERROR(INDEX('Work Items'!$N$6:$N$5000,SMALL(IF('Work Items'!$A$6:$A$5000="CR",ROW('Work Items'!$A$6:$A$5000)-ROW('Work Items'!$A$6)+1),73)),"")</f>
        <v/>
      </c>
      <c r="M77">
        <f t="array" ref="M77">IFERROR(INDEX('Work Items'!$O$6:$O$5000,SMALL(IF('Work Items'!$A$6:$A$5000="CR",ROW('Work Items'!$A$6:$A$5000)-ROW('Work Items'!$A$6)+1),73)),"")</f>
        <v/>
      </c>
    </row>
    <row r="78">
      <c r="A78">
        <f t="array" ref="A78">IFERROR(INDEX('Work Items'!$A$6:$A$5000,SMALL(IF('Work Items'!$A$6:$A$5000="CR",ROW('Work Items'!$A$6:$A$5000)-ROW('Work Items'!$A$6)+1),74)),"")</f>
        <v/>
      </c>
      <c r="B78">
        <f t="array" ref="B78">IFERROR(INDEX('Work Items'!$B$6:$B$5000,SMALL(IF('Work Items'!$A$6:$A$5000="CR",ROW('Work Items'!$A$6:$A$5000)-ROW('Work Items'!$A$6)+1),74)),"")</f>
        <v/>
      </c>
      <c r="C78">
        <f t="array" ref="C78">IFERROR(INDEX('Work Items'!$C$6:$C$5000,SMALL(IF('Work Items'!$A$6:$A$5000="CR",ROW('Work Items'!$A$6:$A$5000)-ROW('Work Items'!$A$6)+1),74)),"")</f>
        <v/>
      </c>
      <c r="D78">
        <f t="array" ref="D78">IFERROR(INDEX('Work Items'!$D$6:$D$5000,SMALL(IF('Work Items'!$A$6:$A$5000="CR",ROW('Work Items'!$A$6:$A$5000)-ROW('Work Items'!$A$6)+1),74)),"")</f>
        <v/>
      </c>
      <c r="E78">
        <f t="array" ref="E78">IFERROR(INDEX('Work Items'!$E$6:$E$5000,SMALL(IF('Work Items'!$A$6:$A$5000="CR",ROW('Work Items'!$A$6:$A$5000)-ROW('Work Items'!$A$6)+1),74)),"")</f>
        <v/>
      </c>
      <c r="F78">
        <f t="array" ref="F78">IFERROR(INDEX('Work Items'!$F$6:$F$5000,SMALL(IF('Work Items'!$A$6:$A$5000="CR",ROW('Work Items'!$A$6:$A$5000)-ROW('Work Items'!$A$6)+1),74)),"")</f>
        <v/>
      </c>
      <c r="G78">
        <f t="array" ref="G78">IFERROR(INDEX('Work Items'!$J$6:$J$5000,SMALL(IF('Work Items'!$A$6:$A$5000="CR",ROW('Work Items'!$A$6:$A$5000)-ROW('Work Items'!$A$6)+1),74)),"")</f>
        <v/>
      </c>
      <c r="H78">
        <f t="array" ref="H78">IFERROR(INDEX('Work Items'!$K$6:$K$5000,SMALL(IF('Work Items'!$A$6:$A$5000="CR",ROW('Work Items'!$A$6:$A$5000)-ROW('Work Items'!$A$6)+1),74)),"")</f>
        <v/>
      </c>
      <c r="I78">
        <f t="array" ref="I78">IFERROR(INDEX('Work Items'!$L$6:$L$5000,SMALL(IF('Work Items'!$A$6:$A$5000="CR",ROW('Work Items'!$A$6:$A$5000)-ROW('Work Items'!$A$6)+1),74)),"")</f>
        <v/>
      </c>
      <c r="J78" s="217">
        <f t="array" ref="J78">IFERROR(INDEX('Work Items'!$M$6:$M$5000,SMALL(IF('Work Items'!$A$6:$A$5000="CR",ROW('Work Items'!$A$6:$A$5000)-ROW('Work Items'!$A$6)+1),74)),"")</f>
        <v/>
      </c>
      <c r="K78" s="217">
        <f t="array" ref="K78">IFERROR(INDEX('Work Items'!$Q$6:$Q$5000,SMALL(IF('Work Items'!$A$6:$A$5000="CR",ROW('Work Items'!$A$6:$A$5000)-ROW('Work Items'!$A$6)+1),74)),"")</f>
        <v/>
      </c>
      <c r="L78">
        <f t="array" ref="L78">IFERROR(INDEX('Work Items'!$N$6:$N$5000,SMALL(IF('Work Items'!$A$6:$A$5000="CR",ROW('Work Items'!$A$6:$A$5000)-ROW('Work Items'!$A$6)+1),74)),"")</f>
        <v/>
      </c>
      <c r="M78">
        <f t="array" ref="M78">IFERROR(INDEX('Work Items'!$O$6:$O$5000,SMALL(IF('Work Items'!$A$6:$A$5000="CR",ROW('Work Items'!$A$6:$A$5000)-ROW('Work Items'!$A$6)+1),74)),"")</f>
        <v/>
      </c>
    </row>
    <row r="79">
      <c r="A79">
        <f t="array" ref="A79">IFERROR(INDEX('Work Items'!$A$6:$A$5000,SMALL(IF('Work Items'!$A$6:$A$5000="CR",ROW('Work Items'!$A$6:$A$5000)-ROW('Work Items'!$A$6)+1),75)),"")</f>
        <v/>
      </c>
      <c r="B79">
        <f t="array" ref="B79">IFERROR(INDEX('Work Items'!$B$6:$B$5000,SMALL(IF('Work Items'!$A$6:$A$5000="CR",ROW('Work Items'!$A$6:$A$5000)-ROW('Work Items'!$A$6)+1),75)),"")</f>
        <v/>
      </c>
      <c r="C79">
        <f t="array" ref="C79">IFERROR(INDEX('Work Items'!$C$6:$C$5000,SMALL(IF('Work Items'!$A$6:$A$5000="CR",ROW('Work Items'!$A$6:$A$5000)-ROW('Work Items'!$A$6)+1),75)),"")</f>
        <v/>
      </c>
      <c r="D79">
        <f t="array" ref="D79">IFERROR(INDEX('Work Items'!$D$6:$D$5000,SMALL(IF('Work Items'!$A$6:$A$5000="CR",ROW('Work Items'!$A$6:$A$5000)-ROW('Work Items'!$A$6)+1),75)),"")</f>
        <v/>
      </c>
      <c r="E79">
        <f t="array" ref="E79">IFERROR(INDEX('Work Items'!$E$6:$E$5000,SMALL(IF('Work Items'!$A$6:$A$5000="CR",ROW('Work Items'!$A$6:$A$5000)-ROW('Work Items'!$A$6)+1),75)),"")</f>
        <v/>
      </c>
      <c r="F79">
        <f t="array" ref="F79">IFERROR(INDEX('Work Items'!$F$6:$F$5000,SMALL(IF('Work Items'!$A$6:$A$5000="CR",ROW('Work Items'!$A$6:$A$5000)-ROW('Work Items'!$A$6)+1),75)),"")</f>
        <v/>
      </c>
      <c r="G79">
        <f t="array" ref="G79">IFERROR(INDEX('Work Items'!$J$6:$J$5000,SMALL(IF('Work Items'!$A$6:$A$5000="CR",ROW('Work Items'!$A$6:$A$5000)-ROW('Work Items'!$A$6)+1),75)),"")</f>
        <v/>
      </c>
      <c r="H79">
        <f t="array" ref="H79">IFERROR(INDEX('Work Items'!$K$6:$K$5000,SMALL(IF('Work Items'!$A$6:$A$5000="CR",ROW('Work Items'!$A$6:$A$5000)-ROW('Work Items'!$A$6)+1),75)),"")</f>
        <v/>
      </c>
      <c r="I79">
        <f t="array" ref="I79">IFERROR(INDEX('Work Items'!$L$6:$L$5000,SMALL(IF('Work Items'!$A$6:$A$5000="CR",ROW('Work Items'!$A$6:$A$5000)-ROW('Work Items'!$A$6)+1),75)),"")</f>
        <v/>
      </c>
      <c r="J79" s="217">
        <f t="array" ref="J79">IFERROR(INDEX('Work Items'!$M$6:$M$5000,SMALL(IF('Work Items'!$A$6:$A$5000="CR",ROW('Work Items'!$A$6:$A$5000)-ROW('Work Items'!$A$6)+1),75)),"")</f>
        <v/>
      </c>
      <c r="K79" s="217">
        <f t="array" ref="K79">IFERROR(INDEX('Work Items'!$Q$6:$Q$5000,SMALL(IF('Work Items'!$A$6:$A$5000="CR",ROW('Work Items'!$A$6:$A$5000)-ROW('Work Items'!$A$6)+1),75)),"")</f>
        <v/>
      </c>
      <c r="L79">
        <f t="array" ref="L79">IFERROR(INDEX('Work Items'!$N$6:$N$5000,SMALL(IF('Work Items'!$A$6:$A$5000="CR",ROW('Work Items'!$A$6:$A$5000)-ROW('Work Items'!$A$6)+1),75)),"")</f>
        <v/>
      </c>
      <c r="M79">
        <f t="array" ref="M79">IFERROR(INDEX('Work Items'!$O$6:$O$5000,SMALL(IF('Work Items'!$A$6:$A$5000="CR",ROW('Work Items'!$A$6:$A$5000)-ROW('Work Items'!$A$6)+1),75)),"")</f>
        <v/>
      </c>
    </row>
    <row r="80">
      <c r="A80">
        <f t="array" ref="A80">IFERROR(INDEX('Work Items'!$A$6:$A$5000,SMALL(IF('Work Items'!$A$6:$A$5000="CR",ROW('Work Items'!$A$6:$A$5000)-ROW('Work Items'!$A$6)+1),76)),"")</f>
        <v/>
      </c>
      <c r="B80">
        <f t="array" ref="B80">IFERROR(INDEX('Work Items'!$B$6:$B$5000,SMALL(IF('Work Items'!$A$6:$A$5000="CR",ROW('Work Items'!$A$6:$A$5000)-ROW('Work Items'!$A$6)+1),76)),"")</f>
        <v/>
      </c>
      <c r="C80">
        <f t="array" ref="C80">IFERROR(INDEX('Work Items'!$C$6:$C$5000,SMALL(IF('Work Items'!$A$6:$A$5000="CR",ROW('Work Items'!$A$6:$A$5000)-ROW('Work Items'!$A$6)+1),76)),"")</f>
        <v/>
      </c>
      <c r="D80">
        <f t="array" ref="D80">IFERROR(INDEX('Work Items'!$D$6:$D$5000,SMALL(IF('Work Items'!$A$6:$A$5000="CR",ROW('Work Items'!$A$6:$A$5000)-ROW('Work Items'!$A$6)+1),76)),"")</f>
        <v/>
      </c>
      <c r="E80">
        <f t="array" ref="E80">IFERROR(INDEX('Work Items'!$E$6:$E$5000,SMALL(IF('Work Items'!$A$6:$A$5000="CR",ROW('Work Items'!$A$6:$A$5000)-ROW('Work Items'!$A$6)+1),76)),"")</f>
        <v/>
      </c>
      <c r="F80">
        <f t="array" ref="F80">IFERROR(INDEX('Work Items'!$F$6:$F$5000,SMALL(IF('Work Items'!$A$6:$A$5000="CR",ROW('Work Items'!$A$6:$A$5000)-ROW('Work Items'!$A$6)+1),76)),"")</f>
        <v/>
      </c>
      <c r="G80">
        <f t="array" ref="G80">IFERROR(INDEX('Work Items'!$J$6:$J$5000,SMALL(IF('Work Items'!$A$6:$A$5000="CR",ROW('Work Items'!$A$6:$A$5000)-ROW('Work Items'!$A$6)+1),76)),"")</f>
        <v/>
      </c>
      <c r="H80">
        <f t="array" ref="H80">IFERROR(INDEX('Work Items'!$K$6:$K$5000,SMALL(IF('Work Items'!$A$6:$A$5000="CR",ROW('Work Items'!$A$6:$A$5000)-ROW('Work Items'!$A$6)+1),76)),"")</f>
        <v/>
      </c>
      <c r="I80">
        <f t="array" ref="I80">IFERROR(INDEX('Work Items'!$L$6:$L$5000,SMALL(IF('Work Items'!$A$6:$A$5000="CR",ROW('Work Items'!$A$6:$A$5000)-ROW('Work Items'!$A$6)+1),76)),"")</f>
        <v/>
      </c>
      <c r="J80" s="217">
        <f t="array" ref="J80">IFERROR(INDEX('Work Items'!$M$6:$M$5000,SMALL(IF('Work Items'!$A$6:$A$5000="CR",ROW('Work Items'!$A$6:$A$5000)-ROW('Work Items'!$A$6)+1),76)),"")</f>
        <v/>
      </c>
      <c r="K80" s="217">
        <f t="array" ref="K80">IFERROR(INDEX('Work Items'!$Q$6:$Q$5000,SMALL(IF('Work Items'!$A$6:$A$5000="CR",ROW('Work Items'!$A$6:$A$5000)-ROW('Work Items'!$A$6)+1),76)),"")</f>
        <v/>
      </c>
      <c r="L80">
        <f t="array" ref="L80">IFERROR(INDEX('Work Items'!$N$6:$N$5000,SMALL(IF('Work Items'!$A$6:$A$5000="CR",ROW('Work Items'!$A$6:$A$5000)-ROW('Work Items'!$A$6)+1),76)),"")</f>
        <v/>
      </c>
      <c r="M80">
        <f t="array" ref="M80">IFERROR(INDEX('Work Items'!$O$6:$O$5000,SMALL(IF('Work Items'!$A$6:$A$5000="CR",ROW('Work Items'!$A$6:$A$5000)-ROW('Work Items'!$A$6)+1),76)),"")</f>
        <v/>
      </c>
    </row>
    <row r="81">
      <c r="A81">
        <f t="array" ref="A81">IFERROR(INDEX('Work Items'!$A$6:$A$5000,SMALL(IF('Work Items'!$A$6:$A$5000="CR",ROW('Work Items'!$A$6:$A$5000)-ROW('Work Items'!$A$6)+1),77)),"")</f>
        <v/>
      </c>
      <c r="B81">
        <f t="array" ref="B81">IFERROR(INDEX('Work Items'!$B$6:$B$5000,SMALL(IF('Work Items'!$A$6:$A$5000="CR",ROW('Work Items'!$A$6:$A$5000)-ROW('Work Items'!$A$6)+1),77)),"")</f>
        <v/>
      </c>
      <c r="C81">
        <f t="array" ref="C81">IFERROR(INDEX('Work Items'!$C$6:$C$5000,SMALL(IF('Work Items'!$A$6:$A$5000="CR",ROW('Work Items'!$A$6:$A$5000)-ROW('Work Items'!$A$6)+1),77)),"")</f>
        <v/>
      </c>
      <c r="D81">
        <f t="array" ref="D81">IFERROR(INDEX('Work Items'!$D$6:$D$5000,SMALL(IF('Work Items'!$A$6:$A$5000="CR",ROW('Work Items'!$A$6:$A$5000)-ROW('Work Items'!$A$6)+1),77)),"")</f>
        <v/>
      </c>
      <c r="E81">
        <f t="array" ref="E81">IFERROR(INDEX('Work Items'!$E$6:$E$5000,SMALL(IF('Work Items'!$A$6:$A$5000="CR",ROW('Work Items'!$A$6:$A$5000)-ROW('Work Items'!$A$6)+1),77)),"")</f>
        <v/>
      </c>
      <c r="F81">
        <f t="array" ref="F81">IFERROR(INDEX('Work Items'!$F$6:$F$5000,SMALL(IF('Work Items'!$A$6:$A$5000="CR",ROW('Work Items'!$A$6:$A$5000)-ROW('Work Items'!$A$6)+1),77)),"")</f>
        <v/>
      </c>
      <c r="G81">
        <f t="array" ref="G81">IFERROR(INDEX('Work Items'!$J$6:$J$5000,SMALL(IF('Work Items'!$A$6:$A$5000="CR",ROW('Work Items'!$A$6:$A$5000)-ROW('Work Items'!$A$6)+1),77)),"")</f>
        <v/>
      </c>
      <c r="H81">
        <f t="array" ref="H81">IFERROR(INDEX('Work Items'!$K$6:$K$5000,SMALL(IF('Work Items'!$A$6:$A$5000="CR",ROW('Work Items'!$A$6:$A$5000)-ROW('Work Items'!$A$6)+1),77)),"")</f>
        <v/>
      </c>
      <c r="I81">
        <f t="array" ref="I81">IFERROR(INDEX('Work Items'!$L$6:$L$5000,SMALL(IF('Work Items'!$A$6:$A$5000="CR",ROW('Work Items'!$A$6:$A$5000)-ROW('Work Items'!$A$6)+1),77)),"")</f>
        <v/>
      </c>
      <c r="J81" s="217">
        <f t="array" ref="J81">IFERROR(INDEX('Work Items'!$M$6:$M$5000,SMALL(IF('Work Items'!$A$6:$A$5000="CR",ROW('Work Items'!$A$6:$A$5000)-ROW('Work Items'!$A$6)+1),77)),"")</f>
        <v/>
      </c>
      <c r="K81" s="217">
        <f t="array" ref="K81">IFERROR(INDEX('Work Items'!$Q$6:$Q$5000,SMALL(IF('Work Items'!$A$6:$A$5000="CR",ROW('Work Items'!$A$6:$A$5000)-ROW('Work Items'!$A$6)+1),77)),"")</f>
        <v/>
      </c>
      <c r="L81">
        <f t="array" ref="L81">IFERROR(INDEX('Work Items'!$N$6:$N$5000,SMALL(IF('Work Items'!$A$6:$A$5000="CR",ROW('Work Items'!$A$6:$A$5000)-ROW('Work Items'!$A$6)+1),77)),"")</f>
        <v/>
      </c>
      <c r="M81">
        <f t="array" ref="M81">IFERROR(INDEX('Work Items'!$O$6:$O$5000,SMALL(IF('Work Items'!$A$6:$A$5000="CR",ROW('Work Items'!$A$6:$A$5000)-ROW('Work Items'!$A$6)+1),77)),"")</f>
        <v/>
      </c>
    </row>
    <row r="82">
      <c r="A82">
        <f t="array" ref="A82">IFERROR(INDEX('Work Items'!$A$6:$A$5000,SMALL(IF('Work Items'!$A$6:$A$5000="CR",ROW('Work Items'!$A$6:$A$5000)-ROW('Work Items'!$A$6)+1),78)),"")</f>
        <v/>
      </c>
      <c r="B82">
        <f t="array" ref="B82">IFERROR(INDEX('Work Items'!$B$6:$B$5000,SMALL(IF('Work Items'!$A$6:$A$5000="CR",ROW('Work Items'!$A$6:$A$5000)-ROW('Work Items'!$A$6)+1),78)),"")</f>
        <v/>
      </c>
      <c r="C82">
        <f t="array" ref="C82">IFERROR(INDEX('Work Items'!$C$6:$C$5000,SMALL(IF('Work Items'!$A$6:$A$5000="CR",ROW('Work Items'!$A$6:$A$5000)-ROW('Work Items'!$A$6)+1),78)),"")</f>
        <v/>
      </c>
      <c r="D82">
        <f t="array" ref="D82">IFERROR(INDEX('Work Items'!$D$6:$D$5000,SMALL(IF('Work Items'!$A$6:$A$5000="CR",ROW('Work Items'!$A$6:$A$5000)-ROW('Work Items'!$A$6)+1),78)),"")</f>
        <v/>
      </c>
      <c r="E82">
        <f t="array" ref="E82">IFERROR(INDEX('Work Items'!$E$6:$E$5000,SMALL(IF('Work Items'!$A$6:$A$5000="CR",ROW('Work Items'!$A$6:$A$5000)-ROW('Work Items'!$A$6)+1),78)),"")</f>
        <v/>
      </c>
      <c r="F82">
        <f t="array" ref="F82">IFERROR(INDEX('Work Items'!$F$6:$F$5000,SMALL(IF('Work Items'!$A$6:$A$5000="CR",ROW('Work Items'!$A$6:$A$5000)-ROW('Work Items'!$A$6)+1),78)),"")</f>
        <v/>
      </c>
      <c r="G82">
        <f t="array" ref="G82">IFERROR(INDEX('Work Items'!$J$6:$J$5000,SMALL(IF('Work Items'!$A$6:$A$5000="CR",ROW('Work Items'!$A$6:$A$5000)-ROW('Work Items'!$A$6)+1),78)),"")</f>
        <v/>
      </c>
      <c r="H82">
        <f t="array" ref="H82">IFERROR(INDEX('Work Items'!$K$6:$K$5000,SMALL(IF('Work Items'!$A$6:$A$5000="CR",ROW('Work Items'!$A$6:$A$5000)-ROW('Work Items'!$A$6)+1),78)),"")</f>
        <v/>
      </c>
      <c r="I82">
        <f t="array" ref="I82">IFERROR(INDEX('Work Items'!$L$6:$L$5000,SMALL(IF('Work Items'!$A$6:$A$5000="CR",ROW('Work Items'!$A$6:$A$5000)-ROW('Work Items'!$A$6)+1),78)),"")</f>
        <v/>
      </c>
      <c r="J82" s="217">
        <f t="array" ref="J82">IFERROR(INDEX('Work Items'!$M$6:$M$5000,SMALL(IF('Work Items'!$A$6:$A$5000="CR",ROW('Work Items'!$A$6:$A$5000)-ROW('Work Items'!$A$6)+1),78)),"")</f>
        <v/>
      </c>
      <c r="K82" s="217">
        <f t="array" ref="K82">IFERROR(INDEX('Work Items'!$Q$6:$Q$5000,SMALL(IF('Work Items'!$A$6:$A$5000="CR",ROW('Work Items'!$A$6:$A$5000)-ROW('Work Items'!$A$6)+1),78)),"")</f>
        <v/>
      </c>
      <c r="L82">
        <f t="array" ref="L82">IFERROR(INDEX('Work Items'!$N$6:$N$5000,SMALL(IF('Work Items'!$A$6:$A$5000="CR",ROW('Work Items'!$A$6:$A$5000)-ROW('Work Items'!$A$6)+1),78)),"")</f>
        <v/>
      </c>
      <c r="M82">
        <f t="array" ref="M82">IFERROR(INDEX('Work Items'!$O$6:$O$5000,SMALL(IF('Work Items'!$A$6:$A$5000="CR",ROW('Work Items'!$A$6:$A$5000)-ROW('Work Items'!$A$6)+1),78)),"")</f>
        <v/>
      </c>
    </row>
    <row r="83">
      <c r="A83">
        <f t="array" ref="A83">IFERROR(INDEX('Work Items'!$A$6:$A$5000,SMALL(IF('Work Items'!$A$6:$A$5000="CR",ROW('Work Items'!$A$6:$A$5000)-ROW('Work Items'!$A$6)+1),79)),"")</f>
        <v/>
      </c>
      <c r="B83">
        <f t="array" ref="B83">IFERROR(INDEX('Work Items'!$B$6:$B$5000,SMALL(IF('Work Items'!$A$6:$A$5000="CR",ROW('Work Items'!$A$6:$A$5000)-ROW('Work Items'!$A$6)+1),79)),"")</f>
        <v/>
      </c>
      <c r="C83">
        <f t="array" ref="C83">IFERROR(INDEX('Work Items'!$C$6:$C$5000,SMALL(IF('Work Items'!$A$6:$A$5000="CR",ROW('Work Items'!$A$6:$A$5000)-ROW('Work Items'!$A$6)+1),79)),"")</f>
        <v/>
      </c>
      <c r="D83">
        <f t="array" ref="D83">IFERROR(INDEX('Work Items'!$D$6:$D$5000,SMALL(IF('Work Items'!$A$6:$A$5000="CR",ROW('Work Items'!$A$6:$A$5000)-ROW('Work Items'!$A$6)+1),79)),"")</f>
        <v/>
      </c>
      <c r="E83">
        <f t="array" ref="E83">IFERROR(INDEX('Work Items'!$E$6:$E$5000,SMALL(IF('Work Items'!$A$6:$A$5000="CR",ROW('Work Items'!$A$6:$A$5000)-ROW('Work Items'!$A$6)+1),79)),"")</f>
        <v/>
      </c>
      <c r="F83">
        <f t="array" ref="F83">IFERROR(INDEX('Work Items'!$F$6:$F$5000,SMALL(IF('Work Items'!$A$6:$A$5000="CR",ROW('Work Items'!$A$6:$A$5000)-ROW('Work Items'!$A$6)+1),79)),"")</f>
        <v/>
      </c>
      <c r="G83">
        <f t="array" ref="G83">IFERROR(INDEX('Work Items'!$J$6:$J$5000,SMALL(IF('Work Items'!$A$6:$A$5000="CR",ROW('Work Items'!$A$6:$A$5000)-ROW('Work Items'!$A$6)+1),79)),"")</f>
        <v/>
      </c>
      <c r="H83">
        <f t="array" ref="H83">IFERROR(INDEX('Work Items'!$K$6:$K$5000,SMALL(IF('Work Items'!$A$6:$A$5000="CR",ROW('Work Items'!$A$6:$A$5000)-ROW('Work Items'!$A$6)+1),79)),"")</f>
        <v/>
      </c>
      <c r="I83">
        <f t="array" ref="I83">IFERROR(INDEX('Work Items'!$L$6:$L$5000,SMALL(IF('Work Items'!$A$6:$A$5000="CR",ROW('Work Items'!$A$6:$A$5000)-ROW('Work Items'!$A$6)+1),79)),"")</f>
        <v/>
      </c>
      <c r="J83" s="217">
        <f t="array" ref="J83">IFERROR(INDEX('Work Items'!$M$6:$M$5000,SMALL(IF('Work Items'!$A$6:$A$5000="CR",ROW('Work Items'!$A$6:$A$5000)-ROW('Work Items'!$A$6)+1),79)),"")</f>
        <v/>
      </c>
      <c r="K83" s="217">
        <f t="array" ref="K83">IFERROR(INDEX('Work Items'!$Q$6:$Q$5000,SMALL(IF('Work Items'!$A$6:$A$5000="CR",ROW('Work Items'!$A$6:$A$5000)-ROW('Work Items'!$A$6)+1),79)),"")</f>
        <v/>
      </c>
      <c r="L83">
        <f t="array" ref="L83">IFERROR(INDEX('Work Items'!$N$6:$N$5000,SMALL(IF('Work Items'!$A$6:$A$5000="CR",ROW('Work Items'!$A$6:$A$5000)-ROW('Work Items'!$A$6)+1),79)),"")</f>
        <v/>
      </c>
      <c r="M83">
        <f t="array" ref="M83">IFERROR(INDEX('Work Items'!$O$6:$O$5000,SMALL(IF('Work Items'!$A$6:$A$5000="CR",ROW('Work Items'!$A$6:$A$5000)-ROW('Work Items'!$A$6)+1),79)),"")</f>
        <v/>
      </c>
    </row>
    <row r="84">
      <c r="A84">
        <f t="array" ref="A84">IFERROR(INDEX('Work Items'!$A$6:$A$5000,SMALL(IF('Work Items'!$A$6:$A$5000="CR",ROW('Work Items'!$A$6:$A$5000)-ROW('Work Items'!$A$6)+1),80)),"")</f>
        <v/>
      </c>
      <c r="B84">
        <f t="array" ref="B84">IFERROR(INDEX('Work Items'!$B$6:$B$5000,SMALL(IF('Work Items'!$A$6:$A$5000="CR",ROW('Work Items'!$A$6:$A$5000)-ROW('Work Items'!$A$6)+1),80)),"")</f>
        <v/>
      </c>
      <c r="C84">
        <f t="array" ref="C84">IFERROR(INDEX('Work Items'!$C$6:$C$5000,SMALL(IF('Work Items'!$A$6:$A$5000="CR",ROW('Work Items'!$A$6:$A$5000)-ROW('Work Items'!$A$6)+1),80)),"")</f>
        <v/>
      </c>
      <c r="D84">
        <f t="array" ref="D84">IFERROR(INDEX('Work Items'!$D$6:$D$5000,SMALL(IF('Work Items'!$A$6:$A$5000="CR",ROW('Work Items'!$A$6:$A$5000)-ROW('Work Items'!$A$6)+1),80)),"")</f>
        <v/>
      </c>
      <c r="E84">
        <f t="array" ref="E84">IFERROR(INDEX('Work Items'!$E$6:$E$5000,SMALL(IF('Work Items'!$A$6:$A$5000="CR",ROW('Work Items'!$A$6:$A$5000)-ROW('Work Items'!$A$6)+1),80)),"")</f>
        <v/>
      </c>
      <c r="F84">
        <f t="array" ref="F84">IFERROR(INDEX('Work Items'!$F$6:$F$5000,SMALL(IF('Work Items'!$A$6:$A$5000="CR",ROW('Work Items'!$A$6:$A$5000)-ROW('Work Items'!$A$6)+1),80)),"")</f>
        <v/>
      </c>
      <c r="G84">
        <f t="array" ref="G84">IFERROR(INDEX('Work Items'!$J$6:$J$5000,SMALL(IF('Work Items'!$A$6:$A$5000="CR",ROW('Work Items'!$A$6:$A$5000)-ROW('Work Items'!$A$6)+1),80)),"")</f>
        <v/>
      </c>
      <c r="H84">
        <f t="array" ref="H84">IFERROR(INDEX('Work Items'!$K$6:$K$5000,SMALL(IF('Work Items'!$A$6:$A$5000="CR",ROW('Work Items'!$A$6:$A$5000)-ROW('Work Items'!$A$6)+1),80)),"")</f>
        <v/>
      </c>
      <c r="I84">
        <f t="array" ref="I84">IFERROR(INDEX('Work Items'!$L$6:$L$5000,SMALL(IF('Work Items'!$A$6:$A$5000="CR",ROW('Work Items'!$A$6:$A$5000)-ROW('Work Items'!$A$6)+1),80)),"")</f>
        <v/>
      </c>
      <c r="J84" s="217">
        <f t="array" ref="J84">IFERROR(INDEX('Work Items'!$M$6:$M$5000,SMALL(IF('Work Items'!$A$6:$A$5000="CR",ROW('Work Items'!$A$6:$A$5000)-ROW('Work Items'!$A$6)+1),80)),"")</f>
        <v/>
      </c>
      <c r="K84" s="217">
        <f t="array" ref="K84">IFERROR(INDEX('Work Items'!$Q$6:$Q$5000,SMALL(IF('Work Items'!$A$6:$A$5000="CR",ROW('Work Items'!$A$6:$A$5000)-ROW('Work Items'!$A$6)+1),80)),"")</f>
        <v/>
      </c>
      <c r="L84">
        <f t="array" ref="L84">IFERROR(INDEX('Work Items'!$N$6:$N$5000,SMALL(IF('Work Items'!$A$6:$A$5000="CR",ROW('Work Items'!$A$6:$A$5000)-ROW('Work Items'!$A$6)+1),80)),"")</f>
        <v/>
      </c>
      <c r="M84">
        <f t="array" ref="M84">IFERROR(INDEX('Work Items'!$O$6:$O$5000,SMALL(IF('Work Items'!$A$6:$A$5000="CR",ROW('Work Items'!$A$6:$A$5000)-ROW('Work Items'!$A$6)+1),80)),"")</f>
        <v/>
      </c>
    </row>
    <row r="85">
      <c r="A85">
        <f t="array" ref="A85">IFERROR(INDEX('Work Items'!$A$6:$A$5000,SMALL(IF('Work Items'!$A$6:$A$5000="CR",ROW('Work Items'!$A$6:$A$5000)-ROW('Work Items'!$A$6)+1),81)),"")</f>
        <v/>
      </c>
      <c r="B85">
        <f t="array" ref="B85">IFERROR(INDEX('Work Items'!$B$6:$B$5000,SMALL(IF('Work Items'!$A$6:$A$5000="CR",ROW('Work Items'!$A$6:$A$5000)-ROW('Work Items'!$A$6)+1),81)),"")</f>
        <v/>
      </c>
      <c r="C85">
        <f t="array" ref="C85">IFERROR(INDEX('Work Items'!$C$6:$C$5000,SMALL(IF('Work Items'!$A$6:$A$5000="CR",ROW('Work Items'!$A$6:$A$5000)-ROW('Work Items'!$A$6)+1),81)),"")</f>
        <v/>
      </c>
      <c r="D85">
        <f t="array" ref="D85">IFERROR(INDEX('Work Items'!$D$6:$D$5000,SMALL(IF('Work Items'!$A$6:$A$5000="CR",ROW('Work Items'!$A$6:$A$5000)-ROW('Work Items'!$A$6)+1),81)),"")</f>
        <v/>
      </c>
      <c r="E85">
        <f t="array" ref="E85">IFERROR(INDEX('Work Items'!$E$6:$E$5000,SMALL(IF('Work Items'!$A$6:$A$5000="CR",ROW('Work Items'!$A$6:$A$5000)-ROW('Work Items'!$A$6)+1),81)),"")</f>
        <v/>
      </c>
      <c r="F85">
        <f t="array" ref="F85">IFERROR(INDEX('Work Items'!$F$6:$F$5000,SMALL(IF('Work Items'!$A$6:$A$5000="CR",ROW('Work Items'!$A$6:$A$5000)-ROW('Work Items'!$A$6)+1),81)),"")</f>
        <v/>
      </c>
      <c r="G85">
        <f t="array" ref="G85">IFERROR(INDEX('Work Items'!$J$6:$J$5000,SMALL(IF('Work Items'!$A$6:$A$5000="CR",ROW('Work Items'!$A$6:$A$5000)-ROW('Work Items'!$A$6)+1),81)),"")</f>
        <v/>
      </c>
      <c r="H85">
        <f t="array" ref="H85">IFERROR(INDEX('Work Items'!$K$6:$K$5000,SMALL(IF('Work Items'!$A$6:$A$5000="CR",ROW('Work Items'!$A$6:$A$5000)-ROW('Work Items'!$A$6)+1),81)),"")</f>
        <v/>
      </c>
      <c r="I85">
        <f t="array" ref="I85">IFERROR(INDEX('Work Items'!$L$6:$L$5000,SMALL(IF('Work Items'!$A$6:$A$5000="CR",ROW('Work Items'!$A$6:$A$5000)-ROW('Work Items'!$A$6)+1),81)),"")</f>
        <v/>
      </c>
      <c r="J85" s="217">
        <f t="array" ref="J85">IFERROR(INDEX('Work Items'!$M$6:$M$5000,SMALL(IF('Work Items'!$A$6:$A$5000="CR",ROW('Work Items'!$A$6:$A$5000)-ROW('Work Items'!$A$6)+1),81)),"")</f>
        <v/>
      </c>
      <c r="K85" s="217">
        <f t="array" ref="K85">IFERROR(INDEX('Work Items'!$Q$6:$Q$5000,SMALL(IF('Work Items'!$A$6:$A$5000="CR",ROW('Work Items'!$A$6:$A$5000)-ROW('Work Items'!$A$6)+1),81)),"")</f>
        <v/>
      </c>
      <c r="L85">
        <f t="array" ref="L85">IFERROR(INDEX('Work Items'!$N$6:$N$5000,SMALL(IF('Work Items'!$A$6:$A$5000="CR",ROW('Work Items'!$A$6:$A$5000)-ROW('Work Items'!$A$6)+1),81)),"")</f>
        <v/>
      </c>
      <c r="M85">
        <f t="array" ref="M85">IFERROR(INDEX('Work Items'!$O$6:$O$5000,SMALL(IF('Work Items'!$A$6:$A$5000="CR",ROW('Work Items'!$A$6:$A$5000)-ROW('Work Items'!$A$6)+1),81)),"")</f>
        <v/>
      </c>
    </row>
    <row r="86">
      <c r="A86">
        <f t="array" ref="A86">IFERROR(INDEX('Work Items'!$A$6:$A$5000,SMALL(IF('Work Items'!$A$6:$A$5000="CR",ROW('Work Items'!$A$6:$A$5000)-ROW('Work Items'!$A$6)+1),82)),"")</f>
        <v/>
      </c>
      <c r="B86">
        <f t="array" ref="B86">IFERROR(INDEX('Work Items'!$B$6:$B$5000,SMALL(IF('Work Items'!$A$6:$A$5000="CR",ROW('Work Items'!$A$6:$A$5000)-ROW('Work Items'!$A$6)+1),82)),"")</f>
        <v/>
      </c>
      <c r="C86">
        <f t="array" ref="C86">IFERROR(INDEX('Work Items'!$C$6:$C$5000,SMALL(IF('Work Items'!$A$6:$A$5000="CR",ROW('Work Items'!$A$6:$A$5000)-ROW('Work Items'!$A$6)+1),82)),"")</f>
        <v/>
      </c>
      <c r="D86">
        <f t="array" ref="D86">IFERROR(INDEX('Work Items'!$D$6:$D$5000,SMALL(IF('Work Items'!$A$6:$A$5000="CR",ROW('Work Items'!$A$6:$A$5000)-ROW('Work Items'!$A$6)+1),82)),"")</f>
        <v/>
      </c>
      <c r="E86">
        <f t="array" ref="E86">IFERROR(INDEX('Work Items'!$E$6:$E$5000,SMALL(IF('Work Items'!$A$6:$A$5000="CR",ROW('Work Items'!$A$6:$A$5000)-ROW('Work Items'!$A$6)+1),82)),"")</f>
        <v/>
      </c>
      <c r="F86">
        <f t="array" ref="F86">IFERROR(INDEX('Work Items'!$F$6:$F$5000,SMALL(IF('Work Items'!$A$6:$A$5000="CR",ROW('Work Items'!$A$6:$A$5000)-ROW('Work Items'!$A$6)+1),82)),"")</f>
        <v/>
      </c>
      <c r="G86">
        <f t="array" ref="G86">IFERROR(INDEX('Work Items'!$J$6:$J$5000,SMALL(IF('Work Items'!$A$6:$A$5000="CR",ROW('Work Items'!$A$6:$A$5000)-ROW('Work Items'!$A$6)+1),82)),"")</f>
        <v/>
      </c>
      <c r="H86">
        <f t="array" ref="H86">IFERROR(INDEX('Work Items'!$K$6:$K$5000,SMALL(IF('Work Items'!$A$6:$A$5000="CR",ROW('Work Items'!$A$6:$A$5000)-ROW('Work Items'!$A$6)+1),82)),"")</f>
        <v/>
      </c>
      <c r="I86">
        <f t="array" ref="I86">IFERROR(INDEX('Work Items'!$L$6:$L$5000,SMALL(IF('Work Items'!$A$6:$A$5000="CR",ROW('Work Items'!$A$6:$A$5000)-ROW('Work Items'!$A$6)+1),82)),"")</f>
        <v/>
      </c>
      <c r="J86" s="217">
        <f t="array" ref="J86">IFERROR(INDEX('Work Items'!$M$6:$M$5000,SMALL(IF('Work Items'!$A$6:$A$5000="CR",ROW('Work Items'!$A$6:$A$5000)-ROW('Work Items'!$A$6)+1),82)),"")</f>
        <v/>
      </c>
      <c r="K86" s="217">
        <f t="array" ref="K86">IFERROR(INDEX('Work Items'!$Q$6:$Q$5000,SMALL(IF('Work Items'!$A$6:$A$5000="CR",ROW('Work Items'!$A$6:$A$5000)-ROW('Work Items'!$A$6)+1),82)),"")</f>
        <v/>
      </c>
      <c r="L86">
        <f t="array" ref="L86">IFERROR(INDEX('Work Items'!$N$6:$N$5000,SMALL(IF('Work Items'!$A$6:$A$5000="CR",ROW('Work Items'!$A$6:$A$5000)-ROW('Work Items'!$A$6)+1),82)),"")</f>
        <v/>
      </c>
      <c r="M86">
        <f t="array" ref="M86">IFERROR(INDEX('Work Items'!$O$6:$O$5000,SMALL(IF('Work Items'!$A$6:$A$5000="CR",ROW('Work Items'!$A$6:$A$5000)-ROW('Work Items'!$A$6)+1),82)),"")</f>
        <v/>
      </c>
    </row>
    <row r="87">
      <c r="A87">
        <f t="array" ref="A87">IFERROR(INDEX('Work Items'!$A$6:$A$5000,SMALL(IF('Work Items'!$A$6:$A$5000="CR",ROW('Work Items'!$A$6:$A$5000)-ROW('Work Items'!$A$6)+1),83)),"")</f>
        <v/>
      </c>
      <c r="B87">
        <f t="array" ref="B87">IFERROR(INDEX('Work Items'!$B$6:$B$5000,SMALL(IF('Work Items'!$A$6:$A$5000="CR",ROW('Work Items'!$A$6:$A$5000)-ROW('Work Items'!$A$6)+1),83)),"")</f>
        <v/>
      </c>
      <c r="C87">
        <f t="array" ref="C87">IFERROR(INDEX('Work Items'!$C$6:$C$5000,SMALL(IF('Work Items'!$A$6:$A$5000="CR",ROW('Work Items'!$A$6:$A$5000)-ROW('Work Items'!$A$6)+1),83)),"")</f>
        <v/>
      </c>
      <c r="D87">
        <f t="array" ref="D87">IFERROR(INDEX('Work Items'!$D$6:$D$5000,SMALL(IF('Work Items'!$A$6:$A$5000="CR",ROW('Work Items'!$A$6:$A$5000)-ROW('Work Items'!$A$6)+1),83)),"")</f>
        <v/>
      </c>
      <c r="E87">
        <f t="array" ref="E87">IFERROR(INDEX('Work Items'!$E$6:$E$5000,SMALL(IF('Work Items'!$A$6:$A$5000="CR",ROW('Work Items'!$A$6:$A$5000)-ROW('Work Items'!$A$6)+1),83)),"")</f>
        <v/>
      </c>
      <c r="F87">
        <f t="array" ref="F87">IFERROR(INDEX('Work Items'!$F$6:$F$5000,SMALL(IF('Work Items'!$A$6:$A$5000="CR",ROW('Work Items'!$A$6:$A$5000)-ROW('Work Items'!$A$6)+1),83)),"")</f>
        <v/>
      </c>
      <c r="G87">
        <f t="array" ref="G87">IFERROR(INDEX('Work Items'!$J$6:$J$5000,SMALL(IF('Work Items'!$A$6:$A$5000="CR",ROW('Work Items'!$A$6:$A$5000)-ROW('Work Items'!$A$6)+1),83)),"")</f>
        <v/>
      </c>
      <c r="H87">
        <f t="array" ref="H87">IFERROR(INDEX('Work Items'!$K$6:$K$5000,SMALL(IF('Work Items'!$A$6:$A$5000="CR",ROW('Work Items'!$A$6:$A$5000)-ROW('Work Items'!$A$6)+1),83)),"")</f>
        <v/>
      </c>
      <c r="I87">
        <f t="array" ref="I87">IFERROR(INDEX('Work Items'!$L$6:$L$5000,SMALL(IF('Work Items'!$A$6:$A$5000="CR",ROW('Work Items'!$A$6:$A$5000)-ROW('Work Items'!$A$6)+1),83)),"")</f>
        <v/>
      </c>
      <c r="J87" s="217">
        <f t="array" ref="J87">IFERROR(INDEX('Work Items'!$M$6:$M$5000,SMALL(IF('Work Items'!$A$6:$A$5000="CR",ROW('Work Items'!$A$6:$A$5000)-ROW('Work Items'!$A$6)+1),83)),"")</f>
        <v/>
      </c>
      <c r="K87" s="217">
        <f t="array" ref="K87">IFERROR(INDEX('Work Items'!$Q$6:$Q$5000,SMALL(IF('Work Items'!$A$6:$A$5000="CR",ROW('Work Items'!$A$6:$A$5000)-ROW('Work Items'!$A$6)+1),83)),"")</f>
        <v/>
      </c>
      <c r="L87">
        <f t="array" ref="L87">IFERROR(INDEX('Work Items'!$N$6:$N$5000,SMALL(IF('Work Items'!$A$6:$A$5000="CR",ROW('Work Items'!$A$6:$A$5000)-ROW('Work Items'!$A$6)+1),83)),"")</f>
        <v/>
      </c>
      <c r="M87">
        <f t="array" ref="M87">IFERROR(INDEX('Work Items'!$O$6:$O$5000,SMALL(IF('Work Items'!$A$6:$A$5000="CR",ROW('Work Items'!$A$6:$A$5000)-ROW('Work Items'!$A$6)+1),83)),"")</f>
        <v/>
      </c>
    </row>
    <row r="88">
      <c r="A88">
        <f t="array" ref="A88">IFERROR(INDEX('Work Items'!$A$6:$A$5000,SMALL(IF('Work Items'!$A$6:$A$5000="CR",ROW('Work Items'!$A$6:$A$5000)-ROW('Work Items'!$A$6)+1),84)),"")</f>
        <v/>
      </c>
      <c r="B88">
        <f t="array" ref="B88">IFERROR(INDEX('Work Items'!$B$6:$B$5000,SMALL(IF('Work Items'!$A$6:$A$5000="CR",ROW('Work Items'!$A$6:$A$5000)-ROW('Work Items'!$A$6)+1),84)),"")</f>
        <v/>
      </c>
      <c r="C88">
        <f t="array" ref="C88">IFERROR(INDEX('Work Items'!$C$6:$C$5000,SMALL(IF('Work Items'!$A$6:$A$5000="CR",ROW('Work Items'!$A$6:$A$5000)-ROW('Work Items'!$A$6)+1),84)),"")</f>
        <v/>
      </c>
      <c r="D88">
        <f t="array" ref="D88">IFERROR(INDEX('Work Items'!$D$6:$D$5000,SMALL(IF('Work Items'!$A$6:$A$5000="CR",ROW('Work Items'!$A$6:$A$5000)-ROW('Work Items'!$A$6)+1),84)),"")</f>
        <v/>
      </c>
      <c r="E88">
        <f t="array" ref="E88">IFERROR(INDEX('Work Items'!$E$6:$E$5000,SMALL(IF('Work Items'!$A$6:$A$5000="CR",ROW('Work Items'!$A$6:$A$5000)-ROW('Work Items'!$A$6)+1),84)),"")</f>
        <v/>
      </c>
      <c r="F88">
        <f t="array" ref="F88">IFERROR(INDEX('Work Items'!$F$6:$F$5000,SMALL(IF('Work Items'!$A$6:$A$5000="CR",ROW('Work Items'!$A$6:$A$5000)-ROW('Work Items'!$A$6)+1),84)),"")</f>
        <v/>
      </c>
      <c r="G88">
        <f t="array" ref="G88">IFERROR(INDEX('Work Items'!$J$6:$J$5000,SMALL(IF('Work Items'!$A$6:$A$5000="CR",ROW('Work Items'!$A$6:$A$5000)-ROW('Work Items'!$A$6)+1),84)),"")</f>
        <v/>
      </c>
      <c r="H88">
        <f t="array" ref="H88">IFERROR(INDEX('Work Items'!$K$6:$K$5000,SMALL(IF('Work Items'!$A$6:$A$5000="CR",ROW('Work Items'!$A$6:$A$5000)-ROW('Work Items'!$A$6)+1),84)),"")</f>
        <v/>
      </c>
      <c r="I88">
        <f t="array" ref="I88">IFERROR(INDEX('Work Items'!$L$6:$L$5000,SMALL(IF('Work Items'!$A$6:$A$5000="CR",ROW('Work Items'!$A$6:$A$5000)-ROW('Work Items'!$A$6)+1),84)),"")</f>
        <v/>
      </c>
      <c r="J88" s="217">
        <f t="array" ref="J88">IFERROR(INDEX('Work Items'!$M$6:$M$5000,SMALL(IF('Work Items'!$A$6:$A$5000="CR",ROW('Work Items'!$A$6:$A$5000)-ROW('Work Items'!$A$6)+1),84)),"")</f>
        <v/>
      </c>
      <c r="K88" s="217">
        <f t="array" ref="K88">IFERROR(INDEX('Work Items'!$Q$6:$Q$5000,SMALL(IF('Work Items'!$A$6:$A$5000="CR",ROW('Work Items'!$A$6:$A$5000)-ROW('Work Items'!$A$6)+1),84)),"")</f>
        <v/>
      </c>
      <c r="L88">
        <f t="array" ref="L88">IFERROR(INDEX('Work Items'!$N$6:$N$5000,SMALL(IF('Work Items'!$A$6:$A$5000="CR",ROW('Work Items'!$A$6:$A$5000)-ROW('Work Items'!$A$6)+1),84)),"")</f>
        <v/>
      </c>
      <c r="M88">
        <f t="array" ref="M88">IFERROR(INDEX('Work Items'!$O$6:$O$5000,SMALL(IF('Work Items'!$A$6:$A$5000="CR",ROW('Work Items'!$A$6:$A$5000)-ROW('Work Items'!$A$6)+1),84)),"")</f>
        <v/>
      </c>
    </row>
    <row r="89">
      <c r="A89">
        <f t="array" ref="A89">IFERROR(INDEX('Work Items'!$A$6:$A$5000,SMALL(IF('Work Items'!$A$6:$A$5000="CR",ROW('Work Items'!$A$6:$A$5000)-ROW('Work Items'!$A$6)+1),85)),"")</f>
        <v/>
      </c>
      <c r="B89">
        <f t="array" ref="B89">IFERROR(INDEX('Work Items'!$B$6:$B$5000,SMALL(IF('Work Items'!$A$6:$A$5000="CR",ROW('Work Items'!$A$6:$A$5000)-ROW('Work Items'!$A$6)+1),85)),"")</f>
        <v/>
      </c>
      <c r="C89">
        <f t="array" ref="C89">IFERROR(INDEX('Work Items'!$C$6:$C$5000,SMALL(IF('Work Items'!$A$6:$A$5000="CR",ROW('Work Items'!$A$6:$A$5000)-ROW('Work Items'!$A$6)+1),85)),"")</f>
        <v/>
      </c>
      <c r="D89">
        <f t="array" ref="D89">IFERROR(INDEX('Work Items'!$D$6:$D$5000,SMALL(IF('Work Items'!$A$6:$A$5000="CR",ROW('Work Items'!$A$6:$A$5000)-ROW('Work Items'!$A$6)+1),85)),"")</f>
        <v/>
      </c>
      <c r="E89">
        <f t="array" ref="E89">IFERROR(INDEX('Work Items'!$E$6:$E$5000,SMALL(IF('Work Items'!$A$6:$A$5000="CR",ROW('Work Items'!$A$6:$A$5000)-ROW('Work Items'!$A$6)+1),85)),"")</f>
        <v/>
      </c>
      <c r="F89">
        <f t="array" ref="F89">IFERROR(INDEX('Work Items'!$F$6:$F$5000,SMALL(IF('Work Items'!$A$6:$A$5000="CR",ROW('Work Items'!$A$6:$A$5000)-ROW('Work Items'!$A$6)+1),85)),"")</f>
        <v/>
      </c>
      <c r="G89">
        <f t="array" ref="G89">IFERROR(INDEX('Work Items'!$J$6:$J$5000,SMALL(IF('Work Items'!$A$6:$A$5000="CR",ROW('Work Items'!$A$6:$A$5000)-ROW('Work Items'!$A$6)+1),85)),"")</f>
        <v/>
      </c>
      <c r="H89">
        <f t="array" ref="H89">IFERROR(INDEX('Work Items'!$K$6:$K$5000,SMALL(IF('Work Items'!$A$6:$A$5000="CR",ROW('Work Items'!$A$6:$A$5000)-ROW('Work Items'!$A$6)+1),85)),"")</f>
        <v/>
      </c>
      <c r="I89">
        <f t="array" ref="I89">IFERROR(INDEX('Work Items'!$L$6:$L$5000,SMALL(IF('Work Items'!$A$6:$A$5000="CR",ROW('Work Items'!$A$6:$A$5000)-ROW('Work Items'!$A$6)+1),85)),"")</f>
        <v/>
      </c>
      <c r="J89" s="217">
        <f t="array" ref="J89">IFERROR(INDEX('Work Items'!$M$6:$M$5000,SMALL(IF('Work Items'!$A$6:$A$5000="CR",ROW('Work Items'!$A$6:$A$5000)-ROW('Work Items'!$A$6)+1),85)),"")</f>
        <v/>
      </c>
      <c r="K89" s="217">
        <f t="array" ref="K89">IFERROR(INDEX('Work Items'!$Q$6:$Q$5000,SMALL(IF('Work Items'!$A$6:$A$5000="CR",ROW('Work Items'!$A$6:$A$5000)-ROW('Work Items'!$A$6)+1),85)),"")</f>
        <v/>
      </c>
      <c r="L89">
        <f t="array" ref="L89">IFERROR(INDEX('Work Items'!$N$6:$N$5000,SMALL(IF('Work Items'!$A$6:$A$5000="CR",ROW('Work Items'!$A$6:$A$5000)-ROW('Work Items'!$A$6)+1),85)),"")</f>
        <v/>
      </c>
      <c r="M89">
        <f t="array" ref="M89">IFERROR(INDEX('Work Items'!$O$6:$O$5000,SMALL(IF('Work Items'!$A$6:$A$5000="CR",ROW('Work Items'!$A$6:$A$5000)-ROW('Work Items'!$A$6)+1),85)),"")</f>
        <v/>
      </c>
    </row>
    <row r="90">
      <c r="A90">
        <f t="array" ref="A90">IFERROR(INDEX('Work Items'!$A$6:$A$5000,SMALL(IF('Work Items'!$A$6:$A$5000="CR",ROW('Work Items'!$A$6:$A$5000)-ROW('Work Items'!$A$6)+1),86)),"")</f>
        <v/>
      </c>
      <c r="B90">
        <f t="array" ref="B90">IFERROR(INDEX('Work Items'!$B$6:$B$5000,SMALL(IF('Work Items'!$A$6:$A$5000="CR",ROW('Work Items'!$A$6:$A$5000)-ROW('Work Items'!$A$6)+1),86)),"")</f>
        <v/>
      </c>
      <c r="C90">
        <f t="array" ref="C90">IFERROR(INDEX('Work Items'!$C$6:$C$5000,SMALL(IF('Work Items'!$A$6:$A$5000="CR",ROW('Work Items'!$A$6:$A$5000)-ROW('Work Items'!$A$6)+1),86)),"")</f>
        <v/>
      </c>
      <c r="D90">
        <f t="array" ref="D90">IFERROR(INDEX('Work Items'!$D$6:$D$5000,SMALL(IF('Work Items'!$A$6:$A$5000="CR",ROW('Work Items'!$A$6:$A$5000)-ROW('Work Items'!$A$6)+1),86)),"")</f>
        <v/>
      </c>
      <c r="E90">
        <f t="array" ref="E90">IFERROR(INDEX('Work Items'!$E$6:$E$5000,SMALL(IF('Work Items'!$A$6:$A$5000="CR",ROW('Work Items'!$A$6:$A$5000)-ROW('Work Items'!$A$6)+1),86)),"")</f>
        <v/>
      </c>
      <c r="F90">
        <f t="array" ref="F90">IFERROR(INDEX('Work Items'!$F$6:$F$5000,SMALL(IF('Work Items'!$A$6:$A$5000="CR",ROW('Work Items'!$A$6:$A$5000)-ROW('Work Items'!$A$6)+1),86)),"")</f>
        <v/>
      </c>
      <c r="G90">
        <f t="array" ref="G90">IFERROR(INDEX('Work Items'!$J$6:$J$5000,SMALL(IF('Work Items'!$A$6:$A$5000="CR",ROW('Work Items'!$A$6:$A$5000)-ROW('Work Items'!$A$6)+1),86)),"")</f>
        <v/>
      </c>
      <c r="H90">
        <f t="array" ref="H90">IFERROR(INDEX('Work Items'!$K$6:$K$5000,SMALL(IF('Work Items'!$A$6:$A$5000="CR",ROW('Work Items'!$A$6:$A$5000)-ROW('Work Items'!$A$6)+1),86)),"")</f>
        <v/>
      </c>
      <c r="I90">
        <f t="array" ref="I90">IFERROR(INDEX('Work Items'!$L$6:$L$5000,SMALL(IF('Work Items'!$A$6:$A$5000="CR",ROW('Work Items'!$A$6:$A$5000)-ROW('Work Items'!$A$6)+1),86)),"")</f>
        <v/>
      </c>
      <c r="J90" s="217">
        <f t="array" ref="J90">IFERROR(INDEX('Work Items'!$M$6:$M$5000,SMALL(IF('Work Items'!$A$6:$A$5000="CR",ROW('Work Items'!$A$6:$A$5000)-ROW('Work Items'!$A$6)+1),86)),"")</f>
        <v/>
      </c>
      <c r="K90" s="217">
        <f t="array" ref="K90">IFERROR(INDEX('Work Items'!$Q$6:$Q$5000,SMALL(IF('Work Items'!$A$6:$A$5000="CR",ROW('Work Items'!$A$6:$A$5000)-ROW('Work Items'!$A$6)+1),86)),"")</f>
        <v/>
      </c>
      <c r="L90">
        <f t="array" ref="L90">IFERROR(INDEX('Work Items'!$N$6:$N$5000,SMALL(IF('Work Items'!$A$6:$A$5000="CR",ROW('Work Items'!$A$6:$A$5000)-ROW('Work Items'!$A$6)+1),86)),"")</f>
        <v/>
      </c>
      <c r="M90">
        <f t="array" ref="M90">IFERROR(INDEX('Work Items'!$O$6:$O$5000,SMALL(IF('Work Items'!$A$6:$A$5000="CR",ROW('Work Items'!$A$6:$A$5000)-ROW('Work Items'!$A$6)+1),86)),"")</f>
        <v/>
      </c>
    </row>
    <row r="91">
      <c r="A91">
        <f t="array" ref="A91">IFERROR(INDEX('Work Items'!$A$6:$A$5000,SMALL(IF('Work Items'!$A$6:$A$5000="CR",ROW('Work Items'!$A$6:$A$5000)-ROW('Work Items'!$A$6)+1),87)),"")</f>
        <v/>
      </c>
      <c r="B91">
        <f t="array" ref="B91">IFERROR(INDEX('Work Items'!$B$6:$B$5000,SMALL(IF('Work Items'!$A$6:$A$5000="CR",ROW('Work Items'!$A$6:$A$5000)-ROW('Work Items'!$A$6)+1),87)),"")</f>
        <v/>
      </c>
      <c r="C91">
        <f t="array" ref="C91">IFERROR(INDEX('Work Items'!$C$6:$C$5000,SMALL(IF('Work Items'!$A$6:$A$5000="CR",ROW('Work Items'!$A$6:$A$5000)-ROW('Work Items'!$A$6)+1),87)),"")</f>
        <v/>
      </c>
      <c r="D91">
        <f t="array" ref="D91">IFERROR(INDEX('Work Items'!$D$6:$D$5000,SMALL(IF('Work Items'!$A$6:$A$5000="CR",ROW('Work Items'!$A$6:$A$5000)-ROW('Work Items'!$A$6)+1),87)),"")</f>
        <v/>
      </c>
      <c r="E91">
        <f t="array" ref="E91">IFERROR(INDEX('Work Items'!$E$6:$E$5000,SMALL(IF('Work Items'!$A$6:$A$5000="CR",ROW('Work Items'!$A$6:$A$5000)-ROW('Work Items'!$A$6)+1),87)),"")</f>
        <v/>
      </c>
      <c r="F91">
        <f t="array" ref="F91">IFERROR(INDEX('Work Items'!$F$6:$F$5000,SMALL(IF('Work Items'!$A$6:$A$5000="CR",ROW('Work Items'!$A$6:$A$5000)-ROW('Work Items'!$A$6)+1),87)),"")</f>
        <v/>
      </c>
      <c r="G91">
        <f t="array" ref="G91">IFERROR(INDEX('Work Items'!$J$6:$J$5000,SMALL(IF('Work Items'!$A$6:$A$5000="CR",ROW('Work Items'!$A$6:$A$5000)-ROW('Work Items'!$A$6)+1),87)),"")</f>
        <v/>
      </c>
      <c r="H91">
        <f t="array" ref="H91">IFERROR(INDEX('Work Items'!$K$6:$K$5000,SMALL(IF('Work Items'!$A$6:$A$5000="CR",ROW('Work Items'!$A$6:$A$5000)-ROW('Work Items'!$A$6)+1),87)),"")</f>
        <v/>
      </c>
      <c r="I91">
        <f t="array" ref="I91">IFERROR(INDEX('Work Items'!$L$6:$L$5000,SMALL(IF('Work Items'!$A$6:$A$5000="CR",ROW('Work Items'!$A$6:$A$5000)-ROW('Work Items'!$A$6)+1),87)),"")</f>
        <v/>
      </c>
      <c r="J91" s="217">
        <f t="array" ref="J91">IFERROR(INDEX('Work Items'!$M$6:$M$5000,SMALL(IF('Work Items'!$A$6:$A$5000="CR",ROW('Work Items'!$A$6:$A$5000)-ROW('Work Items'!$A$6)+1),87)),"")</f>
        <v/>
      </c>
      <c r="K91" s="217">
        <f t="array" ref="K91">IFERROR(INDEX('Work Items'!$Q$6:$Q$5000,SMALL(IF('Work Items'!$A$6:$A$5000="CR",ROW('Work Items'!$A$6:$A$5000)-ROW('Work Items'!$A$6)+1),87)),"")</f>
        <v/>
      </c>
      <c r="L91">
        <f t="array" ref="L91">IFERROR(INDEX('Work Items'!$N$6:$N$5000,SMALL(IF('Work Items'!$A$6:$A$5000="CR",ROW('Work Items'!$A$6:$A$5000)-ROW('Work Items'!$A$6)+1),87)),"")</f>
        <v/>
      </c>
      <c r="M91">
        <f t="array" ref="M91">IFERROR(INDEX('Work Items'!$O$6:$O$5000,SMALL(IF('Work Items'!$A$6:$A$5000="CR",ROW('Work Items'!$A$6:$A$5000)-ROW('Work Items'!$A$6)+1),87)),"")</f>
        <v/>
      </c>
    </row>
    <row r="92">
      <c r="A92">
        <f t="array" ref="A92">IFERROR(INDEX('Work Items'!$A$6:$A$5000,SMALL(IF('Work Items'!$A$6:$A$5000="CR",ROW('Work Items'!$A$6:$A$5000)-ROW('Work Items'!$A$6)+1),88)),"")</f>
        <v/>
      </c>
      <c r="B92">
        <f t="array" ref="B92">IFERROR(INDEX('Work Items'!$B$6:$B$5000,SMALL(IF('Work Items'!$A$6:$A$5000="CR",ROW('Work Items'!$A$6:$A$5000)-ROW('Work Items'!$A$6)+1),88)),"")</f>
        <v/>
      </c>
      <c r="C92">
        <f t="array" ref="C92">IFERROR(INDEX('Work Items'!$C$6:$C$5000,SMALL(IF('Work Items'!$A$6:$A$5000="CR",ROW('Work Items'!$A$6:$A$5000)-ROW('Work Items'!$A$6)+1),88)),"")</f>
        <v/>
      </c>
      <c r="D92">
        <f t="array" ref="D92">IFERROR(INDEX('Work Items'!$D$6:$D$5000,SMALL(IF('Work Items'!$A$6:$A$5000="CR",ROW('Work Items'!$A$6:$A$5000)-ROW('Work Items'!$A$6)+1),88)),"")</f>
        <v/>
      </c>
      <c r="E92">
        <f t="array" ref="E92">IFERROR(INDEX('Work Items'!$E$6:$E$5000,SMALL(IF('Work Items'!$A$6:$A$5000="CR",ROW('Work Items'!$A$6:$A$5000)-ROW('Work Items'!$A$6)+1),88)),"")</f>
        <v/>
      </c>
      <c r="F92">
        <f t="array" ref="F92">IFERROR(INDEX('Work Items'!$F$6:$F$5000,SMALL(IF('Work Items'!$A$6:$A$5000="CR",ROW('Work Items'!$A$6:$A$5000)-ROW('Work Items'!$A$6)+1),88)),"")</f>
        <v/>
      </c>
      <c r="G92">
        <f t="array" ref="G92">IFERROR(INDEX('Work Items'!$J$6:$J$5000,SMALL(IF('Work Items'!$A$6:$A$5000="CR",ROW('Work Items'!$A$6:$A$5000)-ROW('Work Items'!$A$6)+1),88)),"")</f>
        <v/>
      </c>
      <c r="H92">
        <f t="array" ref="H92">IFERROR(INDEX('Work Items'!$K$6:$K$5000,SMALL(IF('Work Items'!$A$6:$A$5000="CR",ROW('Work Items'!$A$6:$A$5000)-ROW('Work Items'!$A$6)+1),88)),"")</f>
        <v/>
      </c>
      <c r="I92">
        <f t="array" ref="I92">IFERROR(INDEX('Work Items'!$L$6:$L$5000,SMALL(IF('Work Items'!$A$6:$A$5000="CR",ROW('Work Items'!$A$6:$A$5000)-ROW('Work Items'!$A$6)+1),88)),"")</f>
        <v/>
      </c>
      <c r="J92" s="217">
        <f t="array" ref="J92">IFERROR(INDEX('Work Items'!$M$6:$M$5000,SMALL(IF('Work Items'!$A$6:$A$5000="CR",ROW('Work Items'!$A$6:$A$5000)-ROW('Work Items'!$A$6)+1),88)),"")</f>
        <v/>
      </c>
      <c r="K92" s="217">
        <f t="array" ref="K92">IFERROR(INDEX('Work Items'!$Q$6:$Q$5000,SMALL(IF('Work Items'!$A$6:$A$5000="CR",ROW('Work Items'!$A$6:$A$5000)-ROW('Work Items'!$A$6)+1),88)),"")</f>
        <v/>
      </c>
      <c r="L92">
        <f t="array" ref="L92">IFERROR(INDEX('Work Items'!$N$6:$N$5000,SMALL(IF('Work Items'!$A$6:$A$5000="CR",ROW('Work Items'!$A$6:$A$5000)-ROW('Work Items'!$A$6)+1),88)),"")</f>
        <v/>
      </c>
      <c r="M92">
        <f t="array" ref="M92">IFERROR(INDEX('Work Items'!$O$6:$O$5000,SMALL(IF('Work Items'!$A$6:$A$5000="CR",ROW('Work Items'!$A$6:$A$5000)-ROW('Work Items'!$A$6)+1),88)),"")</f>
        <v/>
      </c>
    </row>
    <row r="93">
      <c r="A93">
        <f t="array" ref="A93">IFERROR(INDEX('Work Items'!$A$6:$A$5000,SMALL(IF('Work Items'!$A$6:$A$5000="CR",ROW('Work Items'!$A$6:$A$5000)-ROW('Work Items'!$A$6)+1),89)),"")</f>
        <v/>
      </c>
      <c r="B93">
        <f t="array" ref="B93">IFERROR(INDEX('Work Items'!$B$6:$B$5000,SMALL(IF('Work Items'!$A$6:$A$5000="CR",ROW('Work Items'!$A$6:$A$5000)-ROW('Work Items'!$A$6)+1),89)),"")</f>
        <v/>
      </c>
      <c r="C93">
        <f t="array" ref="C93">IFERROR(INDEX('Work Items'!$C$6:$C$5000,SMALL(IF('Work Items'!$A$6:$A$5000="CR",ROW('Work Items'!$A$6:$A$5000)-ROW('Work Items'!$A$6)+1),89)),"")</f>
        <v/>
      </c>
      <c r="D93">
        <f t="array" ref="D93">IFERROR(INDEX('Work Items'!$D$6:$D$5000,SMALL(IF('Work Items'!$A$6:$A$5000="CR",ROW('Work Items'!$A$6:$A$5000)-ROW('Work Items'!$A$6)+1),89)),"")</f>
        <v/>
      </c>
      <c r="E93">
        <f t="array" ref="E93">IFERROR(INDEX('Work Items'!$E$6:$E$5000,SMALL(IF('Work Items'!$A$6:$A$5000="CR",ROW('Work Items'!$A$6:$A$5000)-ROW('Work Items'!$A$6)+1),89)),"")</f>
        <v/>
      </c>
      <c r="F93">
        <f t="array" ref="F93">IFERROR(INDEX('Work Items'!$F$6:$F$5000,SMALL(IF('Work Items'!$A$6:$A$5000="CR",ROW('Work Items'!$A$6:$A$5000)-ROW('Work Items'!$A$6)+1),89)),"")</f>
        <v/>
      </c>
      <c r="G93">
        <f t="array" ref="G93">IFERROR(INDEX('Work Items'!$J$6:$J$5000,SMALL(IF('Work Items'!$A$6:$A$5000="CR",ROW('Work Items'!$A$6:$A$5000)-ROW('Work Items'!$A$6)+1),89)),"")</f>
        <v/>
      </c>
      <c r="H93">
        <f t="array" ref="H93">IFERROR(INDEX('Work Items'!$K$6:$K$5000,SMALL(IF('Work Items'!$A$6:$A$5000="CR",ROW('Work Items'!$A$6:$A$5000)-ROW('Work Items'!$A$6)+1),89)),"")</f>
        <v/>
      </c>
      <c r="I93">
        <f t="array" ref="I93">IFERROR(INDEX('Work Items'!$L$6:$L$5000,SMALL(IF('Work Items'!$A$6:$A$5000="CR",ROW('Work Items'!$A$6:$A$5000)-ROW('Work Items'!$A$6)+1),89)),"")</f>
        <v/>
      </c>
      <c r="J93" s="217">
        <f t="array" ref="J93">IFERROR(INDEX('Work Items'!$M$6:$M$5000,SMALL(IF('Work Items'!$A$6:$A$5000="CR",ROW('Work Items'!$A$6:$A$5000)-ROW('Work Items'!$A$6)+1),89)),"")</f>
        <v/>
      </c>
      <c r="K93" s="217">
        <f t="array" ref="K93">IFERROR(INDEX('Work Items'!$Q$6:$Q$5000,SMALL(IF('Work Items'!$A$6:$A$5000="CR",ROW('Work Items'!$A$6:$A$5000)-ROW('Work Items'!$A$6)+1),89)),"")</f>
        <v/>
      </c>
      <c r="L93">
        <f t="array" ref="L93">IFERROR(INDEX('Work Items'!$N$6:$N$5000,SMALL(IF('Work Items'!$A$6:$A$5000="CR",ROW('Work Items'!$A$6:$A$5000)-ROW('Work Items'!$A$6)+1),89)),"")</f>
        <v/>
      </c>
      <c r="M93">
        <f t="array" ref="M93">IFERROR(INDEX('Work Items'!$O$6:$O$5000,SMALL(IF('Work Items'!$A$6:$A$5000="CR",ROW('Work Items'!$A$6:$A$5000)-ROW('Work Items'!$A$6)+1),89)),"")</f>
        <v/>
      </c>
    </row>
    <row r="94">
      <c r="A94">
        <f t="array" ref="A94">IFERROR(INDEX('Work Items'!$A$6:$A$5000,SMALL(IF('Work Items'!$A$6:$A$5000="CR",ROW('Work Items'!$A$6:$A$5000)-ROW('Work Items'!$A$6)+1),90)),"")</f>
        <v/>
      </c>
      <c r="B94">
        <f t="array" ref="B94">IFERROR(INDEX('Work Items'!$B$6:$B$5000,SMALL(IF('Work Items'!$A$6:$A$5000="CR",ROW('Work Items'!$A$6:$A$5000)-ROW('Work Items'!$A$6)+1),90)),"")</f>
        <v/>
      </c>
      <c r="C94">
        <f t="array" ref="C94">IFERROR(INDEX('Work Items'!$C$6:$C$5000,SMALL(IF('Work Items'!$A$6:$A$5000="CR",ROW('Work Items'!$A$6:$A$5000)-ROW('Work Items'!$A$6)+1),90)),"")</f>
        <v/>
      </c>
      <c r="D94">
        <f t="array" ref="D94">IFERROR(INDEX('Work Items'!$D$6:$D$5000,SMALL(IF('Work Items'!$A$6:$A$5000="CR",ROW('Work Items'!$A$6:$A$5000)-ROW('Work Items'!$A$6)+1),90)),"")</f>
        <v/>
      </c>
      <c r="E94">
        <f t="array" ref="E94">IFERROR(INDEX('Work Items'!$E$6:$E$5000,SMALL(IF('Work Items'!$A$6:$A$5000="CR",ROW('Work Items'!$A$6:$A$5000)-ROW('Work Items'!$A$6)+1),90)),"")</f>
        <v/>
      </c>
      <c r="F94">
        <f t="array" ref="F94">IFERROR(INDEX('Work Items'!$F$6:$F$5000,SMALL(IF('Work Items'!$A$6:$A$5000="CR",ROW('Work Items'!$A$6:$A$5000)-ROW('Work Items'!$A$6)+1),90)),"")</f>
        <v/>
      </c>
      <c r="G94">
        <f t="array" ref="G94">IFERROR(INDEX('Work Items'!$J$6:$J$5000,SMALL(IF('Work Items'!$A$6:$A$5000="CR",ROW('Work Items'!$A$6:$A$5000)-ROW('Work Items'!$A$6)+1),90)),"")</f>
        <v/>
      </c>
      <c r="H94">
        <f t="array" ref="H94">IFERROR(INDEX('Work Items'!$K$6:$K$5000,SMALL(IF('Work Items'!$A$6:$A$5000="CR",ROW('Work Items'!$A$6:$A$5000)-ROW('Work Items'!$A$6)+1),90)),"")</f>
        <v/>
      </c>
      <c r="I94">
        <f t="array" ref="I94">IFERROR(INDEX('Work Items'!$L$6:$L$5000,SMALL(IF('Work Items'!$A$6:$A$5000="CR",ROW('Work Items'!$A$6:$A$5000)-ROW('Work Items'!$A$6)+1),90)),"")</f>
        <v/>
      </c>
      <c r="J94" s="217">
        <f t="array" ref="J94">IFERROR(INDEX('Work Items'!$M$6:$M$5000,SMALL(IF('Work Items'!$A$6:$A$5000="CR",ROW('Work Items'!$A$6:$A$5000)-ROW('Work Items'!$A$6)+1),90)),"")</f>
        <v/>
      </c>
      <c r="K94" s="217">
        <f t="array" ref="K94">IFERROR(INDEX('Work Items'!$Q$6:$Q$5000,SMALL(IF('Work Items'!$A$6:$A$5000="CR",ROW('Work Items'!$A$6:$A$5000)-ROW('Work Items'!$A$6)+1),90)),"")</f>
        <v/>
      </c>
      <c r="L94">
        <f t="array" ref="L94">IFERROR(INDEX('Work Items'!$N$6:$N$5000,SMALL(IF('Work Items'!$A$6:$A$5000="CR",ROW('Work Items'!$A$6:$A$5000)-ROW('Work Items'!$A$6)+1),90)),"")</f>
        <v/>
      </c>
      <c r="M94">
        <f t="array" ref="M94">IFERROR(INDEX('Work Items'!$O$6:$O$5000,SMALL(IF('Work Items'!$A$6:$A$5000="CR",ROW('Work Items'!$A$6:$A$5000)-ROW('Work Items'!$A$6)+1),90)),"")</f>
        <v/>
      </c>
    </row>
    <row r="95">
      <c r="A95">
        <f t="array" ref="A95">IFERROR(INDEX('Work Items'!$A$6:$A$5000,SMALL(IF('Work Items'!$A$6:$A$5000="CR",ROW('Work Items'!$A$6:$A$5000)-ROW('Work Items'!$A$6)+1),91)),"")</f>
        <v/>
      </c>
      <c r="B95">
        <f t="array" ref="B95">IFERROR(INDEX('Work Items'!$B$6:$B$5000,SMALL(IF('Work Items'!$A$6:$A$5000="CR",ROW('Work Items'!$A$6:$A$5000)-ROW('Work Items'!$A$6)+1),91)),"")</f>
        <v/>
      </c>
      <c r="C95">
        <f t="array" ref="C95">IFERROR(INDEX('Work Items'!$C$6:$C$5000,SMALL(IF('Work Items'!$A$6:$A$5000="CR",ROW('Work Items'!$A$6:$A$5000)-ROW('Work Items'!$A$6)+1),91)),"")</f>
        <v/>
      </c>
      <c r="D95">
        <f t="array" ref="D95">IFERROR(INDEX('Work Items'!$D$6:$D$5000,SMALL(IF('Work Items'!$A$6:$A$5000="CR",ROW('Work Items'!$A$6:$A$5000)-ROW('Work Items'!$A$6)+1),91)),"")</f>
        <v/>
      </c>
      <c r="E95">
        <f t="array" ref="E95">IFERROR(INDEX('Work Items'!$E$6:$E$5000,SMALL(IF('Work Items'!$A$6:$A$5000="CR",ROW('Work Items'!$A$6:$A$5000)-ROW('Work Items'!$A$6)+1),91)),"")</f>
        <v/>
      </c>
      <c r="F95">
        <f t="array" ref="F95">IFERROR(INDEX('Work Items'!$F$6:$F$5000,SMALL(IF('Work Items'!$A$6:$A$5000="CR",ROW('Work Items'!$A$6:$A$5000)-ROW('Work Items'!$A$6)+1),91)),"")</f>
        <v/>
      </c>
      <c r="G95">
        <f t="array" ref="G95">IFERROR(INDEX('Work Items'!$J$6:$J$5000,SMALL(IF('Work Items'!$A$6:$A$5000="CR",ROW('Work Items'!$A$6:$A$5000)-ROW('Work Items'!$A$6)+1),91)),"")</f>
        <v/>
      </c>
      <c r="H95">
        <f t="array" ref="H95">IFERROR(INDEX('Work Items'!$K$6:$K$5000,SMALL(IF('Work Items'!$A$6:$A$5000="CR",ROW('Work Items'!$A$6:$A$5000)-ROW('Work Items'!$A$6)+1),91)),"")</f>
        <v/>
      </c>
      <c r="I95">
        <f t="array" ref="I95">IFERROR(INDEX('Work Items'!$L$6:$L$5000,SMALL(IF('Work Items'!$A$6:$A$5000="CR",ROW('Work Items'!$A$6:$A$5000)-ROW('Work Items'!$A$6)+1),91)),"")</f>
        <v/>
      </c>
      <c r="J95" s="217">
        <f t="array" ref="J95">IFERROR(INDEX('Work Items'!$M$6:$M$5000,SMALL(IF('Work Items'!$A$6:$A$5000="CR",ROW('Work Items'!$A$6:$A$5000)-ROW('Work Items'!$A$6)+1),91)),"")</f>
        <v/>
      </c>
      <c r="K95" s="217">
        <f t="array" ref="K95">IFERROR(INDEX('Work Items'!$Q$6:$Q$5000,SMALL(IF('Work Items'!$A$6:$A$5000="CR",ROW('Work Items'!$A$6:$A$5000)-ROW('Work Items'!$A$6)+1),91)),"")</f>
        <v/>
      </c>
      <c r="L95">
        <f t="array" ref="L95">IFERROR(INDEX('Work Items'!$N$6:$N$5000,SMALL(IF('Work Items'!$A$6:$A$5000="CR",ROW('Work Items'!$A$6:$A$5000)-ROW('Work Items'!$A$6)+1),91)),"")</f>
        <v/>
      </c>
      <c r="M95">
        <f t="array" ref="M95">IFERROR(INDEX('Work Items'!$O$6:$O$5000,SMALL(IF('Work Items'!$A$6:$A$5000="CR",ROW('Work Items'!$A$6:$A$5000)-ROW('Work Items'!$A$6)+1),91)),"")</f>
        <v/>
      </c>
    </row>
    <row r="96">
      <c r="A96">
        <f t="array" ref="A96">IFERROR(INDEX('Work Items'!$A$6:$A$5000,SMALL(IF('Work Items'!$A$6:$A$5000="CR",ROW('Work Items'!$A$6:$A$5000)-ROW('Work Items'!$A$6)+1),92)),"")</f>
        <v/>
      </c>
      <c r="B96">
        <f t="array" ref="B96">IFERROR(INDEX('Work Items'!$B$6:$B$5000,SMALL(IF('Work Items'!$A$6:$A$5000="CR",ROW('Work Items'!$A$6:$A$5000)-ROW('Work Items'!$A$6)+1),92)),"")</f>
        <v/>
      </c>
      <c r="C96">
        <f t="array" ref="C96">IFERROR(INDEX('Work Items'!$C$6:$C$5000,SMALL(IF('Work Items'!$A$6:$A$5000="CR",ROW('Work Items'!$A$6:$A$5000)-ROW('Work Items'!$A$6)+1),92)),"")</f>
        <v/>
      </c>
      <c r="D96">
        <f t="array" ref="D96">IFERROR(INDEX('Work Items'!$D$6:$D$5000,SMALL(IF('Work Items'!$A$6:$A$5000="CR",ROW('Work Items'!$A$6:$A$5000)-ROW('Work Items'!$A$6)+1),92)),"")</f>
        <v/>
      </c>
      <c r="E96">
        <f t="array" ref="E96">IFERROR(INDEX('Work Items'!$E$6:$E$5000,SMALL(IF('Work Items'!$A$6:$A$5000="CR",ROW('Work Items'!$A$6:$A$5000)-ROW('Work Items'!$A$6)+1),92)),"")</f>
        <v/>
      </c>
      <c r="F96">
        <f t="array" ref="F96">IFERROR(INDEX('Work Items'!$F$6:$F$5000,SMALL(IF('Work Items'!$A$6:$A$5000="CR",ROW('Work Items'!$A$6:$A$5000)-ROW('Work Items'!$A$6)+1),92)),"")</f>
        <v/>
      </c>
      <c r="G96">
        <f t="array" ref="G96">IFERROR(INDEX('Work Items'!$J$6:$J$5000,SMALL(IF('Work Items'!$A$6:$A$5000="CR",ROW('Work Items'!$A$6:$A$5000)-ROW('Work Items'!$A$6)+1),92)),"")</f>
        <v/>
      </c>
      <c r="H96">
        <f t="array" ref="H96">IFERROR(INDEX('Work Items'!$K$6:$K$5000,SMALL(IF('Work Items'!$A$6:$A$5000="CR",ROW('Work Items'!$A$6:$A$5000)-ROW('Work Items'!$A$6)+1),92)),"")</f>
        <v/>
      </c>
      <c r="I96">
        <f t="array" ref="I96">IFERROR(INDEX('Work Items'!$L$6:$L$5000,SMALL(IF('Work Items'!$A$6:$A$5000="CR",ROW('Work Items'!$A$6:$A$5000)-ROW('Work Items'!$A$6)+1),92)),"")</f>
        <v/>
      </c>
      <c r="J96" s="217">
        <f t="array" ref="J96">IFERROR(INDEX('Work Items'!$M$6:$M$5000,SMALL(IF('Work Items'!$A$6:$A$5000="CR",ROW('Work Items'!$A$6:$A$5000)-ROW('Work Items'!$A$6)+1),92)),"")</f>
        <v/>
      </c>
      <c r="K96" s="217">
        <f t="array" ref="K96">IFERROR(INDEX('Work Items'!$Q$6:$Q$5000,SMALL(IF('Work Items'!$A$6:$A$5000="CR",ROW('Work Items'!$A$6:$A$5000)-ROW('Work Items'!$A$6)+1),92)),"")</f>
        <v/>
      </c>
      <c r="L96">
        <f t="array" ref="L96">IFERROR(INDEX('Work Items'!$N$6:$N$5000,SMALL(IF('Work Items'!$A$6:$A$5000="CR",ROW('Work Items'!$A$6:$A$5000)-ROW('Work Items'!$A$6)+1),92)),"")</f>
        <v/>
      </c>
      <c r="M96">
        <f t="array" ref="M96">IFERROR(INDEX('Work Items'!$O$6:$O$5000,SMALL(IF('Work Items'!$A$6:$A$5000="CR",ROW('Work Items'!$A$6:$A$5000)-ROW('Work Items'!$A$6)+1),92)),"")</f>
        <v/>
      </c>
    </row>
    <row r="97">
      <c r="A97">
        <f t="array" ref="A97">IFERROR(INDEX('Work Items'!$A$6:$A$5000,SMALL(IF('Work Items'!$A$6:$A$5000="CR",ROW('Work Items'!$A$6:$A$5000)-ROW('Work Items'!$A$6)+1),93)),"")</f>
        <v/>
      </c>
      <c r="B97">
        <f t="array" ref="B97">IFERROR(INDEX('Work Items'!$B$6:$B$5000,SMALL(IF('Work Items'!$A$6:$A$5000="CR",ROW('Work Items'!$A$6:$A$5000)-ROW('Work Items'!$A$6)+1),93)),"")</f>
        <v/>
      </c>
      <c r="C97">
        <f t="array" ref="C97">IFERROR(INDEX('Work Items'!$C$6:$C$5000,SMALL(IF('Work Items'!$A$6:$A$5000="CR",ROW('Work Items'!$A$6:$A$5000)-ROW('Work Items'!$A$6)+1),93)),"")</f>
        <v/>
      </c>
      <c r="D97">
        <f t="array" ref="D97">IFERROR(INDEX('Work Items'!$D$6:$D$5000,SMALL(IF('Work Items'!$A$6:$A$5000="CR",ROW('Work Items'!$A$6:$A$5000)-ROW('Work Items'!$A$6)+1),93)),"")</f>
        <v/>
      </c>
      <c r="E97">
        <f t="array" ref="E97">IFERROR(INDEX('Work Items'!$E$6:$E$5000,SMALL(IF('Work Items'!$A$6:$A$5000="CR",ROW('Work Items'!$A$6:$A$5000)-ROW('Work Items'!$A$6)+1),93)),"")</f>
        <v/>
      </c>
      <c r="F97">
        <f t="array" ref="F97">IFERROR(INDEX('Work Items'!$F$6:$F$5000,SMALL(IF('Work Items'!$A$6:$A$5000="CR",ROW('Work Items'!$A$6:$A$5000)-ROW('Work Items'!$A$6)+1),93)),"")</f>
        <v/>
      </c>
      <c r="G97">
        <f t="array" ref="G97">IFERROR(INDEX('Work Items'!$J$6:$J$5000,SMALL(IF('Work Items'!$A$6:$A$5000="CR",ROW('Work Items'!$A$6:$A$5000)-ROW('Work Items'!$A$6)+1),93)),"")</f>
        <v/>
      </c>
      <c r="H97">
        <f t="array" ref="H97">IFERROR(INDEX('Work Items'!$K$6:$K$5000,SMALL(IF('Work Items'!$A$6:$A$5000="CR",ROW('Work Items'!$A$6:$A$5000)-ROW('Work Items'!$A$6)+1),93)),"")</f>
        <v/>
      </c>
      <c r="I97">
        <f t="array" ref="I97">IFERROR(INDEX('Work Items'!$L$6:$L$5000,SMALL(IF('Work Items'!$A$6:$A$5000="CR",ROW('Work Items'!$A$6:$A$5000)-ROW('Work Items'!$A$6)+1),93)),"")</f>
        <v/>
      </c>
      <c r="J97" s="217">
        <f t="array" ref="J97">IFERROR(INDEX('Work Items'!$M$6:$M$5000,SMALL(IF('Work Items'!$A$6:$A$5000="CR",ROW('Work Items'!$A$6:$A$5000)-ROW('Work Items'!$A$6)+1),93)),"")</f>
        <v/>
      </c>
      <c r="K97" s="217">
        <f t="array" ref="K97">IFERROR(INDEX('Work Items'!$Q$6:$Q$5000,SMALL(IF('Work Items'!$A$6:$A$5000="CR",ROW('Work Items'!$A$6:$A$5000)-ROW('Work Items'!$A$6)+1),93)),"")</f>
        <v/>
      </c>
      <c r="L97">
        <f t="array" ref="L97">IFERROR(INDEX('Work Items'!$N$6:$N$5000,SMALL(IF('Work Items'!$A$6:$A$5000="CR",ROW('Work Items'!$A$6:$A$5000)-ROW('Work Items'!$A$6)+1),93)),"")</f>
        <v/>
      </c>
      <c r="M97">
        <f t="array" ref="M97">IFERROR(INDEX('Work Items'!$O$6:$O$5000,SMALL(IF('Work Items'!$A$6:$A$5000="CR",ROW('Work Items'!$A$6:$A$5000)-ROW('Work Items'!$A$6)+1),93)),"")</f>
        <v/>
      </c>
    </row>
    <row r="98">
      <c r="A98">
        <f t="array" ref="A98">IFERROR(INDEX('Work Items'!$A$6:$A$5000,SMALL(IF('Work Items'!$A$6:$A$5000="CR",ROW('Work Items'!$A$6:$A$5000)-ROW('Work Items'!$A$6)+1),94)),"")</f>
        <v/>
      </c>
      <c r="B98">
        <f t="array" ref="B98">IFERROR(INDEX('Work Items'!$B$6:$B$5000,SMALL(IF('Work Items'!$A$6:$A$5000="CR",ROW('Work Items'!$A$6:$A$5000)-ROW('Work Items'!$A$6)+1),94)),"")</f>
        <v/>
      </c>
      <c r="C98">
        <f t="array" ref="C98">IFERROR(INDEX('Work Items'!$C$6:$C$5000,SMALL(IF('Work Items'!$A$6:$A$5000="CR",ROW('Work Items'!$A$6:$A$5000)-ROW('Work Items'!$A$6)+1),94)),"")</f>
        <v/>
      </c>
      <c r="D98">
        <f t="array" ref="D98">IFERROR(INDEX('Work Items'!$D$6:$D$5000,SMALL(IF('Work Items'!$A$6:$A$5000="CR",ROW('Work Items'!$A$6:$A$5000)-ROW('Work Items'!$A$6)+1),94)),"")</f>
        <v/>
      </c>
      <c r="E98">
        <f t="array" ref="E98">IFERROR(INDEX('Work Items'!$E$6:$E$5000,SMALL(IF('Work Items'!$A$6:$A$5000="CR",ROW('Work Items'!$A$6:$A$5000)-ROW('Work Items'!$A$6)+1),94)),"")</f>
        <v/>
      </c>
      <c r="F98">
        <f t="array" ref="F98">IFERROR(INDEX('Work Items'!$F$6:$F$5000,SMALL(IF('Work Items'!$A$6:$A$5000="CR",ROW('Work Items'!$A$6:$A$5000)-ROW('Work Items'!$A$6)+1),94)),"")</f>
        <v/>
      </c>
      <c r="G98">
        <f t="array" ref="G98">IFERROR(INDEX('Work Items'!$J$6:$J$5000,SMALL(IF('Work Items'!$A$6:$A$5000="CR",ROW('Work Items'!$A$6:$A$5000)-ROW('Work Items'!$A$6)+1),94)),"")</f>
        <v/>
      </c>
      <c r="H98">
        <f t="array" ref="H98">IFERROR(INDEX('Work Items'!$K$6:$K$5000,SMALL(IF('Work Items'!$A$6:$A$5000="CR",ROW('Work Items'!$A$6:$A$5000)-ROW('Work Items'!$A$6)+1),94)),"")</f>
        <v/>
      </c>
      <c r="I98">
        <f t="array" ref="I98">IFERROR(INDEX('Work Items'!$L$6:$L$5000,SMALL(IF('Work Items'!$A$6:$A$5000="CR",ROW('Work Items'!$A$6:$A$5000)-ROW('Work Items'!$A$6)+1),94)),"")</f>
        <v/>
      </c>
      <c r="J98" s="217">
        <f t="array" ref="J98">IFERROR(INDEX('Work Items'!$M$6:$M$5000,SMALL(IF('Work Items'!$A$6:$A$5000="CR",ROW('Work Items'!$A$6:$A$5000)-ROW('Work Items'!$A$6)+1),94)),"")</f>
        <v/>
      </c>
      <c r="K98" s="217">
        <f t="array" ref="K98">IFERROR(INDEX('Work Items'!$Q$6:$Q$5000,SMALL(IF('Work Items'!$A$6:$A$5000="CR",ROW('Work Items'!$A$6:$A$5000)-ROW('Work Items'!$A$6)+1),94)),"")</f>
        <v/>
      </c>
      <c r="L98">
        <f t="array" ref="L98">IFERROR(INDEX('Work Items'!$N$6:$N$5000,SMALL(IF('Work Items'!$A$6:$A$5000="CR",ROW('Work Items'!$A$6:$A$5000)-ROW('Work Items'!$A$6)+1),94)),"")</f>
        <v/>
      </c>
      <c r="M98">
        <f t="array" ref="M98">IFERROR(INDEX('Work Items'!$O$6:$O$5000,SMALL(IF('Work Items'!$A$6:$A$5000="CR",ROW('Work Items'!$A$6:$A$5000)-ROW('Work Items'!$A$6)+1),94)),"")</f>
        <v/>
      </c>
    </row>
    <row r="99">
      <c r="A99">
        <f t="array" ref="A99">IFERROR(INDEX('Work Items'!$A$6:$A$5000,SMALL(IF('Work Items'!$A$6:$A$5000="CR",ROW('Work Items'!$A$6:$A$5000)-ROW('Work Items'!$A$6)+1),95)),"")</f>
        <v/>
      </c>
      <c r="B99">
        <f t="array" ref="B99">IFERROR(INDEX('Work Items'!$B$6:$B$5000,SMALL(IF('Work Items'!$A$6:$A$5000="CR",ROW('Work Items'!$A$6:$A$5000)-ROW('Work Items'!$A$6)+1),95)),"")</f>
        <v/>
      </c>
      <c r="C99">
        <f t="array" ref="C99">IFERROR(INDEX('Work Items'!$C$6:$C$5000,SMALL(IF('Work Items'!$A$6:$A$5000="CR",ROW('Work Items'!$A$6:$A$5000)-ROW('Work Items'!$A$6)+1),95)),"")</f>
        <v/>
      </c>
      <c r="D99">
        <f t="array" ref="D99">IFERROR(INDEX('Work Items'!$D$6:$D$5000,SMALL(IF('Work Items'!$A$6:$A$5000="CR",ROW('Work Items'!$A$6:$A$5000)-ROW('Work Items'!$A$6)+1),95)),"")</f>
        <v/>
      </c>
      <c r="E99">
        <f t="array" ref="E99">IFERROR(INDEX('Work Items'!$E$6:$E$5000,SMALL(IF('Work Items'!$A$6:$A$5000="CR",ROW('Work Items'!$A$6:$A$5000)-ROW('Work Items'!$A$6)+1),95)),"")</f>
        <v/>
      </c>
      <c r="F99">
        <f t="array" ref="F99">IFERROR(INDEX('Work Items'!$F$6:$F$5000,SMALL(IF('Work Items'!$A$6:$A$5000="CR",ROW('Work Items'!$A$6:$A$5000)-ROW('Work Items'!$A$6)+1),95)),"")</f>
        <v/>
      </c>
      <c r="G99">
        <f t="array" ref="G99">IFERROR(INDEX('Work Items'!$J$6:$J$5000,SMALL(IF('Work Items'!$A$6:$A$5000="CR",ROW('Work Items'!$A$6:$A$5000)-ROW('Work Items'!$A$6)+1),95)),"")</f>
        <v/>
      </c>
      <c r="H99">
        <f t="array" ref="H99">IFERROR(INDEX('Work Items'!$K$6:$K$5000,SMALL(IF('Work Items'!$A$6:$A$5000="CR",ROW('Work Items'!$A$6:$A$5000)-ROW('Work Items'!$A$6)+1),95)),"")</f>
        <v/>
      </c>
      <c r="I99">
        <f t="array" ref="I99">IFERROR(INDEX('Work Items'!$L$6:$L$5000,SMALL(IF('Work Items'!$A$6:$A$5000="CR",ROW('Work Items'!$A$6:$A$5000)-ROW('Work Items'!$A$6)+1),95)),"")</f>
        <v/>
      </c>
      <c r="J99" s="217">
        <f t="array" ref="J99">IFERROR(INDEX('Work Items'!$M$6:$M$5000,SMALL(IF('Work Items'!$A$6:$A$5000="CR",ROW('Work Items'!$A$6:$A$5000)-ROW('Work Items'!$A$6)+1),95)),"")</f>
        <v/>
      </c>
      <c r="K99" s="217">
        <f t="array" ref="K99">IFERROR(INDEX('Work Items'!$Q$6:$Q$5000,SMALL(IF('Work Items'!$A$6:$A$5000="CR",ROW('Work Items'!$A$6:$A$5000)-ROW('Work Items'!$A$6)+1),95)),"")</f>
        <v/>
      </c>
      <c r="L99">
        <f t="array" ref="L99">IFERROR(INDEX('Work Items'!$N$6:$N$5000,SMALL(IF('Work Items'!$A$6:$A$5000="CR",ROW('Work Items'!$A$6:$A$5000)-ROW('Work Items'!$A$6)+1),95)),"")</f>
        <v/>
      </c>
      <c r="M99">
        <f t="array" ref="M99">IFERROR(INDEX('Work Items'!$O$6:$O$5000,SMALL(IF('Work Items'!$A$6:$A$5000="CR",ROW('Work Items'!$A$6:$A$5000)-ROW('Work Items'!$A$6)+1),95)),"")</f>
        <v/>
      </c>
    </row>
    <row r="100">
      <c r="A100">
        <f t="array" ref="A100">IFERROR(INDEX('Work Items'!$A$6:$A$5000,SMALL(IF('Work Items'!$A$6:$A$5000="CR",ROW('Work Items'!$A$6:$A$5000)-ROW('Work Items'!$A$6)+1),96)),"")</f>
        <v/>
      </c>
      <c r="B100">
        <f t="array" ref="B100">IFERROR(INDEX('Work Items'!$B$6:$B$5000,SMALL(IF('Work Items'!$A$6:$A$5000="CR",ROW('Work Items'!$A$6:$A$5000)-ROW('Work Items'!$A$6)+1),96)),"")</f>
        <v/>
      </c>
      <c r="C100">
        <f t="array" ref="C100">IFERROR(INDEX('Work Items'!$C$6:$C$5000,SMALL(IF('Work Items'!$A$6:$A$5000="CR",ROW('Work Items'!$A$6:$A$5000)-ROW('Work Items'!$A$6)+1),96)),"")</f>
        <v/>
      </c>
      <c r="D100">
        <f t="array" ref="D100">IFERROR(INDEX('Work Items'!$D$6:$D$5000,SMALL(IF('Work Items'!$A$6:$A$5000="CR",ROW('Work Items'!$A$6:$A$5000)-ROW('Work Items'!$A$6)+1),96)),"")</f>
        <v/>
      </c>
      <c r="E100">
        <f t="array" ref="E100">IFERROR(INDEX('Work Items'!$E$6:$E$5000,SMALL(IF('Work Items'!$A$6:$A$5000="CR",ROW('Work Items'!$A$6:$A$5000)-ROW('Work Items'!$A$6)+1),96)),"")</f>
        <v/>
      </c>
      <c r="F100">
        <f t="array" ref="F100">IFERROR(INDEX('Work Items'!$F$6:$F$5000,SMALL(IF('Work Items'!$A$6:$A$5000="CR",ROW('Work Items'!$A$6:$A$5000)-ROW('Work Items'!$A$6)+1),96)),"")</f>
        <v/>
      </c>
      <c r="G100">
        <f t="array" ref="G100">IFERROR(INDEX('Work Items'!$J$6:$J$5000,SMALL(IF('Work Items'!$A$6:$A$5000="CR",ROW('Work Items'!$A$6:$A$5000)-ROW('Work Items'!$A$6)+1),96)),"")</f>
        <v/>
      </c>
      <c r="H100">
        <f t="array" ref="H100">IFERROR(INDEX('Work Items'!$K$6:$K$5000,SMALL(IF('Work Items'!$A$6:$A$5000="CR",ROW('Work Items'!$A$6:$A$5000)-ROW('Work Items'!$A$6)+1),96)),"")</f>
        <v/>
      </c>
      <c r="I100">
        <f t="array" ref="I100">IFERROR(INDEX('Work Items'!$L$6:$L$5000,SMALL(IF('Work Items'!$A$6:$A$5000="CR",ROW('Work Items'!$A$6:$A$5000)-ROW('Work Items'!$A$6)+1),96)),"")</f>
        <v/>
      </c>
      <c r="J100" s="217">
        <f t="array" ref="J100">IFERROR(INDEX('Work Items'!$M$6:$M$5000,SMALL(IF('Work Items'!$A$6:$A$5000="CR",ROW('Work Items'!$A$6:$A$5000)-ROW('Work Items'!$A$6)+1),96)),"")</f>
        <v/>
      </c>
      <c r="K100" s="217">
        <f t="array" ref="K100">IFERROR(INDEX('Work Items'!$Q$6:$Q$5000,SMALL(IF('Work Items'!$A$6:$A$5000="CR",ROW('Work Items'!$A$6:$A$5000)-ROW('Work Items'!$A$6)+1),96)),"")</f>
        <v/>
      </c>
      <c r="L100">
        <f t="array" ref="L100">IFERROR(INDEX('Work Items'!$N$6:$N$5000,SMALL(IF('Work Items'!$A$6:$A$5000="CR",ROW('Work Items'!$A$6:$A$5000)-ROW('Work Items'!$A$6)+1),96)),"")</f>
        <v/>
      </c>
      <c r="M100">
        <f t="array" ref="M100">IFERROR(INDEX('Work Items'!$O$6:$O$5000,SMALL(IF('Work Items'!$A$6:$A$5000="CR",ROW('Work Items'!$A$6:$A$5000)-ROW('Work Items'!$A$6)+1),96)),"")</f>
        <v/>
      </c>
    </row>
    <row r="101">
      <c r="A101">
        <f t="array" ref="A101">IFERROR(INDEX('Work Items'!$A$6:$A$5000,SMALL(IF('Work Items'!$A$6:$A$5000="CR",ROW('Work Items'!$A$6:$A$5000)-ROW('Work Items'!$A$6)+1),97)),"")</f>
        <v/>
      </c>
      <c r="B101">
        <f t="array" ref="B101">IFERROR(INDEX('Work Items'!$B$6:$B$5000,SMALL(IF('Work Items'!$A$6:$A$5000="CR",ROW('Work Items'!$A$6:$A$5000)-ROW('Work Items'!$A$6)+1),97)),"")</f>
        <v/>
      </c>
      <c r="C101">
        <f t="array" ref="C101">IFERROR(INDEX('Work Items'!$C$6:$C$5000,SMALL(IF('Work Items'!$A$6:$A$5000="CR",ROW('Work Items'!$A$6:$A$5000)-ROW('Work Items'!$A$6)+1),97)),"")</f>
        <v/>
      </c>
      <c r="D101">
        <f t="array" ref="D101">IFERROR(INDEX('Work Items'!$D$6:$D$5000,SMALL(IF('Work Items'!$A$6:$A$5000="CR",ROW('Work Items'!$A$6:$A$5000)-ROW('Work Items'!$A$6)+1),97)),"")</f>
        <v/>
      </c>
      <c r="E101">
        <f t="array" ref="E101">IFERROR(INDEX('Work Items'!$E$6:$E$5000,SMALL(IF('Work Items'!$A$6:$A$5000="CR",ROW('Work Items'!$A$6:$A$5000)-ROW('Work Items'!$A$6)+1),97)),"")</f>
        <v/>
      </c>
      <c r="F101">
        <f t="array" ref="F101">IFERROR(INDEX('Work Items'!$F$6:$F$5000,SMALL(IF('Work Items'!$A$6:$A$5000="CR",ROW('Work Items'!$A$6:$A$5000)-ROW('Work Items'!$A$6)+1),97)),"")</f>
        <v/>
      </c>
      <c r="G101">
        <f t="array" ref="G101">IFERROR(INDEX('Work Items'!$J$6:$J$5000,SMALL(IF('Work Items'!$A$6:$A$5000="CR",ROW('Work Items'!$A$6:$A$5000)-ROW('Work Items'!$A$6)+1),97)),"")</f>
        <v/>
      </c>
      <c r="H101">
        <f t="array" ref="H101">IFERROR(INDEX('Work Items'!$K$6:$K$5000,SMALL(IF('Work Items'!$A$6:$A$5000="CR",ROW('Work Items'!$A$6:$A$5000)-ROW('Work Items'!$A$6)+1),97)),"")</f>
        <v/>
      </c>
      <c r="I101">
        <f t="array" ref="I101">IFERROR(INDEX('Work Items'!$L$6:$L$5000,SMALL(IF('Work Items'!$A$6:$A$5000="CR",ROW('Work Items'!$A$6:$A$5000)-ROW('Work Items'!$A$6)+1),97)),"")</f>
        <v/>
      </c>
      <c r="J101" s="217">
        <f t="array" ref="J101">IFERROR(INDEX('Work Items'!$M$6:$M$5000,SMALL(IF('Work Items'!$A$6:$A$5000="CR",ROW('Work Items'!$A$6:$A$5000)-ROW('Work Items'!$A$6)+1),97)),"")</f>
        <v/>
      </c>
      <c r="K101" s="217">
        <f t="array" ref="K101">IFERROR(INDEX('Work Items'!$Q$6:$Q$5000,SMALL(IF('Work Items'!$A$6:$A$5000="CR",ROW('Work Items'!$A$6:$A$5000)-ROW('Work Items'!$A$6)+1),97)),"")</f>
        <v/>
      </c>
      <c r="L101">
        <f t="array" ref="L101">IFERROR(INDEX('Work Items'!$N$6:$N$5000,SMALL(IF('Work Items'!$A$6:$A$5000="CR",ROW('Work Items'!$A$6:$A$5000)-ROW('Work Items'!$A$6)+1),97)),"")</f>
        <v/>
      </c>
      <c r="M101">
        <f t="array" ref="M101">IFERROR(INDEX('Work Items'!$O$6:$O$5000,SMALL(IF('Work Items'!$A$6:$A$5000="CR",ROW('Work Items'!$A$6:$A$5000)-ROW('Work Items'!$A$6)+1),97)),"")</f>
        <v/>
      </c>
    </row>
    <row r="102">
      <c r="A102">
        <f t="array" ref="A102">IFERROR(INDEX('Work Items'!$A$6:$A$5000,SMALL(IF('Work Items'!$A$6:$A$5000="CR",ROW('Work Items'!$A$6:$A$5000)-ROW('Work Items'!$A$6)+1),98)),"")</f>
        <v/>
      </c>
      <c r="B102">
        <f t="array" ref="B102">IFERROR(INDEX('Work Items'!$B$6:$B$5000,SMALL(IF('Work Items'!$A$6:$A$5000="CR",ROW('Work Items'!$A$6:$A$5000)-ROW('Work Items'!$A$6)+1),98)),"")</f>
        <v/>
      </c>
      <c r="C102">
        <f t="array" ref="C102">IFERROR(INDEX('Work Items'!$C$6:$C$5000,SMALL(IF('Work Items'!$A$6:$A$5000="CR",ROW('Work Items'!$A$6:$A$5000)-ROW('Work Items'!$A$6)+1),98)),"")</f>
        <v/>
      </c>
      <c r="D102">
        <f t="array" ref="D102">IFERROR(INDEX('Work Items'!$D$6:$D$5000,SMALL(IF('Work Items'!$A$6:$A$5000="CR",ROW('Work Items'!$A$6:$A$5000)-ROW('Work Items'!$A$6)+1),98)),"")</f>
        <v/>
      </c>
      <c r="E102">
        <f t="array" ref="E102">IFERROR(INDEX('Work Items'!$E$6:$E$5000,SMALL(IF('Work Items'!$A$6:$A$5000="CR",ROW('Work Items'!$A$6:$A$5000)-ROW('Work Items'!$A$6)+1),98)),"")</f>
        <v/>
      </c>
      <c r="F102">
        <f t="array" ref="F102">IFERROR(INDEX('Work Items'!$F$6:$F$5000,SMALL(IF('Work Items'!$A$6:$A$5000="CR",ROW('Work Items'!$A$6:$A$5000)-ROW('Work Items'!$A$6)+1),98)),"")</f>
        <v/>
      </c>
      <c r="G102">
        <f t="array" ref="G102">IFERROR(INDEX('Work Items'!$J$6:$J$5000,SMALL(IF('Work Items'!$A$6:$A$5000="CR",ROW('Work Items'!$A$6:$A$5000)-ROW('Work Items'!$A$6)+1),98)),"")</f>
        <v/>
      </c>
      <c r="H102">
        <f t="array" ref="H102">IFERROR(INDEX('Work Items'!$K$6:$K$5000,SMALL(IF('Work Items'!$A$6:$A$5000="CR",ROW('Work Items'!$A$6:$A$5000)-ROW('Work Items'!$A$6)+1),98)),"")</f>
        <v/>
      </c>
      <c r="I102">
        <f t="array" ref="I102">IFERROR(INDEX('Work Items'!$L$6:$L$5000,SMALL(IF('Work Items'!$A$6:$A$5000="CR",ROW('Work Items'!$A$6:$A$5000)-ROW('Work Items'!$A$6)+1),98)),"")</f>
        <v/>
      </c>
      <c r="J102" s="217">
        <f t="array" ref="J102">IFERROR(INDEX('Work Items'!$M$6:$M$5000,SMALL(IF('Work Items'!$A$6:$A$5000="CR",ROW('Work Items'!$A$6:$A$5000)-ROW('Work Items'!$A$6)+1),98)),"")</f>
        <v/>
      </c>
      <c r="K102" s="217">
        <f t="array" ref="K102">IFERROR(INDEX('Work Items'!$Q$6:$Q$5000,SMALL(IF('Work Items'!$A$6:$A$5000="CR",ROW('Work Items'!$A$6:$A$5000)-ROW('Work Items'!$A$6)+1),98)),"")</f>
        <v/>
      </c>
      <c r="L102">
        <f t="array" ref="L102">IFERROR(INDEX('Work Items'!$N$6:$N$5000,SMALL(IF('Work Items'!$A$6:$A$5000="CR",ROW('Work Items'!$A$6:$A$5000)-ROW('Work Items'!$A$6)+1),98)),"")</f>
        <v/>
      </c>
      <c r="M102">
        <f t="array" ref="M102">IFERROR(INDEX('Work Items'!$O$6:$O$5000,SMALL(IF('Work Items'!$A$6:$A$5000="CR",ROW('Work Items'!$A$6:$A$5000)-ROW('Work Items'!$A$6)+1),98)),"")</f>
        <v/>
      </c>
    </row>
    <row r="103">
      <c r="A103">
        <f t="array" ref="A103">IFERROR(INDEX('Work Items'!$A$6:$A$5000,SMALL(IF('Work Items'!$A$6:$A$5000="CR",ROW('Work Items'!$A$6:$A$5000)-ROW('Work Items'!$A$6)+1),99)),"")</f>
        <v/>
      </c>
      <c r="B103">
        <f t="array" ref="B103">IFERROR(INDEX('Work Items'!$B$6:$B$5000,SMALL(IF('Work Items'!$A$6:$A$5000="CR",ROW('Work Items'!$A$6:$A$5000)-ROW('Work Items'!$A$6)+1),99)),"")</f>
        <v/>
      </c>
      <c r="C103">
        <f t="array" ref="C103">IFERROR(INDEX('Work Items'!$C$6:$C$5000,SMALL(IF('Work Items'!$A$6:$A$5000="CR",ROW('Work Items'!$A$6:$A$5000)-ROW('Work Items'!$A$6)+1),99)),"")</f>
        <v/>
      </c>
      <c r="D103">
        <f t="array" ref="D103">IFERROR(INDEX('Work Items'!$D$6:$D$5000,SMALL(IF('Work Items'!$A$6:$A$5000="CR",ROW('Work Items'!$A$6:$A$5000)-ROW('Work Items'!$A$6)+1),99)),"")</f>
        <v/>
      </c>
      <c r="E103">
        <f t="array" ref="E103">IFERROR(INDEX('Work Items'!$E$6:$E$5000,SMALL(IF('Work Items'!$A$6:$A$5000="CR",ROW('Work Items'!$A$6:$A$5000)-ROW('Work Items'!$A$6)+1),99)),"")</f>
        <v/>
      </c>
      <c r="F103">
        <f t="array" ref="F103">IFERROR(INDEX('Work Items'!$F$6:$F$5000,SMALL(IF('Work Items'!$A$6:$A$5000="CR",ROW('Work Items'!$A$6:$A$5000)-ROW('Work Items'!$A$6)+1),99)),"")</f>
        <v/>
      </c>
      <c r="G103">
        <f t="array" ref="G103">IFERROR(INDEX('Work Items'!$J$6:$J$5000,SMALL(IF('Work Items'!$A$6:$A$5000="CR",ROW('Work Items'!$A$6:$A$5000)-ROW('Work Items'!$A$6)+1),99)),"")</f>
        <v/>
      </c>
      <c r="H103">
        <f t="array" ref="H103">IFERROR(INDEX('Work Items'!$K$6:$K$5000,SMALL(IF('Work Items'!$A$6:$A$5000="CR",ROW('Work Items'!$A$6:$A$5000)-ROW('Work Items'!$A$6)+1),99)),"")</f>
        <v/>
      </c>
      <c r="I103">
        <f t="array" ref="I103">IFERROR(INDEX('Work Items'!$L$6:$L$5000,SMALL(IF('Work Items'!$A$6:$A$5000="CR",ROW('Work Items'!$A$6:$A$5000)-ROW('Work Items'!$A$6)+1),99)),"")</f>
        <v/>
      </c>
      <c r="J103" s="217">
        <f t="array" ref="J103">IFERROR(INDEX('Work Items'!$M$6:$M$5000,SMALL(IF('Work Items'!$A$6:$A$5000="CR",ROW('Work Items'!$A$6:$A$5000)-ROW('Work Items'!$A$6)+1),99)),"")</f>
        <v/>
      </c>
      <c r="K103" s="217">
        <f t="array" ref="K103">IFERROR(INDEX('Work Items'!$Q$6:$Q$5000,SMALL(IF('Work Items'!$A$6:$A$5000="CR",ROW('Work Items'!$A$6:$A$5000)-ROW('Work Items'!$A$6)+1),99)),"")</f>
        <v/>
      </c>
      <c r="L103">
        <f t="array" ref="L103">IFERROR(INDEX('Work Items'!$N$6:$N$5000,SMALL(IF('Work Items'!$A$6:$A$5000="CR",ROW('Work Items'!$A$6:$A$5000)-ROW('Work Items'!$A$6)+1),99)),"")</f>
        <v/>
      </c>
      <c r="M103">
        <f t="array" ref="M103">IFERROR(INDEX('Work Items'!$O$6:$O$5000,SMALL(IF('Work Items'!$A$6:$A$5000="CR",ROW('Work Items'!$A$6:$A$5000)-ROW('Work Items'!$A$6)+1),99)),"")</f>
        <v/>
      </c>
    </row>
    <row r="104">
      <c r="A104">
        <f t="array" ref="A104">IFERROR(INDEX('Work Items'!$A$6:$A$5000,SMALL(IF('Work Items'!$A$6:$A$5000="CR",ROW('Work Items'!$A$6:$A$5000)-ROW('Work Items'!$A$6)+1),100)),"")</f>
        <v/>
      </c>
      <c r="B104">
        <f t="array" ref="B104">IFERROR(INDEX('Work Items'!$B$6:$B$5000,SMALL(IF('Work Items'!$A$6:$A$5000="CR",ROW('Work Items'!$A$6:$A$5000)-ROW('Work Items'!$A$6)+1),100)),"")</f>
        <v/>
      </c>
      <c r="C104">
        <f t="array" ref="C104">IFERROR(INDEX('Work Items'!$C$6:$C$5000,SMALL(IF('Work Items'!$A$6:$A$5000="CR",ROW('Work Items'!$A$6:$A$5000)-ROW('Work Items'!$A$6)+1),100)),"")</f>
        <v/>
      </c>
      <c r="D104">
        <f t="array" ref="D104">IFERROR(INDEX('Work Items'!$D$6:$D$5000,SMALL(IF('Work Items'!$A$6:$A$5000="CR",ROW('Work Items'!$A$6:$A$5000)-ROW('Work Items'!$A$6)+1),100)),"")</f>
        <v/>
      </c>
      <c r="E104">
        <f t="array" ref="E104">IFERROR(INDEX('Work Items'!$E$6:$E$5000,SMALL(IF('Work Items'!$A$6:$A$5000="CR",ROW('Work Items'!$A$6:$A$5000)-ROW('Work Items'!$A$6)+1),100)),"")</f>
        <v/>
      </c>
      <c r="F104">
        <f t="array" ref="F104">IFERROR(INDEX('Work Items'!$F$6:$F$5000,SMALL(IF('Work Items'!$A$6:$A$5000="CR",ROW('Work Items'!$A$6:$A$5000)-ROW('Work Items'!$A$6)+1),100)),"")</f>
        <v/>
      </c>
      <c r="G104">
        <f t="array" ref="G104">IFERROR(INDEX('Work Items'!$J$6:$J$5000,SMALL(IF('Work Items'!$A$6:$A$5000="CR",ROW('Work Items'!$A$6:$A$5000)-ROW('Work Items'!$A$6)+1),100)),"")</f>
        <v/>
      </c>
      <c r="H104">
        <f t="array" ref="H104">IFERROR(INDEX('Work Items'!$K$6:$K$5000,SMALL(IF('Work Items'!$A$6:$A$5000="CR",ROW('Work Items'!$A$6:$A$5000)-ROW('Work Items'!$A$6)+1),100)),"")</f>
        <v/>
      </c>
      <c r="I104">
        <f t="array" ref="I104">IFERROR(INDEX('Work Items'!$L$6:$L$5000,SMALL(IF('Work Items'!$A$6:$A$5000="CR",ROW('Work Items'!$A$6:$A$5000)-ROW('Work Items'!$A$6)+1),100)),"")</f>
        <v/>
      </c>
      <c r="J104" s="217">
        <f t="array" ref="J104">IFERROR(INDEX('Work Items'!$M$6:$M$5000,SMALL(IF('Work Items'!$A$6:$A$5000="CR",ROW('Work Items'!$A$6:$A$5000)-ROW('Work Items'!$A$6)+1),100)),"")</f>
        <v/>
      </c>
      <c r="K104" s="217">
        <f t="array" ref="K104">IFERROR(INDEX('Work Items'!$Q$6:$Q$5000,SMALL(IF('Work Items'!$A$6:$A$5000="CR",ROW('Work Items'!$A$6:$A$5000)-ROW('Work Items'!$A$6)+1),100)),"")</f>
        <v/>
      </c>
      <c r="L104">
        <f t="array" ref="L104">IFERROR(INDEX('Work Items'!$N$6:$N$5000,SMALL(IF('Work Items'!$A$6:$A$5000="CR",ROW('Work Items'!$A$6:$A$5000)-ROW('Work Items'!$A$6)+1),100)),"")</f>
        <v/>
      </c>
      <c r="M104">
        <f t="array" ref="M104">IFERROR(INDEX('Work Items'!$O$6:$O$5000,SMALL(IF('Work Items'!$A$6:$A$5000="CR",ROW('Work Items'!$A$6:$A$5000)-ROW('Work Items'!$A$6)+1),100)),"")</f>
        <v/>
      </c>
    </row>
    <row r="105">
      <c r="A105">
        <f t="array" ref="A105">IFERROR(INDEX('Work Items'!$A$6:$A$5000,SMALL(IF('Work Items'!$A$6:$A$5000="CR",ROW('Work Items'!$A$6:$A$5000)-ROW('Work Items'!$A$6)+1),101)),"")</f>
        <v/>
      </c>
      <c r="B105">
        <f t="array" ref="B105">IFERROR(INDEX('Work Items'!$B$6:$B$5000,SMALL(IF('Work Items'!$A$6:$A$5000="CR",ROW('Work Items'!$A$6:$A$5000)-ROW('Work Items'!$A$6)+1),101)),"")</f>
        <v/>
      </c>
      <c r="C105">
        <f t="array" ref="C105">IFERROR(INDEX('Work Items'!$C$6:$C$5000,SMALL(IF('Work Items'!$A$6:$A$5000="CR",ROW('Work Items'!$A$6:$A$5000)-ROW('Work Items'!$A$6)+1),101)),"")</f>
        <v/>
      </c>
      <c r="D105">
        <f t="array" ref="D105">IFERROR(INDEX('Work Items'!$D$6:$D$5000,SMALL(IF('Work Items'!$A$6:$A$5000="CR",ROW('Work Items'!$A$6:$A$5000)-ROW('Work Items'!$A$6)+1),101)),"")</f>
        <v/>
      </c>
      <c r="E105">
        <f t="array" ref="E105">IFERROR(INDEX('Work Items'!$E$6:$E$5000,SMALL(IF('Work Items'!$A$6:$A$5000="CR",ROW('Work Items'!$A$6:$A$5000)-ROW('Work Items'!$A$6)+1),101)),"")</f>
        <v/>
      </c>
      <c r="F105">
        <f t="array" ref="F105">IFERROR(INDEX('Work Items'!$F$6:$F$5000,SMALL(IF('Work Items'!$A$6:$A$5000="CR",ROW('Work Items'!$A$6:$A$5000)-ROW('Work Items'!$A$6)+1),101)),"")</f>
        <v/>
      </c>
      <c r="G105">
        <f t="array" ref="G105">IFERROR(INDEX('Work Items'!$J$6:$J$5000,SMALL(IF('Work Items'!$A$6:$A$5000="CR",ROW('Work Items'!$A$6:$A$5000)-ROW('Work Items'!$A$6)+1),101)),"")</f>
        <v/>
      </c>
      <c r="H105">
        <f t="array" ref="H105">IFERROR(INDEX('Work Items'!$K$6:$K$5000,SMALL(IF('Work Items'!$A$6:$A$5000="CR",ROW('Work Items'!$A$6:$A$5000)-ROW('Work Items'!$A$6)+1),101)),"")</f>
        <v/>
      </c>
      <c r="I105">
        <f t="array" ref="I105">IFERROR(INDEX('Work Items'!$L$6:$L$5000,SMALL(IF('Work Items'!$A$6:$A$5000="CR",ROW('Work Items'!$A$6:$A$5000)-ROW('Work Items'!$A$6)+1),101)),"")</f>
        <v/>
      </c>
      <c r="J105" s="217">
        <f t="array" ref="J105">IFERROR(INDEX('Work Items'!$M$6:$M$5000,SMALL(IF('Work Items'!$A$6:$A$5000="CR",ROW('Work Items'!$A$6:$A$5000)-ROW('Work Items'!$A$6)+1),101)),"")</f>
        <v/>
      </c>
      <c r="K105" s="217">
        <f t="array" ref="K105">IFERROR(INDEX('Work Items'!$Q$6:$Q$5000,SMALL(IF('Work Items'!$A$6:$A$5000="CR",ROW('Work Items'!$A$6:$A$5000)-ROW('Work Items'!$A$6)+1),101)),"")</f>
        <v/>
      </c>
      <c r="L105">
        <f t="array" ref="L105">IFERROR(INDEX('Work Items'!$N$6:$N$5000,SMALL(IF('Work Items'!$A$6:$A$5000="CR",ROW('Work Items'!$A$6:$A$5000)-ROW('Work Items'!$A$6)+1),101)),"")</f>
        <v/>
      </c>
      <c r="M105">
        <f t="array" ref="M105">IFERROR(INDEX('Work Items'!$O$6:$O$5000,SMALL(IF('Work Items'!$A$6:$A$5000="CR",ROW('Work Items'!$A$6:$A$5000)-ROW('Work Items'!$A$6)+1),101)),"")</f>
        <v/>
      </c>
    </row>
    <row r="106">
      <c r="A106">
        <f t="array" ref="A106">IFERROR(INDEX('Work Items'!$A$6:$A$5000,SMALL(IF('Work Items'!$A$6:$A$5000="CR",ROW('Work Items'!$A$6:$A$5000)-ROW('Work Items'!$A$6)+1),102)),"")</f>
        <v/>
      </c>
      <c r="B106">
        <f t="array" ref="B106">IFERROR(INDEX('Work Items'!$B$6:$B$5000,SMALL(IF('Work Items'!$A$6:$A$5000="CR",ROW('Work Items'!$A$6:$A$5000)-ROW('Work Items'!$A$6)+1),102)),"")</f>
        <v/>
      </c>
      <c r="C106">
        <f t="array" ref="C106">IFERROR(INDEX('Work Items'!$C$6:$C$5000,SMALL(IF('Work Items'!$A$6:$A$5000="CR",ROW('Work Items'!$A$6:$A$5000)-ROW('Work Items'!$A$6)+1),102)),"")</f>
        <v/>
      </c>
      <c r="D106">
        <f t="array" ref="D106">IFERROR(INDEX('Work Items'!$D$6:$D$5000,SMALL(IF('Work Items'!$A$6:$A$5000="CR",ROW('Work Items'!$A$6:$A$5000)-ROW('Work Items'!$A$6)+1),102)),"")</f>
        <v/>
      </c>
      <c r="E106">
        <f t="array" ref="E106">IFERROR(INDEX('Work Items'!$E$6:$E$5000,SMALL(IF('Work Items'!$A$6:$A$5000="CR",ROW('Work Items'!$A$6:$A$5000)-ROW('Work Items'!$A$6)+1),102)),"")</f>
        <v/>
      </c>
      <c r="F106">
        <f t="array" ref="F106">IFERROR(INDEX('Work Items'!$F$6:$F$5000,SMALL(IF('Work Items'!$A$6:$A$5000="CR",ROW('Work Items'!$A$6:$A$5000)-ROW('Work Items'!$A$6)+1),102)),"")</f>
        <v/>
      </c>
      <c r="G106">
        <f t="array" ref="G106">IFERROR(INDEX('Work Items'!$J$6:$J$5000,SMALL(IF('Work Items'!$A$6:$A$5000="CR",ROW('Work Items'!$A$6:$A$5000)-ROW('Work Items'!$A$6)+1),102)),"")</f>
        <v/>
      </c>
      <c r="H106">
        <f t="array" ref="H106">IFERROR(INDEX('Work Items'!$K$6:$K$5000,SMALL(IF('Work Items'!$A$6:$A$5000="CR",ROW('Work Items'!$A$6:$A$5000)-ROW('Work Items'!$A$6)+1),102)),"")</f>
        <v/>
      </c>
      <c r="I106">
        <f t="array" ref="I106">IFERROR(INDEX('Work Items'!$L$6:$L$5000,SMALL(IF('Work Items'!$A$6:$A$5000="CR",ROW('Work Items'!$A$6:$A$5000)-ROW('Work Items'!$A$6)+1),102)),"")</f>
        <v/>
      </c>
      <c r="J106" s="217">
        <f t="array" ref="J106">IFERROR(INDEX('Work Items'!$M$6:$M$5000,SMALL(IF('Work Items'!$A$6:$A$5000="CR",ROW('Work Items'!$A$6:$A$5000)-ROW('Work Items'!$A$6)+1),102)),"")</f>
        <v/>
      </c>
      <c r="K106" s="217">
        <f t="array" ref="K106">IFERROR(INDEX('Work Items'!$Q$6:$Q$5000,SMALL(IF('Work Items'!$A$6:$A$5000="CR",ROW('Work Items'!$A$6:$A$5000)-ROW('Work Items'!$A$6)+1),102)),"")</f>
        <v/>
      </c>
      <c r="L106">
        <f t="array" ref="L106">IFERROR(INDEX('Work Items'!$N$6:$N$5000,SMALL(IF('Work Items'!$A$6:$A$5000="CR",ROW('Work Items'!$A$6:$A$5000)-ROW('Work Items'!$A$6)+1),102)),"")</f>
        <v/>
      </c>
      <c r="M106">
        <f t="array" ref="M106">IFERROR(INDEX('Work Items'!$O$6:$O$5000,SMALL(IF('Work Items'!$A$6:$A$5000="CR",ROW('Work Items'!$A$6:$A$5000)-ROW('Work Items'!$A$6)+1),102)),"")</f>
        <v/>
      </c>
    </row>
    <row r="107">
      <c r="A107">
        <f t="array" ref="A107">IFERROR(INDEX('Work Items'!$A$6:$A$5000,SMALL(IF('Work Items'!$A$6:$A$5000="CR",ROW('Work Items'!$A$6:$A$5000)-ROW('Work Items'!$A$6)+1),103)),"")</f>
        <v/>
      </c>
      <c r="B107">
        <f t="array" ref="B107">IFERROR(INDEX('Work Items'!$B$6:$B$5000,SMALL(IF('Work Items'!$A$6:$A$5000="CR",ROW('Work Items'!$A$6:$A$5000)-ROW('Work Items'!$A$6)+1),103)),"")</f>
        <v/>
      </c>
      <c r="C107">
        <f t="array" ref="C107">IFERROR(INDEX('Work Items'!$C$6:$C$5000,SMALL(IF('Work Items'!$A$6:$A$5000="CR",ROW('Work Items'!$A$6:$A$5000)-ROW('Work Items'!$A$6)+1),103)),"")</f>
        <v/>
      </c>
      <c r="D107">
        <f t="array" ref="D107">IFERROR(INDEX('Work Items'!$D$6:$D$5000,SMALL(IF('Work Items'!$A$6:$A$5000="CR",ROW('Work Items'!$A$6:$A$5000)-ROW('Work Items'!$A$6)+1),103)),"")</f>
        <v/>
      </c>
      <c r="E107">
        <f t="array" ref="E107">IFERROR(INDEX('Work Items'!$E$6:$E$5000,SMALL(IF('Work Items'!$A$6:$A$5000="CR",ROW('Work Items'!$A$6:$A$5000)-ROW('Work Items'!$A$6)+1),103)),"")</f>
        <v/>
      </c>
      <c r="F107">
        <f t="array" ref="F107">IFERROR(INDEX('Work Items'!$F$6:$F$5000,SMALL(IF('Work Items'!$A$6:$A$5000="CR",ROW('Work Items'!$A$6:$A$5000)-ROW('Work Items'!$A$6)+1),103)),"")</f>
        <v/>
      </c>
      <c r="G107">
        <f t="array" ref="G107">IFERROR(INDEX('Work Items'!$J$6:$J$5000,SMALL(IF('Work Items'!$A$6:$A$5000="CR",ROW('Work Items'!$A$6:$A$5000)-ROW('Work Items'!$A$6)+1),103)),"")</f>
        <v/>
      </c>
      <c r="H107">
        <f t="array" ref="H107">IFERROR(INDEX('Work Items'!$K$6:$K$5000,SMALL(IF('Work Items'!$A$6:$A$5000="CR",ROW('Work Items'!$A$6:$A$5000)-ROW('Work Items'!$A$6)+1),103)),"")</f>
        <v/>
      </c>
      <c r="I107">
        <f t="array" ref="I107">IFERROR(INDEX('Work Items'!$L$6:$L$5000,SMALL(IF('Work Items'!$A$6:$A$5000="CR",ROW('Work Items'!$A$6:$A$5000)-ROW('Work Items'!$A$6)+1),103)),"")</f>
        <v/>
      </c>
      <c r="J107" s="217">
        <f t="array" ref="J107">IFERROR(INDEX('Work Items'!$M$6:$M$5000,SMALL(IF('Work Items'!$A$6:$A$5000="CR",ROW('Work Items'!$A$6:$A$5000)-ROW('Work Items'!$A$6)+1),103)),"")</f>
        <v/>
      </c>
      <c r="K107" s="217">
        <f t="array" ref="K107">IFERROR(INDEX('Work Items'!$Q$6:$Q$5000,SMALL(IF('Work Items'!$A$6:$A$5000="CR",ROW('Work Items'!$A$6:$A$5000)-ROW('Work Items'!$A$6)+1),103)),"")</f>
        <v/>
      </c>
      <c r="L107">
        <f t="array" ref="L107">IFERROR(INDEX('Work Items'!$N$6:$N$5000,SMALL(IF('Work Items'!$A$6:$A$5000="CR",ROW('Work Items'!$A$6:$A$5000)-ROW('Work Items'!$A$6)+1),103)),"")</f>
        <v/>
      </c>
      <c r="M107">
        <f t="array" ref="M107">IFERROR(INDEX('Work Items'!$O$6:$O$5000,SMALL(IF('Work Items'!$A$6:$A$5000="CR",ROW('Work Items'!$A$6:$A$5000)-ROW('Work Items'!$A$6)+1),103)),"")</f>
        <v/>
      </c>
    </row>
    <row r="108">
      <c r="A108">
        <f t="array" ref="A108">IFERROR(INDEX('Work Items'!$A$6:$A$5000,SMALL(IF('Work Items'!$A$6:$A$5000="CR",ROW('Work Items'!$A$6:$A$5000)-ROW('Work Items'!$A$6)+1),104)),"")</f>
        <v/>
      </c>
      <c r="B108">
        <f t="array" ref="B108">IFERROR(INDEX('Work Items'!$B$6:$B$5000,SMALL(IF('Work Items'!$A$6:$A$5000="CR",ROW('Work Items'!$A$6:$A$5000)-ROW('Work Items'!$A$6)+1),104)),"")</f>
        <v/>
      </c>
      <c r="C108">
        <f t="array" ref="C108">IFERROR(INDEX('Work Items'!$C$6:$C$5000,SMALL(IF('Work Items'!$A$6:$A$5000="CR",ROW('Work Items'!$A$6:$A$5000)-ROW('Work Items'!$A$6)+1),104)),"")</f>
        <v/>
      </c>
      <c r="D108">
        <f t="array" ref="D108">IFERROR(INDEX('Work Items'!$D$6:$D$5000,SMALL(IF('Work Items'!$A$6:$A$5000="CR",ROW('Work Items'!$A$6:$A$5000)-ROW('Work Items'!$A$6)+1),104)),"")</f>
        <v/>
      </c>
      <c r="E108">
        <f t="array" ref="E108">IFERROR(INDEX('Work Items'!$E$6:$E$5000,SMALL(IF('Work Items'!$A$6:$A$5000="CR",ROW('Work Items'!$A$6:$A$5000)-ROW('Work Items'!$A$6)+1),104)),"")</f>
        <v/>
      </c>
      <c r="F108">
        <f t="array" ref="F108">IFERROR(INDEX('Work Items'!$F$6:$F$5000,SMALL(IF('Work Items'!$A$6:$A$5000="CR",ROW('Work Items'!$A$6:$A$5000)-ROW('Work Items'!$A$6)+1),104)),"")</f>
        <v/>
      </c>
      <c r="G108">
        <f t="array" ref="G108">IFERROR(INDEX('Work Items'!$J$6:$J$5000,SMALL(IF('Work Items'!$A$6:$A$5000="CR",ROW('Work Items'!$A$6:$A$5000)-ROW('Work Items'!$A$6)+1),104)),"")</f>
        <v/>
      </c>
      <c r="H108">
        <f t="array" ref="H108">IFERROR(INDEX('Work Items'!$K$6:$K$5000,SMALL(IF('Work Items'!$A$6:$A$5000="CR",ROW('Work Items'!$A$6:$A$5000)-ROW('Work Items'!$A$6)+1),104)),"")</f>
        <v/>
      </c>
      <c r="I108">
        <f t="array" ref="I108">IFERROR(INDEX('Work Items'!$L$6:$L$5000,SMALL(IF('Work Items'!$A$6:$A$5000="CR",ROW('Work Items'!$A$6:$A$5000)-ROW('Work Items'!$A$6)+1),104)),"")</f>
        <v/>
      </c>
      <c r="J108" s="217">
        <f t="array" ref="J108">IFERROR(INDEX('Work Items'!$M$6:$M$5000,SMALL(IF('Work Items'!$A$6:$A$5000="CR",ROW('Work Items'!$A$6:$A$5000)-ROW('Work Items'!$A$6)+1),104)),"")</f>
        <v/>
      </c>
      <c r="K108" s="217">
        <f t="array" ref="K108">IFERROR(INDEX('Work Items'!$Q$6:$Q$5000,SMALL(IF('Work Items'!$A$6:$A$5000="CR",ROW('Work Items'!$A$6:$A$5000)-ROW('Work Items'!$A$6)+1),104)),"")</f>
        <v/>
      </c>
      <c r="L108">
        <f t="array" ref="L108">IFERROR(INDEX('Work Items'!$N$6:$N$5000,SMALL(IF('Work Items'!$A$6:$A$5000="CR",ROW('Work Items'!$A$6:$A$5000)-ROW('Work Items'!$A$6)+1),104)),"")</f>
        <v/>
      </c>
      <c r="M108">
        <f t="array" ref="M108">IFERROR(INDEX('Work Items'!$O$6:$O$5000,SMALL(IF('Work Items'!$A$6:$A$5000="CR",ROW('Work Items'!$A$6:$A$5000)-ROW('Work Items'!$A$6)+1),104)),"")</f>
        <v/>
      </c>
    </row>
    <row r="109">
      <c r="A109">
        <f t="array" ref="A109">IFERROR(INDEX('Work Items'!$A$6:$A$5000,SMALL(IF('Work Items'!$A$6:$A$5000="CR",ROW('Work Items'!$A$6:$A$5000)-ROW('Work Items'!$A$6)+1),105)),"")</f>
        <v/>
      </c>
      <c r="B109">
        <f t="array" ref="B109">IFERROR(INDEX('Work Items'!$B$6:$B$5000,SMALL(IF('Work Items'!$A$6:$A$5000="CR",ROW('Work Items'!$A$6:$A$5000)-ROW('Work Items'!$A$6)+1),105)),"")</f>
        <v/>
      </c>
      <c r="C109">
        <f t="array" ref="C109">IFERROR(INDEX('Work Items'!$C$6:$C$5000,SMALL(IF('Work Items'!$A$6:$A$5000="CR",ROW('Work Items'!$A$6:$A$5000)-ROW('Work Items'!$A$6)+1),105)),"")</f>
        <v/>
      </c>
      <c r="D109">
        <f t="array" ref="D109">IFERROR(INDEX('Work Items'!$D$6:$D$5000,SMALL(IF('Work Items'!$A$6:$A$5000="CR",ROW('Work Items'!$A$6:$A$5000)-ROW('Work Items'!$A$6)+1),105)),"")</f>
        <v/>
      </c>
      <c r="E109">
        <f t="array" ref="E109">IFERROR(INDEX('Work Items'!$E$6:$E$5000,SMALL(IF('Work Items'!$A$6:$A$5000="CR",ROW('Work Items'!$A$6:$A$5000)-ROW('Work Items'!$A$6)+1),105)),"")</f>
        <v/>
      </c>
      <c r="F109">
        <f t="array" ref="F109">IFERROR(INDEX('Work Items'!$F$6:$F$5000,SMALL(IF('Work Items'!$A$6:$A$5000="CR",ROW('Work Items'!$A$6:$A$5000)-ROW('Work Items'!$A$6)+1),105)),"")</f>
        <v/>
      </c>
      <c r="G109">
        <f t="array" ref="G109">IFERROR(INDEX('Work Items'!$J$6:$J$5000,SMALL(IF('Work Items'!$A$6:$A$5000="CR",ROW('Work Items'!$A$6:$A$5000)-ROW('Work Items'!$A$6)+1),105)),"")</f>
        <v/>
      </c>
      <c r="H109">
        <f t="array" ref="H109">IFERROR(INDEX('Work Items'!$K$6:$K$5000,SMALL(IF('Work Items'!$A$6:$A$5000="CR",ROW('Work Items'!$A$6:$A$5000)-ROW('Work Items'!$A$6)+1),105)),"")</f>
        <v/>
      </c>
      <c r="I109">
        <f t="array" ref="I109">IFERROR(INDEX('Work Items'!$L$6:$L$5000,SMALL(IF('Work Items'!$A$6:$A$5000="CR",ROW('Work Items'!$A$6:$A$5000)-ROW('Work Items'!$A$6)+1),105)),"")</f>
        <v/>
      </c>
      <c r="J109" s="217">
        <f t="array" ref="J109">IFERROR(INDEX('Work Items'!$M$6:$M$5000,SMALL(IF('Work Items'!$A$6:$A$5000="CR",ROW('Work Items'!$A$6:$A$5000)-ROW('Work Items'!$A$6)+1),105)),"")</f>
        <v/>
      </c>
      <c r="K109" s="217">
        <f t="array" ref="K109">IFERROR(INDEX('Work Items'!$Q$6:$Q$5000,SMALL(IF('Work Items'!$A$6:$A$5000="CR",ROW('Work Items'!$A$6:$A$5000)-ROW('Work Items'!$A$6)+1),105)),"")</f>
        <v/>
      </c>
      <c r="L109">
        <f t="array" ref="L109">IFERROR(INDEX('Work Items'!$N$6:$N$5000,SMALL(IF('Work Items'!$A$6:$A$5000="CR",ROW('Work Items'!$A$6:$A$5000)-ROW('Work Items'!$A$6)+1),105)),"")</f>
        <v/>
      </c>
      <c r="M109">
        <f t="array" ref="M109">IFERROR(INDEX('Work Items'!$O$6:$O$5000,SMALL(IF('Work Items'!$A$6:$A$5000="CR",ROW('Work Items'!$A$6:$A$5000)-ROW('Work Items'!$A$6)+1),105)),"")</f>
        <v/>
      </c>
    </row>
    <row r="110">
      <c r="A110">
        <f t="array" ref="A110">IFERROR(INDEX('Work Items'!$A$6:$A$5000,SMALL(IF('Work Items'!$A$6:$A$5000="CR",ROW('Work Items'!$A$6:$A$5000)-ROW('Work Items'!$A$6)+1),106)),"")</f>
        <v/>
      </c>
      <c r="B110">
        <f t="array" ref="B110">IFERROR(INDEX('Work Items'!$B$6:$B$5000,SMALL(IF('Work Items'!$A$6:$A$5000="CR",ROW('Work Items'!$A$6:$A$5000)-ROW('Work Items'!$A$6)+1),106)),"")</f>
        <v/>
      </c>
      <c r="C110">
        <f t="array" ref="C110">IFERROR(INDEX('Work Items'!$C$6:$C$5000,SMALL(IF('Work Items'!$A$6:$A$5000="CR",ROW('Work Items'!$A$6:$A$5000)-ROW('Work Items'!$A$6)+1),106)),"")</f>
        <v/>
      </c>
      <c r="D110">
        <f t="array" ref="D110">IFERROR(INDEX('Work Items'!$D$6:$D$5000,SMALL(IF('Work Items'!$A$6:$A$5000="CR",ROW('Work Items'!$A$6:$A$5000)-ROW('Work Items'!$A$6)+1),106)),"")</f>
        <v/>
      </c>
      <c r="E110">
        <f t="array" ref="E110">IFERROR(INDEX('Work Items'!$E$6:$E$5000,SMALL(IF('Work Items'!$A$6:$A$5000="CR",ROW('Work Items'!$A$6:$A$5000)-ROW('Work Items'!$A$6)+1),106)),"")</f>
        <v/>
      </c>
      <c r="F110">
        <f t="array" ref="F110">IFERROR(INDEX('Work Items'!$F$6:$F$5000,SMALL(IF('Work Items'!$A$6:$A$5000="CR",ROW('Work Items'!$A$6:$A$5000)-ROW('Work Items'!$A$6)+1),106)),"")</f>
        <v/>
      </c>
      <c r="G110">
        <f t="array" ref="G110">IFERROR(INDEX('Work Items'!$J$6:$J$5000,SMALL(IF('Work Items'!$A$6:$A$5000="CR",ROW('Work Items'!$A$6:$A$5000)-ROW('Work Items'!$A$6)+1),106)),"")</f>
        <v/>
      </c>
      <c r="H110">
        <f t="array" ref="H110">IFERROR(INDEX('Work Items'!$K$6:$K$5000,SMALL(IF('Work Items'!$A$6:$A$5000="CR",ROW('Work Items'!$A$6:$A$5000)-ROW('Work Items'!$A$6)+1),106)),"")</f>
        <v/>
      </c>
      <c r="I110">
        <f t="array" ref="I110">IFERROR(INDEX('Work Items'!$L$6:$L$5000,SMALL(IF('Work Items'!$A$6:$A$5000="CR",ROW('Work Items'!$A$6:$A$5000)-ROW('Work Items'!$A$6)+1),106)),"")</f>
        <v/>
      </c>
      <c r="J110" s="217">
        <f t="array" ref="J110">IFERROR(INDEX('Work Items'!$M$6:$M$5000,SMALL(IF('Work Items'!$A$6:$A$5000="CR",ROW('Work Items'!$A$6:$A$5000)-ROW('Work Items'!$A$6)+1),106)),"")</f>
        <v/>
      </c>
      <c r="K110" s="217">
        <f t="array" ref="K110">IFERROR(INDEX('Work Items'!$Q$6:$Q$5000,SMALL(IF('Work Items'!$A$6:$A$5000="CR",ROW('Work Items'!$A$6:$A$5000)-ROW('Work Items'!$A$6)+1),106)),"")</f>
        <v/>
      </c>
      <c r="L110">
        <f t="array" ref="L110">IFERROR(INDEX('Work Items'!$N$6:$N$5000,SMALL(IF('Work Items'!$A$6:$A$5000="CR",ROW('Work Items'!$A$6:$A$5000)-ROW('Work Items'!$A$6)+1),106)),"")</f>
        <v/>
      </c>
      <c r="M110">
        <f t="array" ref="M110">IFERROR(INDEX('Work Items'!$O$6:$O$5000,SMALL(IF('Work Items'!$A$6:$A$5000="CR",ROW('Work Items'!$A$6:$A$5000)-ROW('Work Items'!$A$6)+1),106)),"")</f>
        <v/>
      </c>
    </row>
    <row r="111">
      <c r="A111">
        <f t="array" ref="A111">IFERROR(INDEX('Work Items'!$A$6:$A$5000,SMALL(IF('Work Items'!$A$6:$A$5000="CR",ROW('Work Items'!$A$6:$A$5000)-ROW('Work Items'!$A$6)+1),107)),"")</f>
        <v/>
      </c>
      <c r="B111">
        <f t="array" ref="B111">IFERROR(INDEX('Work Items'!$B$6:$B$5000,SMALL(IF('Work Items'!$A$6:$A$5000="CR",ROW('Work Items'!$A$6:$A$5000)-ROW('Work Items'!$A$6)+1),107)),"")</f>
        <v/>
      </c>
      <c r="C111">
        <f t="array" ref="C111">IFERROR(INDEX('Work Items'!$C$6:$C$5000,SMALL(IF('Work Items'!$A$6:$A$5000="CR",ROW('Work Items'!$A$6:$A$5000)-ROW('Work Items'!$A$6)+1),107)),"")</f>
        <v/>
      </c>
      <c r="D111">
        <f t="array" ref="D111">IFERROR(INDEX('Work Items'!$D$6:$D$5000,SMALL(IF('Work Items'!$A$6:$A$5000="CR",ROW('Work Items'!$A$6:$A$5000)-ROW('Work Items'!$A$6)+1),107)),"")</f>
        <v/>
      </c>
      <c r="E111">
        <f t="array" ref="E111">IFERROR(INDEX('Work Items'!$E$6:$E$5000,SMALL(IF('Work Items'!$A$6:$A$5000="CR",ROW('Work Items'!$A$6:$A$5000)-ROW('Work Items'!$A$6)+1),107)),"")</f>
        <v/>
      </c>
      <c r="F111">
        <f t="array" ref="F111">IFERROR(INDEX('Work Items'!$F$6:$F$5000,SMALL(IF('Work Items'!$A$6:$A$5000="CR",ROW('Work Items'!$A$6:$A$5000)-ROW('Work Items'!$A$6)+1),107)),"")</f>
        <v/>
      </c>
      <c r="G111">
        <f t="array" ref="G111">IFERROR(INDEX('Work Items'!$J$6:$J$5000,SMALL(IF('Work Items'!$A$6:$A$5000="CR",ROW('Work Items'!$A$6:$A$5000)-ROW('Work Items'!$A$6)+1),107)),"")</f>
        <v/>
      </c>
      <c r="H111">
        <f t="array" ref="H111">IFERROR(INDEX('Work Items'!$K$6:$K$5000,SMALL(IF('Work Items'!$A$6:$A$5000="CR",ROW('Work Items'!$A$6:$A$5000)-ROW('Work Items'!$A$6)+1),107)),"")</f>
        <v/>
      </c>
      <c r="I111">
        <f t="array" ref="I111">IFERROR(INDEX('Work Items'!$L$6:$L$5000,SMALL(IF('Work Items'!$A$6:$A$5000="CR",ROW('Work Items'!$A$6:$A$5000)-ROW('Work Items'!$A$6)+1),107)),"")</f>
        <v/>
      </c>
      <c r="J111" s="217">
        <f t="array" ref="J111">IFERROR(INDEX('Work Items'!$M$6:$M$5000,SMALL(IF('Work Items'!$A$6:$A$5000="CR",ROW('Work Items'!$A$6:$A$5000)-ROW('Work Items'!$A$6)+1),107)),"")</f>
        <v/>
      </c>
      <c r="K111" s="217">
        <f t="array" ref="K111">IFERROR(INDEX('Work Items'!$Q$6:$Q$5000,SMALL(IF('Work Items'!$A$6:$A$5000="CR",ROW('Work Items'!$A$6:$A$5000)-ROW('Work Items'!$A$6)+1),107)),"")</f>
        <v/>
      </c>
      <c r="L111">
        <f t="array" ref="L111">IFERROR(INDEX('Work Items'!$N$6:$N$5000,SMALL(IF('Work Items'!$A$6:$A$5000="CR",ROW('Work Items'!$A$6:$A$5000)-ROW('Work Items'!$A$6)+1),107)),"")</f>
        <v/>
      </c>
      <c r="M111">
        <f t="array" ref="M111">IFERROR(INDEX('Work Items'!$O$6:$O$5000,SMALL(IF('Work Items'!$A$6:$A$5000="CR",ROW('Work Items'!$A$6:$A$5000)-ROW('Work Items'!$A$6)+1),107)),"")</f>
        <v/>
      </c>
    </row>
    <row r="112">
      <c r="A112">
        <f t="array" ref="A112">IFERROR(INDEX('Work Items'!$A$6:$A$5000,SMALL(IF('Work Items'!$A$6:$A$5000="CR",ROW('Work Items'!$A$6:$A$5000)-ROW('Work Items'!$A$6)+1),108)),"")</f>
        <v/>
      </c>
      <c r="B112">
        <f t="array" ref="B112">IFERROR(INDEX('Work Items'!$B$6:$B$5000,SMALL(IF('Work Items'!$A$6:$A$5000="CR",ROW('Work Items'!$A$6:$A$5000)-ROW('Work Items'!$A$6)+1),108)),"")</f>
        <v/>
      </c>
      <c r="C112">
        <f t="array" ref="C112">IFERROR(INDEX('Work Items'!$C$6:$C$5000,SMALL(IF('Work Items'!$A$6:$A$5000="CR",ROW('Work Items'!$A$6:$A$5000)-ROW('Work Items'!$A$6)+1),108)),"")</f>
        <v/>
      </c>
      <c r="D112">
        <f t="array" ref="D112">IFERROR(INDEX('Work Items'!$D$6:$D$5000,SMALL(IF('Work Items'!$A$6:$A$5000="CR",ROW('Work Items'!$A$6:$A$5000)-ROW('Work Items'!$A$6)+1),108)),"")</f>
        <v/>
      </c>
      <c r="E112">
        <f t="array" ref="E112">IFERROR(INDEX('Work Items'!$E$6:$E$5000,SMALL(IF('Work Items'!$A$6:$A$5000="CR",ROW('Work Items'!$A$6:$A$5000)-ROW('Work Items'!$A$6)+1),108)),"")</f>
        <v/>
      </c>
      <c r="F112">
        <f t="array" ref="F112">IFERROR(INDEX('Work Items'!$F$6:$F$5000,SMALL(IF('Work Items'!$A$6:$A$5000="CR",ROW('Work Items'!$A$6:$A$5000)-ROW('Work Items'!$A$6)+1),108)),"")</f>
        <v/>
      </c>
      <c r="G112">
        <f t="array" ref="G112">IFERROR(INDEX('Work Items'!$J$6:$J$5000,SMALL(IF('Work Items'!$A$6:$A$5000="CR",ROW('Work Items'!$A$6:$A$5000)-ROW('Work Items'!$A$6)+1),108)),"")</f>
        <v/>
      </c>
      <c r="H112">
        <f t="array" ref="H112">IFERROR(INDEX('Work Items'!$K$6:$K$5000,SMALL(IF('Work Items'!$A$6:$A$5000="CR",ROW('Work Items'!$A$6:$A$5000)-ROW('Work Items'!$A$6)+1),108)),"")</f>
        <v/>
      </c>
      <c r="I112">
        <f t="array" ref="I112">IFERROR(INDEX('Work Items'!$L$6:$L$5000,SMALL(IF('Work Items'!$A$6:$A$5000="CR",ROW('Work Items'!$A$6:$A$5000)-ROW('Work Items'!$A$6)+1),108)),"")</f>
        <v/>
      </c>
      <c r="J112" s="217">
        <f t="array" ref="J112">IFERROR(INDEX('Work Items'!$M$6:$M$5000,SMALL(IF('Work Items'!$A$6:$A$5000="CR",ROW('Work Items'!$A$6:$A$5000)-ROW('Work Items'!$A$6)+1),108)),"")</f>
        <v/>
      </c>
      <c r="K112" s="217">
        <f t="array" ref="K112">IFERROR(INDEX('Work Items'!$Q$6:$Q$5000,SMALL(IF('Work Items'!$A$6:$A$5000="CR",ROW('Work Items'!$A$6:$A$5000)-ROW('Work Items'!$A$6)+1),108)),"")</f>
        <v/>
      </c>
      <c r="L112">
        <f t="array" ref="L112">IFERROR(INDEX('Work Items'!$N$6:$N$5000,SMALL(IF('Work Items'!$A$6:$A$5000="CR",ROW('Work Items'!$A$6:$A$5000)-ROW('Work Items'!$A$6)+1),108)),"")</f>
        <v/>
      </c>
      <c r="M112">
        <f t="array" ref="M112">IFERROR(INDEX('Work Items'!$O$6:$O$5000,SMALL(IF('Work Items'!$A$6:$A$5000="CR",ROW('Work Items'!$A$6:$A$5000)-ROW('Work Items'!$A$6)+1),108)),"")</f>
        <v/>
      </c>
    </row>
    <row r="113">
      <c r="A113">
        <f t="array" ref="A113">IFERROR(INDEX('Work Items'!$A$6:$A$5000,SMALL(IF('Work Items'!$A$6:$A$5000="CR",ROW('Work Items'!$A$6:$A$5000)-ROW('Work Items'!$A$6)+1),109)),"")</f>
        <v/>
      </c>
      <c r="B113">
        <f t="array" ref="B113">IFERROR(INDEX('Work Items'!$B$6:$B$5000,SMALL(IF('Work Items'!$A$6:$A$5000="CR",ROW('Work Items'!$A$6:$A$5000)-ROW('Work Items'!$A$6)+1),109)),"")</f>
        <v/>
      </c>
      <c r="C113">
        <f t="array" ref="C113">IFERROR(INDEX('Work Items'!$C$6:$C$5000,SMALL(IF('Work Items'!$A$6:$A$5000="CR",ROW('Work Items'!$A$6:$A$5000)-ROW('Work Items'!$A$6)+1),109)),"")</f>
        <v/>
      </c>
      <c r="D113">
        <f t="array" ref="D113">IFERROR(INDEX('Work Items'!$D$6:$D$5000,SMALL(IF('Work Items'!$A$6:$A$5000="CR",ROW('Work Items'!$A$6:$A$5000)-ROW('Work Items'!$A$6)+1),109)),"")</f>
        <v/>
      </c>
      <c r="E113">
        <f t="array" ref="E113">IFERROR(INDEX('Work Items'!$E$6:$E$5000,SMALL(IF('Work Items'!$A$6:$A$5000="CR",ROW('Work Items'!$A$6:$A$5000)-ROW('Work Items'!$A$6)+1),109)),"")</f>
        <v/>
      </c>
      <c r="F113">
        <f t="array" ref="F113">IFERROR(INDEX('Work Items'!$F$6:$F$5000,SMALL(IF('Work Items'!$A$6:$A$5000="CR",ROW('Work Items'!$A$6:$A$5000)-ROW('Work Items'!$A$6)+1),109)),"")</f>
        <v/>
      </c>
      <c r="G113">
        <f t="array" ref="G113">IFERROR(INDEX('Work Items'!$J$6:$J$5000,SMALL(IF('Work Items'!$A$6:$A$5000="CR",ROW('Work Items'!$A$6:$A$5000)-ROW('Work Items'!$A$6)+1),109)),"")</f>
        <v/>
      </c>
      <c r="H113">
        <f t="array" ref="H113">IFERROR(INDEX('Work Items'!$K$6:$K$5000,SMALL(IF('Work Items'!$A$6:$A$5000="CR",ROW('Work Items'!$A$6:$A$5000)-ROW('Work Items'!$A$6)+1),109)),"")</f>
        <v/>
      </c>
      <c r="I113">
        <f t="array" ref="I113">IFERROR(INDEX('Work Items'!$L$6:$L$5000,SMALL(IF('Work Items'!$A$6:$A$5000="CR",ROW('Work Items'!$A$6:$A$5000)-ROW('Work Items'!$A$6)+1),109)),"")</f>
        <v/>
      </c>
      <c r="J113" s="217">
        <f t="array" ref="J113">IFERROR(INDEX('Work Items'!$M$6:$M$5000,SMALL(IF('Work Items'!$A$6:$A$5000="CR",ROW('Work Items'!$A$6:$A$5000)-ROW('Work Items'!$A$6)+1),109)),"")</f>
        <v/>
      </c>
      <c r="K113" s="217">
        <f t="array" ref="K113">IFERROR(INDEX('Work Items'!$Q$6:$Q$5000,SMALL(IF('Work Items'!$A$6:$A$5000="CR",ROW('Work Items'!$A$6:$A$5000)-ROW('Work Items'!$A$6)+1),109)),"")</f>
        <v/>
      </c>
      <c r="L113">
        <f t="array" ref="L113">IFERROR(INDEX('Work Items'!$N$6:$N$5000,SMALL(IF('Work Items'!$A$6:$A$5000="CR",ROW('Work Items'!$A$6:$A$5000)-ROW('Work Items'!$A$6)+1),109)),"")</f>
        <v/>
      </c>
      <c r="M113">
        <f t="array" ref="M113">IFERROR(INDEX('Work Items'!$O$6:$O$5000,SMALL(IF('Work Items'!$A$6:$A$5000="CR",ROW('Work Items'!$A$6:$A$5000)-ROW('Work Items'!$A$6)+1),109)),"")</f>
        <v/>
      </c>
    </row>
    <row r="114">
      <c r="A114">
        <f t="array" ref="A114">IFERROR(INDEX('Work Items'!$A$6:$A$5000,SMALL(IF('Work Items'!$A$6:$A$5000="CR",ROW('Work Items'!$A$6:$A$5000)-ROW('Work Items'!$A$6)+1),110)),"")</f>
        <v/>
      </c>
      <c r="B114">
        <f t="array" ref="B114">IFERROR(INDEX('Work Items'!$B$6:$B$5000,SMALL(IF('Work Items'!$A$6:$A$5000="CR",ROW('Work Items'!$A$6:$A$5000)-ROW('Work Items'!$A$6)+1),110)),"")</f>
        <v/>
      </c>
      <c r="C114">
        <f t="array" ref="C114">IFERROR(INDEX('Work Items'!$C$6:$C$5000,SMALL(IF('Work Items'!$A$6:$A$5000="CR",ROW('Work Items'!$A$6:$A$5000)-ROW('Work Items'!$A$6)+1),110)),"")</f>
        <v/>
      </c>
      <c r="D114">
        <f t="array" ref="D114">IFERROR(INDEX('Work Items'!$D$6:$D$5000,SMALL(IF('Work Items'!$A$6:$A$5000="CR",ROW('Work Items'!$A$6:$A$5000)-ROW('Work Items'!$A$6)+1),110)),"")</f>
        <v/>
      </c>
      <c r="E114">
        <f t="array" ref="E114">IFERROR(INDEX('Work Items'!$E$6:$E$5000,SMALL(IF('Work Items'!$A$6:$A$5000="CR",ROW('Work Items'!$A$6:$A$5000)-ROW('Work Items'!$A$6)+1),110)),"")</f>
        <v/>
      </c>
      <c r="F114">
        <f t="array" ref="F114">IFERROR(INDEX('Work Items'!$F$6:$F$5000,SMALL(IF('Work Items'!$A$6:$A$5000="CR",ROW('Work Items'!$A$6:$A$5000)-ROW('Work Items'!$A$6)+1),110)),"")</f>
        <v/>
      </c>
      <c r="G114">
        <f t="array" ref="G114">IFERROR(INDEX('Work Items'!$J$6:$J$5000,SMALL(IF('Work Items'!$A$6:$A$5000="CR",ROW('Work Items'!$A$6:$A$5000)-ROW('Work Items'!$A$6)+1),110)),"")</f>
        <v/>
      </c>
      <c r="H114">
        <f t="array" ref="H114">IFERROR(INDEX('Work Items'!$K$6:$K$5000,SMALL(IF('Work Items'!$A$6:$A$5000="CR",ROW('Work Items'!$A$6:$A$5000)-ROW('Work Items'!$A$6)+1),110)),"")</f>
        <v/>
      </c>
      <c r="I114">
        <f t="array" ref="I114">IFERROR(INDEX('Work Items'!$L$6:$L$5000,SMALL(IF('Work Items'!$A$6:$A$5000="CR",ROW('Work Items'!$A$6:$A$5000)-ROW('Work Items'!$A$6)+1),110)),"")</f>
        <v/>
      </c>
      <c r="J114" s="217">
        <f t="array" ref="J114">IFERROR(INDEX('Work Items'!$M$6:$M$5000,SMALL(IF('Work Items'!$A$6:$A$5000="CR",ROW('Work Items'!$A$6:$A$5000)-ROW('Work Items'!$A$6)+1),110)),"")</f>
        <v/>
      </c>
      <c r="K114" s="217">
        <f t="array" ref="K114">IFERROR(INDEX('Work Items'!$Q$6:$Q$5000,SMALL(IF('Work Items'!$A$6:$A$5000="CR",ROW('Work Items'!$A$6:$A$5000)-ROW('Work Items'!$A$6)+1),110)),"")</f>
        <v/>
      </c>
      <c r="L114">
        <f t="array" ref="L114">IFERROR(INDEX('Work Items'!$N$6:$N$5000,SMALL(IF('Work Items'!$A$6:$A$5000="CR",ROW('Work Items'!$A$6:$A$5000)-ROW('Work Items'!$A$6)+1),110)),"")</f>
        <v/>
      </c>
      <c r="M114">
        <f t="array" ref="M114">IFERROR(INDEX('Work Items'!$O$6:$O$5000,SMALL(IF('Work Items'!$A$6:$A$5000="CR",ROW('Work Items'!$A$6:$A$5000)-ROW('Work Items'!$A$6)+1),110)),"")</f>
        <v/>
      </c>
    </row>
    <row r="115">
      <c r="A115">
        <f t="array" ref="A115">IFERROR(INDEX('Work Items'!$A$6:$A$5000,SMALL(IF('Work Items'!$A$6:$A$5000="CR",ROW('Work Items'!$A$6:$A$5000)-ROW('Work Items'!$A$6)+1),111)),"")</f>
        <v/>
      </c>
      <c r="B115">
        <f t="array" ref="B115">IFERROR(INDEX('Work Items'!$B$6:$B$5000,SMALL(IF('Work Items'!$A$6:$A$5000="CR",ROW('Work Items'!$A$6:$A$5000)-ROW('Work Items'!$A$6)+1),111)),"")</f>
        <v/>
      </c>
      <c r="C115">
        <f t="array" ref="C115">IFERROR(INDEX('Work Items'!$C$6:$C$5000,SMALL(IF('Work Items'!$A$6:$A$5000="CR",ROW('Work Items'!$A$6:$A$5000)-ROW('Work Items'!$A$6)+1),111)),"")</f>
        <v/>
      </c>
      <c r="D115">
        <f t="array" ref="D115">IFERROR(INDEX('Work Items'!$D$6:$D$5000,SMALL(IF('Work Items'!$A$6:$A$5000="CR",ROW('Work Items'!$A$6:$A$5000)-ROW('Work Items'!$A$6)+1),111)),"")</f>
        <v/>
      </c>
      <c r="E115">
        <f t="array" ref="E115">IFERROR(INDEX('Work Items'!$E$6:$E$5000,SMALL(IF('Work Items'!$A$6:$A$5000="CR",ROW('Work Items'!$A$6:$A$5000)-ROW('Work Items'!$A$6)+1),111)),"")</f>
        <v/>
      </c>
      <c r="F115">
        <f t="array" ref="F115">IFERROR(INDEX('Work Items'!$F$6:$F$5000,SMALL(IF('Work Items'!$A$6:$A$5000="CR",ROW('Work Items'!$A$6:$A$5000)-ROW('Work Items'!$A$6)+1),111)),"")</f>
        <v/>
      </c>
      <c r="G115">
        <f t="array" ref="G115">IFERROR(INDEX('Work Items'!$J$6:$J$5000,SMALL(IF('Work Items'!$A$6:$A$5000="CR",ROW('Work Items'!$A$6:$A$5000)-ROW('Work Items'!$A$6)+1),111)),"")</f>
        <v/>
      </c>
      <c r="H115">
        <f t="array" ref="H115">IFERROR(INDEX('Work Items'!$K$6:$K$5000,SMALL(IF('Work Items'!$A$6:$A$5000="CR",ROW('Work Items'!$A$6:$A$5000)-ROW('Work Items'!$A$6)+1),111)),"")</f>
        <v/>
      </c>
      <c r="I115">
        <f t="array" ref="I115">IFERROR(INDEX('Work Items'!$L$6:$L$5000,SMALL(IF('Work Items'!$A$6:$A$5000="CR",ROW('Work Items'!$A$6:$A$5000)-ROW('Work Items'!$A$6)+1),111)),"")</f>
        <v/>
      </c>
      <c r="J115" s="217">
        <f t="array" ref="J115">IFERROR(INDEX('Work Items'!$M$6:$M$5000,SMALL(IF('Work Items'!$A$6:$A$5000="CR",ROW('Work Items'!$A$6:$A$5000)-ROW('Work Items'!$A$6)+1),111)),"")</f>
        <v/>
      </c>
      <c r="K115" s="217">
        <f t="array" ref="K115">IFERROR(INDEX('Work Items'!$Q$6:$Q$5000,SMALL(IF('Work Items'!$A$6:$A$5000="CR",ROW('Work Items'!$A$6:$A$5000)-ROW('Work Items'!$A$6)+1),111)),"")</f>
        <v/>
      </c>
      <c r="L115">
        <f t="array" ref="L115">IFERROR(INDEX('Work Items'!$N$6:$N$5000,SMALL(IF('Work Items'!$A$6:$A$5000="CR",ROW('Work Items'!$A$6:$A$5000)-ROW('Work Items'!$A$6)+1),111)),"")</f>
        <v/>
      </c>
      <c r="M115">
        <f t="array" ref="M115">IFERROR(INDEX('Work Items'!$O$6:$O$5000,SMALL(IF('Work Items'!$A$6:$A$5000="CR",ROW('Work Items'!$A$6:$A$5000)-ROW('Work Items'!$A$6)+1),111)),"")</f>
        <v/>
      </c>
    </row>
    <row r="116">
      <c r="A116">
        <f t="array" ref="A116">IFERROR(INDEX('Work Items'!$A$6:$A$5000,SMALL(IF('Work Items'!$A$6:$A$5000="CR",ROW('Work Items'!$A$6:$A$5000)-ROW('Work Items'!$A$6)+1),112)),"")</f>
        <v/>
      </c>
      <c r="B116">
        <f t="array" ref="B116">IFERROR(INDEX('Work Items'!$B$6:$B$5000,SMALL(IF('Work Items'!$A$6:$A$5000="CR",ROW('Work Items'!$A$6:$A$5000)-ROW('Work Items'!$A$6)+1),112)),"")</f>
        <v/>
      </c>
      <c r="C116">
        <f t="array" ref="C116">IFERROR(INDEX('Work Items'!$C$6:$C$5000,SMALL(IF('Work Items'!$A$6:$A$5000="CR",ROW('Work Items'!$A$6:$A$5000)-ROW('Work Items'!$A$6)+1),112)),"")</f>
        <v/>
      </c>
      <c r="D116">
        <f t="array" ref="D116">IFERROR(INDEX('Work Items'!$D$6:$D$5000,SMALL(IF('Work Items'!$A$6:$A$5000="CR",ROW('Work Items'!$A$6:$A$5000)-ROW('Work Items'!$A$6)+1),112)),"")</f>
        <v/>
      </c>
      <c r="E116">
        <f t="array" ref="E116">IFERROR(INDEX('Work Items'!$E$6:$E$5000,SMALL(IF('Work Items'!$A$6:$A$5000="CR",ROW('Work Items'!$A$6:$A$5000)-ROW('Work Items'!$A$6)+1),112)),"")</f>
        <v/>
      </c>
      <c r="F116">
        <f t="array" ref="F116">IFERROR(INDEX('Work Items'!$F$6:$F$5000,SMALL(IF('Work Items'!$A$6:$A$5000="CR",ROW('Work Items'!$A$6:$A$5000)-ROW('Work Items'!$A$6)+1),112)),"")</f>
        <v/>
      </c>
      <c r="G116">
        <f t="array" ref="G116">IFERROR(INDEX('Work Items'!$J$6:$J$5000,SMALL(IF('Work Items'!$A$6:$A$5000="CR",ROW('Work Items'!$A$6:$A$5000)-ROW('Work Items'!$A$6)+1),112)),"")</f>
        <v/>
      </c>
      <c r="H116">
        <f t="array" ref="H116">IFERROR(INDEX('Work Items'!$K$6:$K$5000,SMALL(IF('Work Items'!$A$6:$A$5000="CR",ROW('Work Items'!$A$6:$A$5000)-ROW('Work Items'!$A$6)+1),112)),"")</f>
        <v/>
      </c>
      <c r="I116">
        <f t="array" ref="I116">IFERROR(INDEX('Work Items'!$L$6:$L$5000,SMALL(IF('Work Items'!$A$6:$A$5000="CR",ROW('Work Items'!$A$6:$A$5000)-ROW('Work Items'!$A$6)+1),112)),"")</f>
        <v/>
      </c>
      <c r="J116" s="217">
        <f t="array" ref="J116">IFERROR(INDEX('Work Items'!$M$6:$M$5000,SMALL(IF('Work Items'!$A$6:$A$5000="CR",ROW('Work Items'!$A$6:$A$5000)-ROW('Work Items'!$A$6)+1),112)),"")</f>
        <v/>
      </c>
      <c r="K116" s="217">
        <f t="array" ref="K116">IFERROR(INDEX('Work Items'!$Q$6:$Q$5000,SMALL(IF('Work Items'!$A$6:$A$5000="CR",ROW('Work Items'!$A$6:$A$5000)-ROW('Work Items'!$A$6)+1),112)),"")</f>
        <v/>
      </c>
      <c r="L116">
        <f t="array" ref="L116">IFERROR(INDEX('Work Items'!$N$6:$N$5000,SMALL(IF('Work Items'!$A$6:$A$5000="CR",ROW('Work Items'!$A$6:$A$5000)-ROW('Work Items'!$A$6)+1),112)),"")</f>
        <v/>
      </c>
      <c r="M116">
        <f t="array" ref="M116">IFERROR(INDEX('Work Items'!$O$6:$O$5000,SMALL(IF('Work Items'!$A$6:$A$5000="CR",ROW('Work Items'!$A$6:$A$5000)-ROW('Work Items'!$A$6)+1),112)),"")</f>
        <v/>
      </c>
    </row>
    <row r="117">
      <c r="A117">
        <f t="array" ref="A117">IFERROR(INDEX('Work Items'!$A$6:$A$5000,SMALL(IF('Work Items'!$A$6:$A$5000="CR",ROW('Work Items'!$A$6:$A$5000)-ROW('Work Items'!$A$6)+1),113)),"")</f>
        <v/>
      </c>
      <c r="B117">
        <f t="array" ref="B117">IFERROR(INDEX('Work Items'!$B$6:$B$5000,SMALL(IF('Work Items'!$A$6:$A$5000="CR",ROW('Work Items'!$A$6:$A$5000)-ROW('Work Items'!$A$6)+1),113)),"")</f>
        <v/>
      </c>
      <c r="C117">
        <f t="array" ref="C117">IFERROR(INDEX('Work Items'!$C$6:$C$5000,SMALL(IF('Work Items'!$A$6:$A$5000="CR",ROW('Work Items'!$A$6:$A$5000)-ROW('Work Items'!$A$6)+1),113)),"")</f>
        <v/>
      </c>
      <c r="D117">
        <f t="array" ref="D117">IFERROR(INDEX('Work Items'!$D$6:$D$5000,SMALL(IF('Work Items'!$A$6:$A$5000="CR",ROW('Work Items'!$A$6:$A$5000)-ROW('Work Items'!$A$6)+1),113)),"")</f>
        <v/>
      </c>
      <c r="E117">
        <f t="array" ref="E117">IFERROR(INDEX('Work Items'!$E$6:$E$5000,SMALL(IF('Work Items'!$A$6:$A$5000="CR",ROW('Work Items'!$A$6:$A$5000)-ROW('Work Items'!$A$6)+1),113)),"")</f>
        <v/>
      </c>
      <c r="F117">
        <f t="array" ref="F117">IFERROR(INDEX('Work Items'!$F$6:$F$5000,SMALL(IF('Work Items'!$A$6:$A$5000="CR",ROW('Work Items'!$A$6:$A$5000)-ROW('Work Items'!$A$6)+1),113)),"")</f>
        <v/>
      </c>
      <c r="G117">
        <f t="array" ref="G117">IFERROR(INDEX('Work Items'!$J$6:$J$5000,SMALL(IF('Work Items'!$A$6:$A$5000="CR",ROW('Work Items'!$A$6:$A$5000)-ROW('Work Items'!$A$6)+1),113)),"")</f>
        <v/>
      </c>
      <c r="H117">
        <f t="array" ref="H117">IFERROR(INDEX('Work Items'!$K$6:$K$5000,SMALL(IF('Work Items'!$A$6:$A$5000="CR",ROW('Work Items'!$A$6:$A$5000)-ROW('Work Items'!$A$6)+1),113)),"")</f>
        <v/>
      </c>
      <c r="I117">
        <f t="array" ref="I117">IFERROR(INDEX('Work Items'!$L$6:$L$5000,SMALL(IF('Work Items'!$A$6:$A$5000="CR",ROW('Work Items'!$A$6:$A$5000)-ROW('Work Items'!$A$6)+1),113)),"")</f>
        <v/>
      </c>
      <c r="J117" s="217">
        <f t="array" ref="J117">IFERROR(INDEX('Work Items'!$M$6:$M$5000,SMALL(IF('Work Items'!$A$6:$A$5000="CR",ROW('Work Items'!$A$6:$A$5000)-ROW('Work Items'!$A$6)+1),113)),"")</f>
        <v/>
      </c>
      <c r="K117" s="217">
        <f t="array" ref="K117">IFERROR(INDEX('Work Items'!$Q$6:$Q$5000,SMALL(IF('Work Items'!$A$6:$A$5000="CR",ROW('Work Items'!$A$6:$A$5000)-ROW('Work Items'!$A$6)+1),113)),"")</f>
        <v/>
      </c>
      <c r="L117">
        <f t="array" ref="L117">IFERROR(INDEX('Work Items'!$N$6:$N$5000,SMALL(IF('Work Items'!$A$6:$A$5000="CR",ROW('Work Items'!$A$6:$A$5000)-ROW('Work Items'!$A$6)+1),113)),"")</f>
        <v/>
      </c>
      <c r="M117">
        <f t="array" ref="M117">IFERROR(INDEX('Work Items'!$O$6:$O$5000,SMALL(IF('Work Items'!$A$6:$A$5000="CR",ROW('Work Items'!$A$6:$A$5000)-ROW('Work Items'!$A$6)+1),113)),"")</f>
        <v/>
      </c>
    </row>
    <row r="118">
      <c r="A118">
        <f t="array" ref="A118">IFERROR(INDEX('Work Items'!$A$6:$A$5000,SMALL(IF('Work Items'!$A$6:$A$5000="CR",ROW('Work Items'!$A$6:$A$5000)-ROW('Work Items'!$A$6)+1),114)),"")</f>
        <v/>
      </c>
      <c r="B118">
        <f t="array" ref="B118">IFERROR(INDEX('Work Items'!$B$6:$B$5000,SMALL(IF('Work Items'!$A$6:$A$5000="CR",ROW('Work Items'!$A$6:$A$5000)-ROW('Work Items'!$A$6)+1),114)),"")</f>
        <v/>
      </c>
      <c r="C118">
        <f t="array" ref="C118">IFERROR(INDEX('Work Items'!$C$6:$C$5000,SMALL(IF('Work Items'!$A$6:$A$5000="CR",ROW('Work Items'!$A$6:$A$5000)-ROW('Work Items'!$A$6)+1),114)),"")</f>
        <v/>
      </c>
      <c r="D118">
        <f t="array" ref="D118">IFERROR(INDEX('Work Items'!$D$6:$D$5000,SMALL(IF('Work Items'!$A$6:$A$5000="CR",ROW('Work Items'!$A$6:$A$5000)-ROW('Work Items'!$A$6)+1),114)),"")</f>
        <v/>
      </c>
      <c r="E118">
        <f t="array" ref="E118">IFERROR(INDEX('Work Items'!$E$6:$E$5000,SMALL(IF('Work Items'!$A$6:$A$5000="CR",ROW('Work Items'!$A$6:$A$5000)-ROW('Work Items'!$A$6)+1),114)),"")</f>
        <v/>
      </c>
      <c r="F118">
        <f t="array" ref="F118">IFERROR(INDEX('Work Items'!$F$6:$F$5000,SMALL(IF('Work Items'!$A$6:$A$5000="CR",ROW('Work Items'!$A$6:$A$5000)-ROW('Work Items'!$A$6)+1),114)),"")</f>
        <v/>
      </c>
      <c r="G118">
        <f t="array" ref="G118">IFERROR(INDEX('Work Items'!$J$6:$J$5000,SMALL(IF('Work Items'!$A$6:$A$5000="CR",ROW('Work Items'!$A$6:$A$5000)-ROW('Work Items'!$A$6)+1),114)),"")</f>
        <v/>
      </c>
      <c r="H118">
        <f t="array" ref="H118">IFERROR(INDEX('Work Items'!$K$6:$K$5000,SMALL(IF('Work Items'!$A$6:$A$5000="CR",ROW('Work Items'!$A$6:$A$5000)-ROW('Work Items'!$A$6)+1),114)),"")</f>
        <v/>
      </c>
      <c r="I118">
        <f t="array" ref="I118">IFERROR(INDEX('Work Items'!$L$6:$L$5000,SMALL(IF('Work Items'!$A$6:$A$5000="CR",ROW('Work Items'!$A$6:$A$5000)-ROW('Work Items'!$A$6)+1),114)),"")</f>
        <v/>
      </c>
      <c r="J118" s="217">
        <f t="array" ref="J118">IFERROR(INDEX('Work Items'!$M$6:$M$5000,SMALL(IF('Work Items'!$A$6:$A$5000="CR",ROW('Work Items'!$A$6:$A$5000)-ROW('Work Items'!$A$6)+1),114)),"")</f>
        <v/>
      </c>
      <c r="K118" s="217">
        <f t="array" ref="K118">IFERROR(INDEX('Work Items'!$Q$6:$Q$5000,SMALL(IF('Work Items'!$A$6:$A$5000="CR",ROW('Work Items'!$A$6:$A$5000)-ROW('Work Items'!$A$6)+1),114)),"")</f>
        <v/>
      </c>
      <c r="L118">
        <f t="array" ref="L118">IFERROR(INDEX('Work Items'!$N$6:$N$5000,SMALL(IF('Work Items'!$A$6:$A$5000="CR",ROW('Work Items'!$A$6:$A$5000)-ROW('Work Items'!$A$6)+1),114)),"")</f>
        <v/>
      </c>
      <c r="M118">
        <f t="array" ref="M118">IFERROR(INDEX('Work Items'!$O$6:$O$5000,SMALL(IF('Work Items'!$A$6:$A$5000="CR",ROW('Work Items'!$A$6:$A$5000)-ROW('Work Items'!$A$6)+1),114)),"")</f>
        <v/>
      </c>
    </row>
    <row r="119">
      <c r="A119">
        <f t="array" ref="A119">IFERROR(INDEX('Work Items'!$A$6:$A$5000,SMALL(IF('Work Items'!$A$6:$A$5000="CR",ROW('Work Items'!$A$6:$A$5000)-ROW('Work Items'!$A$6)+1),115)),"")</f>
        <v/>
      </c>
      <c r="B119">
        <f t="array" ref="B119">IFERROR(INDEX('Work Items'!$B$6:$B$5000,SMALL(IF('Work Items'!$A$6:$A$5000="CR",ROW('Work Items'!$A$6:$A$5000)-ROW('Work Items'!$A$6)+1),115)),"")</f>
        <v/>
      </c>
      <c r="C119">
        <f t="array" ref="C119">IFERROR(INDEX('Work Items'!$C$6:$C$5000,SMALL(IF('Work Items'!$A$6:$A$5000="CR",ROW('Work Items'!$A$6:$A$5000)-ROW('Work Items'!$A$6)+1),115)),"")</f>
        <v/>
      </c>
      <c r="D119">
        <f t="array" ref="D119">IFERROR(INDEX('Work Items'!$D$6:$D$5000,SMALL(IF('Work Items'!$A$6:$A$5000="CR",ROW('Work Items'!$A$6:$A$5000)-ROW('Work Items'!$A$6)+1),115)),"")</f>
        <v/>
      </c>
      <c r="E119">
        <f t="array" ref="E119">IFERROR(INDEX('Work Items'!$E$6:$E$5000,SMALL(IF('Work Items'!$A$6:$A$5000="CR",ROW('Work Items'!$A$6:$A$5000)-ROW('Work Items'!$A$6)+1),115)),"")</f>
        <v/>
      </c>
      <c r="F119">
        <f t="array" ref="F119">IFERROR(INDEX('Work Items'!$F$6:$F$5000,SMALL(IF('Work Items'!$A$6:$A$5000="CR",ROW('Work Items'!$A$6:$A$5000)-ROW('Work Items'!$A$6)+1),115)),"")</f>
        <v/>
      </c>
      <c r="G119">
        <f t="array" ref="G119">IFERROR(INDEX('Work Items'!$J$6:$J$5000,SMALL(IF('Work Items'!$A$6:$A$5000="CR",ROW('Work Items'!$A$6:$A$5000)-ROW('Work Items'!$A$6)+1),115)),"")</f>
        <v/>
      </c>
      <c r="H119">
        <f t="array" ref="H119">IFERROR(INDEX('Work Items'!$K$6:$K$5000,SMALL(IF('Work Items'!$A$6:$A$5000="CR",ROW('Work Items'!$A$6:$A$5000)-ROW('Work Items'!$A$6)+1),115)),"")</f>
        <v/>
      </c>
      <c r="I119">
        <f t="array" ref="I119">IFERROR(INDEX('Work Items'!$L$6:$L$5000,SMALL(IF('Work Items'!$A$6:$A$5000="CR",ROW('Work Items'!$A$6:$A$5000)-ROW('Work Items'!$A$6)+1),115)),"")</f>
        <v/>
      </c>
      <c r="J119" s="217">
        <f t="array" ref="J119">IFERROR(INDEX('Work Items'!$M$6:$M$5000,SMALL(IF('Work Items'!$A$6:$A$5000="CR",ROW('Work Items'!$A$6:$A$5000)-ROW('Work Items'!$A$6)+1),115)),"")</f>
        <v/>
      </c>
      <c r="K119" s="217">
        <f t="array" ref="K119">IFERROR(INDEX('Work Items'!$Q$6:$Q$5000,SMALL(IF('Work Items'!$A$6:$A$5000="CR",ROW('Work Items'!$A$6:$A$5000)-ROW('Work Items'!$A$6)+1),115)),"")</f>
        <v/>
      </c>
      <c r="L119">
        <f t="array" ref="L119">IFERROR(INDEX('Work Items'!$N$6:$N$5000,SMALL(IF('Work Items'!$A$6:$A$5000="CR",ROW('Work Items'!$A$6:$A$5000)-ROW('Work Items'!$A$6)+1),115)),"")</f>
        <v/>
      </c>
      <c r="M119">
        <f t="array" ref="M119">IFERROR(INDEX('Work Items'!$O$6:$O$5000,SMALL(IF('Work Items'!$A$6:$A$5000="CR",ROW('Work Items'!$A$6:$A$5000)-ROW('Work Items'!$A$6)+1),115)),"")</f>
        <v/>
      </c>
    </row>
    <row r="120">
      <c r="A120">
        <f t="array" ref="A120">IFERROR(INDEX('Work Items'!$A$6:$A$5000,SMALL(IF('Work Items'!$A$6:$A$5000="CR",ROW('Work Items'!$A$6:$A$5000)-ROW('Work Items'!$A$6)+1),116)),"")</f>
        <v/>
      </c>
      <c r="B120">
        <f t="array" ref="B120">IFERROR(INDEX('Work Items'!$B$6:$B$5000,SMALL(IF('Work Items'!$A$6:$A$5000="CR",ROW('Work Items'!$A$6:$A$5000)-ROW('Work Items'!$A$6)+1),116)),"")</f>
        <v/>
      </c>
      <c r="C120">
        <f t="array" ref="C120">IFERROR(INDEX('Work Items'!$C$6:$C$5000,SMALL(IF('Work Items'!$A$6:$A$5000="CR",ROW('Work Items'!$A$6:$A$5000)-ROW('Work Items'!$A$6)+1),116)),"")</f>
        <v/>
      </c>
      <c r="D120">
        <f t="array" ref="D120">IFERROR(INDEX('Work Items'!$D$6:$D$5000,SMALL(IF('Work Items'!$A$6:$A$5000="CR",ROW('Work Items'!$A$6:$A$5000)-ROW('Work Items'!$A$6)+1),116)),"")</f>
        <v/>
      </c>
      <c r="E120">
        <f t="array" ref="E120">IFERROR(INDEX('Work Items'!$E$6:$E$5000,SMALL(IF('Work Items'!$A$6:$A$5000="CR",ROW('Work Items'!$A$6:$A$5000)-ROW('Work Items'!$A$6)+1),116)),"")</f>
        <v/>
      </c>
      <c r="F120">
        <f t="array" ref="F120">IFERROR(INDEX('Work Items'!$F$6:$F$5000,SMALL(IF('Work Items'!$A$6:$A$5000="CR",ROW('Work Items'!$A$6:$A$5000)-ROW('Work Items'!$A$6)+1),116)),"")</f>
        <v/>
      </c>
      <c r="G120">
        <f t="array" ref="G120">IFERROR(INDEX('Work Items'!$J$6:$J$5000,SMALL(IF('Work Items'!$A$6:$A$5000="CR",ROW('Work Items'!$A$6:$A$5000)-ROW('Work Items'!$A$6)+1),116)),"")</f>
        <v/>
      </c>
      <c r="H120">
        <f t="array" ref="H120">IFERROR(INDEX('Work Items'!$K$6:$K$5000,SMALL(IF('Work Items'!$A$6:$A$5000="CR",ROW('Work Items'!$A$6:$A$5000)-ROW('Work Items'!$A$6)+1),116)),"")</f>
        <v/>
      </c>
      <c r="I120">
        <f t="array" ref="I120">IFERROR(INDEX('Work Items'!$L$6:$L$5000,SMALL(IF('Work Items'!$A$6:$A$5000="CR",ROW('Work Items'!$A$6:$A$5000)-ROW('Work Items'!$A$6)+1),116)),"")</f>
        <v/>
      </c>
      <c r="J120" s="217">
        <f t="array" ref="J120">IFERROR(INDEX('Work Items'!$M$6:$M$5000,SMALL(IF('Work Items'!$A$6:$A$5000="CR",ROW('Work Items'!$A$6:$A$5000)-ROW('Work Items'!$A$6)+1),116)),"")</f>
        <v/>
      </c>
      <c r="K120" s="217">
        <f t="array" ref="K120">IFERROR(INDEX('Work Items'!$Q$6:$Q$5000,SMALL(IF('Work Items'!$A$6:$A$5000="CR",ROW('Work Items'!$A$6:$A$5000)-ROW('Work Items'!$A$6)+1),116)),"")</f>
        <v/>
      </c>
      <c r="L120">
        <f t="array" ref="L120">IFERROR(INDEX('Work Items'!$N$6:$N$5000,SMALL(IF('Work Items'!$A$6:$A$5000="CR",ROW('Work Items'!$A$6:$A$5000)-ROW('Work Items'!$A$6)+1),116)),"")</f>
        <v/>
      </c>
      <c r="M120">
        <f t="array" ref="M120">IFERROR(INDEX('Work Items'!$O$6:$O$5000,SMALL(IF('Work Items'!$A$6:$A$5000="CR",ROW('Work Items'!$A$6:$A$5000)-ROW('Work Items'!$A$6)+1),116)),"")</f>
        <v/>
      </c>
    </row>
    <row r="121">
      <c r="A121">
        <f t="array" ref="A121">IFERROR(INDEX('Work Items'!$A$6:$A$5000,SMALL(IF('Work Items'!$A$6:$A$5000="CR",ROW('Work Items'!$A$6:$A$5000)-ROW('Work Items'!$A$6)+1),117)),"")</f>
        <v/>
      </c>
      <c r="B121">
        <f t="array" ref="B121">IFERROR(INDEX('Work Items'!$B$6:$B$5000,SMALL(IF('Work Items'!$A$6:$A$5000="CR",ROW('Work Items'!$A$6:$A$5000)-ROW('Work Items'!$A$6)+1),117)),"")</f>
        <v/>
      </c>
      <c r="C121">
        <f t="array" ref="C121">IFERROR(INDEX('Work Items'!$C$6:$C$5000,SMALL(IF('Work Items'!$A$6:$A$5000="CR",ROW('Work Items'!$A$6:$A$5000)-ROW('Work Items'!$A$6)+1),117)),"")</f>
        <v/>
      </c>
      <c r="D121">
        <f t="array" ref="D121">IFERROR(INDEX('Work Items'!$D$6:$D$5000,SMALL(IF('Work Items'!$A$6:$A$5000="CR",ROW('Work Items'!$A$6:$A$5000)-ROW('Work Items'!$A$6)+1),117)),"")</f>
        <v/>
      </c>
      <c r="E121">
        <f t="array" ref="E121">IFERROR(INDEX('Work Items'!$E$6:$E$5000,SMALL(IF('Work Items'!$A$6:$A$5000="CR",ROW('Work Items'!$A$6:$A$5000)-ROW('Work Items'!$A$6)+1),117)),"")</f>
        <v/>
      </c>
      <c r="F121">
        <f t="array" ref="F121">IFERROR(INDEX('Work Items'!$F$6:$F$5000,SMALL(IF('Work Items'!$A$6:$A$5000="CR",ROW('Work Items'!$A$6:$A$5000)-ROW('Work Items'!$A$6)+1),117)),"")</f>
        <v/>
      </c>
      <c r="G121">
        <f t="array" ref="G121">IFERROR(INDEX('Work Items'!$J$6:$J$5000,SMALL(IF('Work Items'!$A$6:$A$5000="CR",ROW('Work Items'!$A$6:$A$5000)-ROW('Work Items'!$A$6)+1),117)),"")</f>
        <v/>
      </c>
      <c r="H121">
        <f t="array" ref="H121">IFERROR(INDEX('Work Items'!$K$6:$K$5000,SMALL(IF('Work Items'!$A$6:$A$5000="CR",ROW('Work Items'!$A$6:$A$5000)-ROW('Work Items'!$A$6)+1),117)),"")</f>
        <v/>
      </c>
      <c r="I121">
        <f t="array" ref="I121">IFERROR(INDEX('Work Items'!$L$6:$L$5000,SMALL(IF('Work Items'!$A$6:$A$5000="CR",ROW('Work Items'!$A$6:$A$5000)-ROW('Work Items'!$A$6)+1),117)),"")</f>
        <v/>
      </c>
      <c r="J121" s="217">
        <f t="array" ref="J121">IFERROR(INDEX('Work Items'!$M$6:$M$5000,SMALL(IF('Work Items'!$A$6:$A$5000="CR",ROW('Work Items'!$A$6:$A$5000)-ROW('Work Items'!$A$6)+1),117)),"")</f>
        <v/>
      </c>
      <c r="K121" s="217">
        <f t="array" ref="K121">IFERROR(INDEX('Work Items'!$Q$6:$Q$5000,SMALL(IF('Work Items'!$A$6:$A$5000="CR",ROW('Work Items'!$A$6:$A$5000)-ROW('Work Items'!$A$6)+1),117)),"")</f>
        <v/>
      </c>
      <c r="L121">
        <f t="array" ref="L121">IFERROR(INDEX('Work Items'!$N$6:$N$5000,SMALL(IF('Work Items'!$A$6:$A$5000="CR",ROW('Work Items'!$A$6:$A$5000)-ROW('Work Items'!$A$6)+1),117)),"")</f>
        <v/>
      </c>
      <c r="M121">
        <f t="array" ref="M121">IFERROR(INDEX('Work Items'!$O$6:$O$5000,SMALL(IF('Work Items'!$A$6:$A$5000="CR",ROW('Work Items'!$A$6:$A$5000)-ROW('Work Items'!$A$6)+1),117)),"")</f>
        <v/>
      </c>
    </row>
    <row r="122">
      <c r="A122">
        <f t="array" ref="A122">IFERROR(INDEX('Work Items'!$A$6:$A$5000,SMALL(IF('Work Items'!$A$6:$A$5000="CR",ROW('Work Items'!$A$6:$A$5000)-ROW('Work Items'!$A$6)+1),118)),"")</f>
        <v/>
      </c>
      <c r="B122">
        <f t="array" ref="B122">IFERROR(INDEX('Work Items'!$B$6:$B$5000,SMALL(IF('Work Items'!$A$6:$A$5000="CR",ROW('Work Items'!$A$6:$A$5000)-ROW('Work Items'!$A$6)+1),118)),"")</f>
        <v/>
      </c>
      <c r="C122">
        <f t="array" ref="C122">IFERROR(INDEX('Work Items'!$C$6:$C$5000,SMALL(IF('Work Items'!$A$6:$A$5000="CR",ROW('Work Items'!$A$6:$A$5000)-ROW('Work Items'!$A$6)+1),118)),"")</f>
        <v/>
      </c>
      <c r="D122">
        <f t="array" ref="D122">IFERROR(INDEX('Work Items'!$D$6:$D$5000,SMALL(IF('Work Items'!$A$6:$A$5000="CR",ROW('Work Items'!$A$6:$A$5000)-ROW('Work Items'!$A$6)+1),118)),"")</f>
        <v/>
      </c>
      <c r="E122">
        <f t="array" ref="E122">IFERROR(INDEX('Work Items'!$E$6:$E$5000,SMALL(IF('Work Items'!$A$6:$A$5000="CR",ROW('Work Items'!$A$6:$A$5000)-ROW('Work Items'!$A$6)+1),118)),"")</f>
        <v/>
      </c>
      <c r="F122">
        <f t="array" ref="F122">IFERROR(INDEX('Work Items'!$F$6:$F$5000,SMALL(IF('Work Items'!$A$6:$A$5000="CR",ROW('Work Items'!$A$6:$A$5000)-ROW('Work Items'!$A$6)+1),118)),"")</f>
        <v/>
      </c>
      <c r="G122">
        <f t="array" ref="G122">IFERROR(INDEX('Work Items'!$J$6:$J$5000,SMALL(IF('Work Items'!$A$6:$A$5000="CR",ROW('Work Items'!$A$6:$A$5000)-ROW('Work Items'!$A$6)+1),118)),"")</f>
        <v/>
      </c>
      <c r="H122">
        <f t="array" ref="H122">IFERROR(INDEX('Work Items'!$K$6:$K$5000,SMALL(IF('Work Items'!$A$6:$A$5000="CR",ROW('Work Items'!$A$6:$A$5000)-ROW('Work Items'!$A$6)+1),118)),"")</f>
        <v/>
      </c>
      <c r="I122">
        <f t="array" ref="I122">IFERROR(INDEX('Work Items'!$L$6:$L$5000,SMALL(IF('Work Items'!$A$6:$A$5000="CR",ROW('Work Items'!$A$6:$A$5000)-ROW('Work Items'!$A$6)+1),118)),"")</f>
        <v/>
      </c>
      <c r="J122" s="217">
        <f t="array" ref="J122">IFERROR(INDEX('Work Items'!$M$6:$M$5000,SMALL(IF('Work Items'!$A$6:$A$5000="CR",ROW('Work Items'!$A$6:$A$5000)-ROW('Work Items'!$A$6)+1),118)),"")</f>
        <v/>
      </c>
      <c r="K122" s="217">
        <f t="array" ref="K122">IFERROR(INDEX('Work Items'!$Q$6:$Q$5000,SMALL(IF('Work Items'!$A$6:$A$5000="CR",ROW('Work Items'!$A$6:$A$5000)-ROW('Work Items'!$A$6)+1),118)),"")</f>
        <v/>
      </c>
      <c r="L122">
        <f t="array" ref="L122">IFERROR(INDEX('Work Items'!$N$6:$N$5000,SMALL(IF('Work Items'!$A$6:$A$5000="CR",ROW('Work Items'!$A$6:$A$5000)-ROW('Work Items'!$A$6)+1),118)),"")</f>
        <v/>
      </c>
      <c r="M122">
        <f t="array" ref="M122">IFERROR(INDEX('Work Items'!$O$6:$O$5000,SMALL(IF('Work Items'!$A$6:$A$5000="CR",ROW('Work Items'!$A$6:$A$5000)-ROW('Work Items'!$A$6)+1),118)),"")</f>
        <v/>
      </c>
    </row>
    <row r="123">
      <c r="A123">
        <f t="array" ref="A123">IFERROR(INDEX('Work Items'!$A$6:$A$5000,SMALL(IF('Work Items'!$A$6:$A$5000="CR",ROW('Work Items'!$A$6:$A$5000)-ROW('Work Items'!$A$6)+1),119)),"")</f>
        <v/>
      </c>
      <c r="B123">
        <f t="array" ref="B123">IFERROR(INDEX('Work Items'!$B$6:$B$5000,SMALL(IF('Work Items'!$A$6:$A$5000="CR",ROW('Work Items'!$A$6:$A$5000)-ROW('Work Items'!$A$6)+1),119)),"")</f>
        <v/>
      </c>
      <c r="C123">
        <f t="array" ref="C123">IFERROR(INDEX('Work Items'!$C$6:$C$5000,SMALL(IF('Work Items'!$A$6:$A$5000="CR",ROW('Work Items'!$A$6:$A$5000)-ROW('Work Items'!$A$6)+1),119)),"")</f>
        <v/>
      </c>
      <c r="D123">
        <f t="array" ref="D123">IFERROR(INDEX('Work Items'!$D$6:$D$5000,SMALL(IF('Work Items'!$A$6:$A$5000="CR",ROW('Work Items'!$A$6:$A$5000)-ROW('Work Items'!$A$6)+1),119)),"")</f>
        <v/>
      </c>
      <c r="E123">
        <f t="array" ref="E123">IFERROR(INDEX('Work Items'!$E$6:$E$5000,SMALL(IF('Work Items'!$A$6:$A$5000="CR",ROW('Work Items'!$A$6:$A$5000)-ROW('Work Items'!$A$6)+1),119)),"")</f>
        <v/>
      </c>
      <c r="F123">
        <f t="array" ref="F123">IFERROR(INDEX('Work Items'!$F$6:$F$5000,SMALL(IF('Work Items'!$A$6:$A$5000="CR",ROW('Work Items'!$A$6:$A$5000)-ROW('Work Items'!$A$6)+1),119)),"")</f>
        <v/>
      </c>
      <c r="G123">
        <f t="array" ref="G123">IFERROR(INDEX('Work Items'!$J$6:$J$5000,SMALL(IF('Work Items'!$A$6:$A$5000="CR",ROW('Work Items'!$A$6:$A$5000)-ROW('Work Items'!$A$6)+1),119)),"")</f>
        <v/>
      </c>
      <c r="H123">
        <f t="array" ref="H123">IFERROR(INDEX('Work Items'!$K$6:$K$5000,SMALL(IF('Work Items'!$A$6:$A$5000="CR",ROW('Work Items'!$A$6:$A$5000)-ROW('Work Items'!$A$6)+1),119)),"")</f>
        <v/>
      </c>
      <c r="I123">
        <f t="array" ref="I123">IFERROR(INDEX('Work Items'!$L$6:$L$5000,SMALL(IF('Work Items'!$A$6:$A$5000="CR",ROW('Work Items'!$A$6:$A$5000)-ROW('Work Items'!$A$6)+1),119)),"")</f>
        <v/>
      </c>
      <c r="J123" s="217">
        <f t="array" ref="J123">IFERROR(INDEX('Work Items'!$M$6:$M$5000,SMALL(IF('Work Items'!$A$6:$A$5000="CR",ROW('Work Items'!$A$6:$A$5000)-ROW('Work Items'!$A$6)+1),119)),"")</f>
        <v/>
      </c>
      <c r="K123" s="217">
        <f t="array" ref="K123">IFERROR(INDEX('Work Items'!$Q$6:$Q$5000,SMALL(IF('Work Items'!$A$6:$A$5000="CR",ROW('Work Items'!$A$6:$A$5000)-ROW('Work Items'!$A$6)+1),119)),"")</f>
        <v/>
      </c>
      <c r="L123">
        <f t="array" ref="L123">IFERROR(INDEX('Work Items'!$N$6:$N$5000,SMALL(IF('Work Items'!$A$6:$A$5000="CR",ROW('Work Items'!$A$6:$A$5000)-ROW('Work Items'!$A$6)+1),119)),"")</f>
        <v/>
      </c>
      <c r="M123">
        <f t="array" ref="M123">IFERROR(INDEX('Work Items'!$O$6:$O$5000,SMALL(IF('Work Items'!$A$6:$A$5000="CR",ROW('Work Items'!$A$6:$A$5000)-ROW('Work Items'!$A$6)+1),119)),"")</f>
        <v/>
      </c>
    </row>
    <row r="124">
      <c r="A124">
        <f t="array" ref="A124">IFERROR(INDEX('Work Items'!$A$6:$A$5000,SMALL(IF('Work Items'!$A$6:$A$5000="CR",ROW('Work Items'!$A$6:$A$5000)-ROW('Work Items'!$A$6)+1),120)),"")</f>
        <v/>
      </c>
      <c r="B124">
        <f t="array" ref="B124">IFERROR(INDEX('Work Items'!$B$6:$B$5000,SMALL(IF('Work Items'!$A$6:$A$5000="CR",ROW('Work Items'!$A$6:$A$5000)-ROW('Work Items'!$A$6)+1),120)),"")</f>
        <v/>
      </c>
      <c r="C124">
        <f t="array" ref="C124">IFERROR(INDEX('Work Items'!$C$6:$C$5000,SMALL(IF('Work Items'!$A$6:$A$5000="CR",ROW('Work Items'!$A$6:$A$5000)-ROW('Work Items'!$A$6)+1),120)),"")</f>
        <v/>
      </c>
      <c r="D124">
        <f t="array" ref="D124">IFERROR(INDEX('Work Items'!$D$6:$D$5000,SMALL(IF('Work Items'!$A$6:$A$5000="CR",ROW('Work Items'!$A$6:$A$5000)-ROW('Work Items'!$A$6)+1),120)),"")</f>
        <v/>
      </c>
      <c r="E124">
        <f t="array" ref="E124">IFERROR(INDEX('Work Items'!$E$6:$E$5000,SMALL(IF('Work Items'!$A$6:$A$5000="CR",ROW('Work Items'!$A$6:$A$5000)-ROW('Work Items'!$A$6)+1),120)),"")</f>
        <v/>
      </c>
      <c r="F124">
        <f t="array" ref="F124">IFERROR(INDEX('Work Items'!$F$6:$F$5000,SMALL(IF('Work Items'!$A$6:$A$5000="CR",ROW('Work Items'!$A$6:$A$5000)-ROW('Work Items'!$A$6)+1),120)),"")</f>
        <v/>
      </c>
      <c r="G124">
        <f t="array" ref="G124">IFERROR(INDEX('Work Items'!$J$6:$J$5000,SMALL(IF('Work Items'!$A$6:$A$5000="CR",ROW('Work Items'!$A$6:$A$5000)-ROW('Work Items'!$A$6)+1),120)),"")</f>
        <v/>
      </c>
      <c r="H124">
        <f t="array" ref="H124">IFERROR(INDEX('Work Items'!$K$6:$K$5000,SMALL(IF('Work Items'!$A$6:$A$5000="CR",ROW('Work Items'!$A$6:$A$5000)-ROW('Work Items'!$A$6)+1),120)),"")</f>
        <v/>
      </c>
      <c r="I124">
        <f t="array" ref="I124">IFERROR(INDEX('Work Items'!$L$6:$L$5000,SMALL(IF('Work Items'!$A$6:$A$5000="CR",ROW('Work Items'!$A$6:$A$5000)-ROW('Work Items'!$A$6)+1),120)),"")</f>
        <v/>
      </c>
      <c r="J124" s="217">
        <f t="array" ref="J124">IFERROR(INDEX('Work Items'!$M$6:$M$5000,SMALL(IF('Work Items'!$A$6:$A$5000="CR",ROW('Work Items'!$A$6:$A$5000)-ROW('Work Items'!$A$6)+1),120)),"")</f>
        <v/>
      </c>
      <c r="K124" s="217">
        <f t="array" ref="K124">IFERROR(INDEX('Work Items'!$Q$6:$Q$5000,SMALL(IF('Work Items'!$A$6:$A$5000="CR",ROW('Work Items'!$A$6:$A$5000)-ROW('Work Items'!$A$6)+1),120)),"")</f>
        <v/>
      </c>
      <c r="L124">
        <f t="array" ref="L124">IFERROR(INDEX('Work Items'!$N$6:$N$5000,SMALL(IF('Work Items'!$A$6:$A$5000="CR",ROW('Work Items'!$A$6:$A$5000)-ROW('Work Items'!$A$6)+1),120)),"")</f>
        <v/>
      </c>
      <c r="M124">
        <f t="array" ref="M124">IFERROR(INDEX('Work Items'!$O$6:$O$5000,SMALL(IF('Work Items'!$A$6:$A$5000="CR",ROW('Work Items'!$A$6:$A$5000)-ROW('Work Items'!$A$6)+1),120)),"")</f>
        <v/>
      </c>
    </row>
    <row r="125">
      <c r="A125">
        <f t="array" ref="A125">IFERROR(INDEX('Work Items'!$A$6:$A$5000,SMALL(IF('Work Items'!$A$6:$A$5000="CR",ROW('Work Items'!$A$6:$A$5000)-ROW('Work Items'!$A$6)+1),121)),"")</f>
        <v/>
      </c>
      <c r="B125">
        <f t="array" ref="B125">IFERROR(INDEX('Work Items'!$B$6:$B$5000,SMALL(IF('Work Items'!$A$6:$A$5000="CR",ROW('Work Items'!$A$6:$A$5000)-ROW('Work Items'!$A$6)+1),121)),"")</f>
        <v/>
      </c>
      <c r="C125">
        <f t="array" ref="C125">IFERROR(INDEX('Work Items'!$C$6:$C$5000,SMALL(IF('Work Items'!$A$6:$A$5000="CR",ROW('Work Items'!$A$6:$A$5000)-ROW('Work Items'!$A$6)+1),121)),"")</f>
        <v/>
      </c>
      <c r="D125">
        <f t="array" ref="D125">IFERROR(INDEX('Work Items'!$D$6:$D$5000,SMALL(IF('Work Items'!$A$6:$A$5000="CR",ROW('Work Items'!$A$6:$A$5000)-ROW('Work Items'!$A$6)+1),121)),"")</f>
        <v/>
      </c>
      <c r="E125">
        <f t="array" ref="E125">IFERROR(INDEX('Work Items'!$E$6:$E$5000,SMALL(IF('Work Items'!$A$6:$A$5000="CR",ROW('Work Items'!$A$6:$A$5000)-ROW('Work Items'!$A$6)+1),121)),"")</f>
        <v/>
      </c>
      <c r="F125">
        <f t="array" ref="F125">IFERROR(INDEX('Work Items'!$F$6:$F$5000,SMALL(IF('Work Items'!$A$6:$A$5000="CR",ROW('Work Items'!$A$6:$A$5000)-ROW('Work Items'!$A$6)+1),121)),"")</f>
        <v/>
      </c>
      <c r="G125">
        <f t="array" ref="G125">IFERROR(INDEX('Work Items'!$J$6:$J$5000,SMALL(IF('Work Items'!$A$6:$A$5000="CR",ROW('Work Items'!$A$6:$A$5000)-ROW('Work Items'!$A$6)+1),121)),"")</f>
        <v/>
      </c>
      <c r="H125">
        <f t="array" ref="H125">IFERROR(INDEX('Work Items'!$K$6:$K$5000,SMALL(IF('Work Items'!$A$6:$A$5000="CR",ROW('Work Items'!$A$6:$A$5000)-ROW('Work Items'!$A$6)+1),121)),"")</f>
        <v/>
      </c>
      <c r="I125">
        <f t="array" ref="I125">IFERROR(INDEX('Work Items'!$L$6:$L$5000,SMALL(IF('Work Items'!$A$6:$A$5000="CR",ROW('Work Items'!$A$6:$A$5000)-ROW('Work Items'!$A$6)+1),121)),"")</f>
        <v/>
      </c>
      <c r="J125" s="217">
        <f t="array" ref="J125">IFERROR(INDEX('Work Items'!$M$6:$M$5000,SMALL(IF('Work Items'!$A$6:$A$5000="CR",ROW('Work Items'!$A$6:$A$5000)-ROW('Work Items'!$A$6)+1),121)),"")</f>
        <v/>
      </c>
      <c r="K125" s="217">
        <f t="array" ref="K125">IFERROR(INDEX('Work Items'!$Q$6:$Q$5000,SMALL(IF('Work Items'!$A$6:$A$5000="CR",ROW('Work Items'!$A$6:$A$5000)-ROW('Work Items'!$A$6)+1),121)),"")</f>
        <v/>
      </c>
      <c r="L125">
        <f t="array" ref="L125">IFERROR(INDEX('Work Items'!$N$6:$N$5000,SMALL(IF('Work Items'!$A$6:$A$5000="CR",ROW('Work Items'!$A$6:$A$5000)-ROW('Work Items'!$A$6)+1),121)),"")</f>
        <v/>
      </c>
      <c r="M125">
        <f t="array" ref="M125">IFERROR(INDEX('Work Items'!$O$6:$O$5000,SMALL(IF('Work Items'!$A$6:$A$5000="CR",ROW('Work Items'!$A$6:$A$5000)-ROW('Work Items'!$A$6)+1),121)),"")</f>
        <v/>
      </c>
    </row>
    <row r="126">
      <c r="A126">
        <f t="array" ref="A126">IFERROR(INDEX('Work Items'!$A$6:$A$5000,SMALL(IF('Work Items'!$A$6:$A$5000="CR",ROW('Work Items'!$A$6:$A$5000)-ROW('Work Items'!$A$6)+1),122)),"")</f>
        <v/>
      </c>
      <c r="B126">
        <f t="array" ref="B126">IFERROR(INDEX('Work Items'!$B$6:$B$5000,SMALL(IF('Work Items'!$A$6:$A$5000="CR",ROW('Work Items'!$A$6:$A$5000)-ROW('Work Items'!$A$6)+1),122)),"")</f>
        <v/>
      </c>
      <c r="C126">
        <f t="array" ref="C126">IFERROR(INDEX('Work Items'!$C$6:$C$5000,SMALL(IF('Work Items'!$A$6:$A$5000="CR",ROW('Work Items'!$A$6:$A$5000)-ROW('Work Items'!$A$6)+1),122)),"")</f>
        <v/>
      </c>
      <c r="D126">
        <f t="array" ref="D126">IFERROR(INDEX('Work Items'!$D$6:$D$5000,SMALL(IF('Work Items'!$A$6:$A$5000="CR",ROW('Work Items'!$A$6:$A$5000)-ROW('Work Items'!$A$6)+1),122)),"")</f>
        <v/>
      </c>
      <c r="E126">
        <f t="array" ref="E126">IFERROR(INDEX('Work Items'!$E$6:$E$5000,SMALL(IF('Work Items'!$A$6:$A$5000="CR",ROW('Work Items'!$A$6:$A$5000)-ROW('Work Items'!$A$6)+1),122)),"")</f>
        <v/>
      </c>
      <c r="F126">
        <f t="array" ref="F126">IFERROR(INDEX('Work Items'!$F$6:$F$5000,SMALL(IF('Work Items'!$A$6:$A$5000="CR",ROW('Work Items'!$A$6:$A$5000)-ROW('Work Items'!$A$6)+1),122)),"")</f>
        <v/>
      </c>
      <c r="G126">
        <f t="array" ref="G126">IFERROR(INDEX('Work Items'!$J$6:$J$5000,SMALL(IF('Work Items'!$A$6:$A$5000="CR",ROW('Work Items'!$A$6:$A$5000)-ROW('Work Items'!$A$6)+1),122)),"")</f>
        <v/>
      </c>
      <c r="H126">
        <f t="array" ref="H126">IFERROR(INDEX('Work Items'!$K$6:$K$5000,SMALL(IF('Work Items'!$A$6:$A$5000="CR",ROW('Work Items'!$A$6:$A$5000)-ROW('Work Items'!$A$6)+1),122)),"")</f>
        <v/>
      </c>
      <c r="I126">
        <f t="array" ref="I126">IFERROR(INDEX('Work Items'!$L$6:$L$5000,SMALL(IF('Work Items'!$A$6:$A$5000="CR",ROW('Work Items'!$A$6:$A$5000)-ROW('Work Items'!$A$6)+1),122)),"")</f>
        <v/>
      </c>
      <c r="J126" s="217">
        <f t="array" ref="J126">IFERROR(INDEX('Work Items'!$M$6:$M$5000,SMALL(IF('Work Items'!$A$6:$A$5000="CR",ROW('Work Items'!$A$6:$A$5000)-ROW('Work Items'!$A$6)+1),122)),"")</f>
        <v/>
      </c>
      <c r="K126" s="217">
        <f t="array" ref="K126">IFERROR(INDEX('Work Items'!$Q$6:$Q$5000,SMALL(IF('Work Items'!$A$6:$A$5000="CR",ROW('Work Items'!$A$6:$A$5000)-ROW('Work Items'!$A$6)+1),122)),"")</f>
        <v/>
      </c>
      <c r="L126">
        <f t="array" ref="L126">IFERROR(INDEX('Work Items'!$N$6:$N$5000,SMALL(IF('Work Items'!$A$6:$A$5000="CR",ROW('Work Items'!$A$6:$A$5000)-ROW('Work Items'!$A$6)+1),122)),"")</f>
        <v/>
      </c>
      <c r="M126">
        <f t="array" ref="M126">IFERROR(INDEX('Work Items'!$O$6:$O$5000,SMALL(IF('Work Items'!$A$6:$A$5000="CR",ROW('Work Items'!$A$6:$A$5000)-ROW('Work Items'!$A$6)+1),122)),"")</f>
        <v/>
      </c>
    </row>
    <row r="127">
      <c r="A127">
        <f t="array" ref="A127">IFERROR(INDEX('Work Items'!$A$6:$A$5000,SMALL(IF('Work Items'!$A$6:$A$5000="CR",ROW('Work Items'!$A$6:$A$5000)-ROW('Work Items'!$A$6)+1),123)),"")</f>
        <v/>
      </c>
      <c r="B127">
        <f t="array" ref="B127">IFERROR(INDEX('Work Items'!$B$6:$B$5000,SMALL(IF('Work Items'!$A$6:$A$5000="CR",ROW('Work Items'!$A$6:$A$5000)-ROW('Work Items'!$A$6)+1),123)),"")</f>
        <v/>
      </c>
      <c r="C127">
        <f t="array" ref="C127">IFERROR(INDEX('Work Items'!$C$6:$C$5000,SMALL(IF('Work Items'!$A$6:$A$5000="CR",ROW('Work Items'!$A$6:$A$5000)-ROW('Work Items'!$A$6)+1),123)),"")</f>
        <v/>
      </c>
      <c r="D127">
        <f t="array" ref="D127">IFERROR(INDEX('Work Items'!$D$6:$D$5000,SMALL(IF('Work Items'!$A$6:$A$5000="CR",ROW('Work Items'!$A$6:$A$5000)-ROW('Work Items'!$A$6)+1),123)),"")</f>
        <v/>
      </c>
      <c r="E127">
        <f t="array" ref="E127">IFERROR(INDEX('Work Items'!$E$6:$E$5000,SMALL(IF('Work Items'!$A$6:$A$5000="CR",ROW('Work Items'!$A$6:$A$5000)-ROW('Work Items'!$A$6)+1),123)),"")</f>
        <v/>
      </c>
      <c r="F127">
        <f t="array" ref="F127">IFERROR(INDEX('Work Items'!$F$6:$F$5000,SMALL(IF('Work Items'!$A$6:$A$5000="CR",ROW('Work Items'!$A$6:$A$5000)-ROW('Work Items'!$A$6)+1),123)),"")</f>
        <v/>
      </c>
      <c r="G127">
        <f t="array" ref="G127">IFERROR(INDEX('Work Items'!$J$6:$J$5000,SMALL(IF('Work Items'!$A$6:$A$5000="CR",ROW('Work Items'!$A$6:$A$5000)-ROW('Work Items'!$A$6)+1),123)),"")</f>
        <v/>
      </c>
      <c r="H127">
        <f t="array" ref="H127">IFERROR(INDEX('Work Items'!$K$6:$K$5000,SMALL(IF('Work Items'!$A$6:$A$5000="CR",ROW('Work Items'!$A$6:$A$5000)-ROW('Work Items'!$A$6)+1),123)),"")</f>
        <v/>
      </c>
      <c r="I127">
        <f t="array" ref="I127">IFERROR(INDEX('Work Items'!$L$6:$L$5000,SMALL(IF('Work Items'!$A$6:$A$5000="CR",ROW('Work Items'!$A$6:$A$5000)-ROW('Work Items'!$A$6)+1),123)),"")</f>
        <v/>
      </c>
      <c r="J127" s="217">
        <f t="array" ref="J127">IFERROR(INDEX('Work Items'!$M$6:$M$5000,SMALL(IF('Work Items'!$A$6:$A$5000="CR",ROW('Work Items'!$A$6:$A$5000)-ROW('Work Items'!$A$6)+1),123)),"")</f>
        <v/>
      </c>
      <c r="K127" s="217">
        <f t="array" ref="K127">IFERROR(INDEX('Work Items'!$Q$6:$Q$5000,SMALL(IF('Work Items'!$A$6:$A$5000="CR",ROW('Work Items'!$A$6:$A$5000)-ROW('Work Items'!$A$6)+1),123)),"")</f>
        <v/>
      </c>
      <c r="L127">
        <f t="array" ref="L127">IFERROR(INDEX('Work Items'!$N$6:$N$5000,SMALL(IF('Work Items'!$A$6:$A$5000="CR",ROW('Work Items'!$A$6:$A$5000)-ROW('Work Items'!$A$6)+1),123)),"")</f>
        <v/>
      </c>
      <c r="M127">
        <f t="array" ref="M127">IFERROR(INDEX('Work Items'!$O$6:$O$5000,SMALL(IF('Work Items'!$A$6:$A$5000="CR",ROW('Work Items'!$A$6:$A$5000)-ROW('Work Items'!$A$6)+1),123)),"")</f>
        <v/>
      </c>
    </row>
    <row r="128">
      <c r="A128">
        <f t="array" ref="A128">IFERROR(INDEX('Work Items'!$A$6:$A$5000,SMALL(IF('Work Items'!$A$6:$A$5000="CR",ROW('Work Items'!$A$6:$A$5000)-ROW('Work Items'!$A$6)+1),124)),"")</f>
        <v/>
      </c>
      <c r="B128">
        <f t="array" ref="B128">IFERROR(INDEX('Work Items'!$B$6:$B$5000,SMALL(IF('Work Items'!$A$6:$A$5000="CR",ROW('Work Items'!$A$6:$A$5000)-ROW('Work Items'!$A$6)+1),124)),"")</f>
        <v/>
      </c>
      <c r="C128">
        <f t="array" ref="C128">IFERROR(INDEX('Work Items'!$C$6:$C$5000,SMALL(IF('Work Items'!$A$6:$A$5000="CR",ROW('Work Items'!$A$6:$A$5000)-ROW('Work Items'!$A$6)+1),124)),"")</f>
        <v/>
      </c>
      <c r="D128">
        <f t="array" ref="D128">IFERROR(INDEX('Work Items'!$D$6:$D$5000,SMALL(IF('Work Items'!$A$6:$A$5000="CR",ROW('Work Items'!$A$6:$A$5000)-ROW('Work Items'!$A$6)+1),124)),"")</f>
        <v/>
      </c>
      <c r="E128">
        <f t="array" ref="E128">IFERROR(INDEX('Work Items'!$E$6:$E$5000,SMALL(IF('Work Items'!$A$6:$A$5000="CR",ROW('Work Items'!$A$6:$A$5000)-ROW('Work Items'!$A$6)+1),124)),"")</f>
        <v/>
      </c>
      <c r="F128">
        <f t="array" ref="F128">IFERROR(INDEX('Work Items'!$F$6:$F$5000,SMALL(IF('Work Items'!$A$6:$A$5000="CR",ROW('Work Items'!$A$6:$A$5000)-ROW('Work Items'!$A$6)+1),124)),"")</f>
        <v/>
      </c>
      <c r="G128">
        <f t="array" ref="G128">IFERROR(INDEX('Work Items'!$J$6:$J$5000,SMALL(IF('Work Items'!$A$6:$A$5000="CR",ROW('Work Items'!$A$6:$A$5000)-ROW('Work Items'!$A$6)+1),124)),"")</f>
        <v/>
      </c>
      <c r="H128">
        <f t="array" ref="H128">IFERROR(INDEX('Work Items'!$K$6:$K$5000,SMALL(IF('Work Items'!$A$6:$A$5000="CR",ROW('Work Items'!$A$6:$A$5000)-ROW('Work Items'!$A$6)+1),124)),"")</f>
        <v/>
      </c>
      <c r="I128">
        <f t="array" ref="I128">IFERROR(INDEX('Work Items'!$L$6:$L$5000,SMALL(IF('Work Items'!$A$6:$A$5000="CR",ROW('Work Items'!$A$6:$A$5000)-ROW('Work Items'!$A$6)+1),124)),"")</f>
        <v/>
      </c>
      <c r="J128" s="217">
        <f t="array" ref="J128">IFERROR(INDEX('Work Items'!$M$6:$M$5000,SMALL(IF('Work Items'!$A$6:$A$5000="CR",ROW('Work Items'!$A$6:$A$5000)-ROW('Work Items'!$A$6)+1),124)),"")</f>
        <v/>
      </c>
      <c r="K128" s="217">
        <f t="array" ref="K128">IFERROR(INDEX('Work Items'!$Q$6:$Q$5000,SMALL(IF('Work Items'!$A$6:$A$5000="CR",ROW('Work Items'!$A$6:$A$5000)-ROW('Work Items'!$A$6)+1),124)),"")</f>
        <v/>
      </c>
      <c r="L128">
        <f t="array" ref="L128">IFERROR(INDEX('Work Items'!$N$6:$N$5000,SMALL(IF('Work Items'!$A$6:$A$5000="CR",ROW('Work Items'!$A$6:$A$5000)-ROW('Work Items'!$A$6)+1),124)),"")</f>
        <v/>
      </c>
      <c r="M128">
        <f t="array" ref="M128">IFERROR(INDEX('Work Items'!$O$6:$O$5000,SMALL(IF('Work Items'!$A$6:$A$5000="CR",ROW('Work Items'!$A$6:$A$5000)-ROW('Work Items'!$A$6)+1),124)),"")</f>
        <v/>
      </c>
    </row>
    <row r="129">
      <c r="A129">
        <f t="array" ref="A129">IFERROR(INDEX('Work Items'!$A$6:$A$5000,SMALL(IF('Work Items'!$A$6:$A$5000="CR",ROW('Work Items'!$A$6:$A$5000)-ROW('Work Items'!$A$6)+1),125)),"")</f>
        <v/>
      </c>
      <c r="B129">
        <f t="array" ref="B129">IFERROR(INDEX('Work Items'!$B$6:$B$5000,SMALL(IF('Work Items'!$A$6:$A$5000="CR",ROW('Work Items'!$A$6:$A$5000)-ROW('Work Items'!$A$6)+1),125)),"")</f>
        <v/>
      </c>
      <c r="C129">
        <f t="array" ref="C129">IFERROR(INDEX('Work Items'!$C$6:$C$5000,SMALL(IF('Work Items'!$A$6:$A$5000="CR",ROW('Work Items'!$A$6:$A$5000)-ROW('Work Items'!$A$6)+1),125)),"")</f>
        <v/>
      </c>
      <c r="D129">
        <f t="array" ref="D129">IFERROR(INDEX('Work Items'!$D$6:$D$5000,SMALL(IF('Work Items'!$A$6:$A$5000="CR",ROW('Work Items'!$A$6:$A$5000)-ROW('Work Items'!$A$6)+1),125)),"")</f>
        <v/>
      </c>
      <c r="E129">
        <f t="array" ref="E129">IFERROR(INDEX('Work Items'!$E$6:$E$5000,SMALL(IF('Work Items'!$A$6:$A$5000="CR",ROW('Work Items'!$A$6:$A$5000)-ROW('Work Items'!$A$6)+1),125)),"")</f>
        <v/>
      </c>
      <c r="F129">
        <f t="array" ref="F129">IFERROR(INDEX('Work Items'!$F$6:$F$5000,SMALL(IF('Work Items'!$A$6:$A$5000="CR",ROW('Work Items'!$A$6:$A$5000)-ROW('Work Items'!$A$6)+1),125)),"")</f>
        <v/>
      </c>
      <c r="G129">
        <f t="array" ref="G129">IFERROR(INDEX('Work Items'!$J$6:$J$5000,SMALL(IF('Work Items'!$A$6:$A$5000="CR",ROW('Work Items'!$A$6:$A$5000)-ROW('Work Items'!$A$6)+1),125)),"")</f>
        <v/>
      </c>
      <c r="H129">
        <f t="array" ref="H129">IFERROR(INDEX('Work Items'!$K$6:$K$5000,SMALL(IF('Work Items'!$A$6:$A$5000="CR",ROW('Work Items'!$A$6:$A$5000)-ROW('Work Items'!$A$6)+1),125)),"")</f>
        <v/>
      </c>
      <c r="I129">
        <f t="array" ref="I129">IFERROR(INDEX('Work Items'!$L$6:$L$5000,SMALL(IF('Work Items'!$A$6:$A$5000="CR",ROW('Work Items'!$A$6:$A$5000)-ROW('Work Items'!$A$6)+1),125)),"")</f>
        <v/>
      </c>
      <c r="J129" s="217">
        <f t="array" ref="J129">IFERROR(INDEX('Work Items'!$M$6:$M$5000,SMALL(IF('Work Items'!$A$6:$A$5000="CR",ROW('Work Items'!$A$6:$A$5000)-ROW('Work Items'!$A$6)+1),125)),"")</f>
        <v/>
      </c>
      <c r="K129" s="217">
        <f t="array" ref="K129">IFERROR(INDEX('Work Items'!$Q$6:$Q$5000,SMALL(IF('Work Items'!$A$6:$A$5000="CR",ROW('Work Items'!$A$6:$A$5000)-ROW('Work Items'!$A$6)+1),125)),"")</f>
        <v/>
      </c>
      <c r="L129">
        <f t="array" ref="L129">IFERROR(INDEX('Work Items'!$N$6:$N$5000,SMALL(IF('Work Items'!$A$6:$A$5000="CR",ROW('Work Items'!$A$6:$A$5000)-ROW('Work Items'!$A$6)+1),125)),"")</f>
        <v/>
      </c>
      <c r="M129">
        <f t="array" ref="M129">IFERROR(INDEX('Work Items'!$O$6:$O$5000,SMALL(IF('Work Items'!$A$6:$A$5000="CR",ROW('Work Items'!$A$6:$A$5000)-ROW('Work Items'!$A$6)+1),125)),"")</f>
        <v/>
      </c>
    </row>
    <row r="130">
      <c r="A130">
        <f t="array" ref="A130">IFERROR(INDEX('Work Items'!$A$6:$A$5000,SMALL(IF('Work Items'!$A$6:$A$5000="CR",ROW('Work Items'!$A$6:$A$5000)-ROW('Work Items'!$A$6)+1),126)),"")</f>
        <v/>
      </c>
      <c r="B130">
        <f t="array" ref="B130">IFERROR(INDEX('Work Items'!$B$6:$B$5000,SMALL(IF('Work Items'!$A$6:$A$5000="CR",ROW('Work Items'!$A$6:$A$5000)-ROW('Work Items'!$A$6)+1),126)),"")</f>
        <v/>
      </c>
      <c r="C130">
        <f t="array" ref="C130">IFERROR(INDEX('Work Items'!$C$6:$C$5000,SMALL(IF('Work Items'!$A$6:$A$5000="CR",ROW('Work Items'!$A$6:$A$5000)-ROW('Work Items'!$A$6)+1),126)),"")</f>
        <v/>
      </c>
      <c r="D130">
        <f t="array" ref="D130">IFERROR(INDEX('Work Items'!$D$6:$D$5000,SMALL(IF('Work Items'!$A$6:$A$5000="CR",ROW('Work Items'!$A$6:$A$5000)-ROW('Work Items'!$A$6)+1),126)),"")</f>
        <v/>
      </c>
      <c r="E130">
        <f t="array" ref="E130">IFERROR(INDEX('Work Items'!$E$6:$E$5000,SMALL(IF('Work Items'!$A$6:$A$5000="CR",ROW('Work Items'!$A$6:$A$5000)-ROW('Work Items'!$A$6)+1),126)),"")</f>
        <v/>
      </c>
      <c r="F130">
        <f t="array" ref="F130">IFERROR(INDEX('Work Items'!$F$6:$F$5000,SMALL(IF('Work Items'!$A$6:$A$5000="CR",ROW('Work Items'!$A$6:$A$5000)-ROW('Work Items'!$A$6)+1),126)),"")</f>
        <v/>
      </c>
      <c r="G130">
        <f t="array" ref="G130">IFERROR(INDEX('Work Items'!$J$6:$J$5000,SMALL(IF('Work Items'!$A$6:$A$5000="CR",ROW('Work Items'!$A$6:$A$5000)-ROW('Work Items'!$A$6)+1),126)),"")</f>
        <v/>
      </c>
      <c r="H130">
        <f t="array" ref="H130">IFERROR(INDEX('Work Items'!$K$6:$K$5000,SMALL(IF('Work Items'!$A$6:$A$5000="CR",ROW('Work Items'!$A$6:$A$5000)-ROW('Work Items'!$A$6)+1),126)),"")</f>
        <v/>
      </c>
      <c r="I130">
        <f t="array" ref="I130">IFERROR(INDEX('Work Items'!$L$6:$L$5000,SMALL(IF('Work Items'!$A$6:$A$5000="CR",ROW('Work Items'!$A$6:$A$5000)-ROW('Work Items'!$A$6)+1),126)),"")</f>
        <v/>
      </c>
      <c r="J130" s="217">
        <f t="array" ref="J130">IFERROR(INDEX('Work Items'!$M$6:$M$5000,SMALL(IF('Work Items'!$A$6:$A$5000="CR",ROW('Work Items'!$A$6:$A$5000)-ROW('Work Items'!$A$6)+1),126)),"")</f>
        <v/>
      </c>
      <c r="K130" s="217">
        <f t="array" ref="K130">IFERROR(INDEX('Work Items'!$Q$6:$Q$5000,SMALL(IF('Work Items'!$A$6:$A$5000="CR",ROW('Work Items'!$A$6:$A$5000)-ROW('Work Items'!$A$6)+1),126)),"")</f>
        <v/>
      </c>
      <c r="L130">
        <f t="array" ref="L130">IFERROR(INDEX('Work Items'!$N$6:$N$5000,SMALL(IF('Work Items'!$A$6:$A$5000="CR",ROW('Work Items'!$A$6:$A$5000)-ROW('Work Items'!$A$6)+1),126)),"")</f>
        <v/>
      </c>
      <c r="M130">
        <f t="array" ref="M130">IFERROR(INDEX('Work Items'!$O$6:$O$5000,SMALL(IF('Work Items'!$A$6:$A$5000="CR",ROW('Work Items'!$A$6:$A$5000)-ROW('Work Items'!$A$6)+1),126)),"")</f>
        <v/>
      </c>
    </row>
    <row r="131">
      <c r="A131">
        <f t="array" ref="A131">IFERROR(INDEX('Work Items'!$A$6:$A$5000,SMALL(IF('Work Items'!$A$6:$A$5000="CR",ROW('Work Items'!$A$6:$A$5000)-ROW('Work Items'!$A$6)+1),127)),"")</f>
        <v/>
      </c>
      <c r="B131">
        <f t="array" ref="B131">IFERROR(INDEX('Work Items'!$B$6:$B$5000,SMALL(IF('Work Items'!$A$6:$A$5000="CR",ROW('Work Items'!$A$6:$A$5000)-ROW('Work Items'!$A$6)+1),127)),"")</f>
        <v/>
      </c>
      <c r="C131">
        <f t="array" ref="C131">IFERROR(INDEX('Work Items'!$C$6:$C$5000,SMALL(IF('Work Items'!$A$6:$A$5000="CR",ROW('Work Items'!$A$6:$A$5000)-ROW('Work Items'!$A$6)+1),127)),"")</f>
        <v/>
      </c>
      <c r="D131">
        <f t="array" ref="D131">IFERROR(INDEX('Work Items'!$D$6:$D$5000,SMALL(IF('Work Items'!$A$6:$A$5000="CR",ROW('Work Items'!$A$6:$A$5000)-ROW('Work Items'!$A$6)+1),127)),"")</f>
        <v/>
      </c>
      <c r="E131">
        <f t="array" ref="E131">IFERROR(INDEX('Work Items'!$E$6:$E$5000,SMALL(IF('Work Items'!$A$6:$A$5000="CR",ROW('Work Items'!$A$6:$A$5000)-ROW('Work Items'!$A$6)+1),127)),"")</f>
        <v/>
      </c>
      <c r="F131">
        <f t="array" ref="F131">IFERROR(INDEX('Work Items'!$F$6:$F$5000,SMALL(IF('Work Items'!$A$6:$A$5000="CR",ROW('Work Items'!$A$6:$A$5000)-ROW('Work Items'!$A$6)+1),127)),"")</f>
        <v/>
      </c>
      <c r="G131">
        <f t="array" ref="G131">IFERROR(INDEX('Work Items'!$J$6:$J$5000,SMALL(IF('Work Items'!$A$6:$A$5000="CR",ROW('Work Items'!$A$6:$A$5000)-ROW('Work Items'!$A$6)+1),127)),"")</f>
        <v/>
      </c>
      <c r="H131">
        <f t="array" ref="H131">IFERROR(INDEX('Work Items'!$K$6:$K$5000,SMALL(IF('Work Items'!$A$6:$A$5000="CR",ROW('Work Items'!$A$6:$A$5000)-ROW('Work Items'!$A$6)+1),127)),"")</f>
        <v/>
      </c>
      <c r="I131">
        <f t="array" ref="I131">IFERROR(INDEX('Work Items'!$L$6:$L$5000,SMALL(IF('Work Items'!$A$6:$A$5000="CR",ROW('Work Items'!$A$6:$A$5000)-ROW('Work Items'!$A$6)+1),127)),"")</f>
        <v/>
      </c>
      <c r="J131" s="217">
        <f t="array" ref="J131">IFERROR(INDEX('Work Items'!$M$6:$M$5000,SMALL(IF('Work Items'!$A$6:$A$5000="CR",ROW('Work Items'!$A$6:$A$5000)-ROW('Work Items'!$A$6)+1),127)),"")</f>
        <v/>
      </c>
      <c r="K131" s="217">
        <f t="array" ref="K131">IFERROR(INDEX('Work Items'!$Q$6:$Q$5000,SMALL(IF('Work Items'!$A$6:$A$5000="CR",ROW('Work Items'!$A$6:$A$5000)-ROW('Work Items'!$A$6)+1),127)),"")</f>
        <v/>
      </c>
      <c r="L131">
        <f t="array" ref="L131">IFERROR(INDEX('Work Items'!$N$6:$N$5000,SMALL(IF('Work Items'!$A$6:$A$5000="CR",ROW('Work Items'!$A$6:$A$5000)-ROW('Work Items'!$A$6)+1),127)),"")</f>
        <v/>
      </c>
      <c r="M131">
        <f t="array" ref="M131">IFERROR(INDEX('Work Items'!$O$6:$O$5000,SMALL(IF('Work Items'!$A$6:$A$5000="CR",ROW('Work Items'!$A$6:$A$5000)-ROW('Work Items'!$A$6)+1),127)),"")</f>
        <v/>
      </c>
    </row>
    <row r="132">
      <c r="A132">
        <f t="array" ref="A132">IFERROR(INDEX('Work Items'!$A$6:$A$5000,SMALL(IF('Work Items'!$A$6:$A$5000="CR",ROW('Work Items'!$A$6:$A$5000)-ROW('Work Items'!$A$6)+1),128)),"")</f>
        <v/>
      </c>
      <c r="B132">
        <f t="array" ref="B132">IFERROR(INDEX('Work Items'!$B$6:$B$5000,SMALL(IF('Work Items'!$A$6:$A$5000="CR",ROW('Work Items'!$A$6:$A$5000)-ROW('Work Items'!$A$6)+1),128)),"")</f>
        <v/>
      </c>
      <c r="C132">
        <f t="array" ref="C132">IFERROR(INDEX('Work Items'!$C$6:$C$5000,SMALL(IF('Work Items'!$A$6:$A$5000="CR",ROW('Work Items'!$A$6:$A$5000)-ROW('Work Items'!$A$6)+1),128)),"")</f>
        <v/>
      </c>
      <c r="D132">
        <f t="array" ref="D132">IFERROR(INDEX('Work Items'!$D$6:$D$5000,SMALL(IF('Work Items'!$A$6:$A$5000="CR",ROW('Work Items'!$A$6:$A$5000)-ROW('Work Items'!$A$6)+1),128)),"")</f>
        <v/>
      </c>
      <c r="E132">
        <f t="array" ref="E132">IFERROR(INDEX('Work Items'!$E$6:$E$5000,SMALL(IF('Work Items'!$A$6:$A$5000="CR",ROW('Work Items'!$A$6:$A$5000)-ROW('Work Items'!$A$6)+1),128)),"")</f>
        <v/>
      </c>
      <c r="F132">
        <f t="array" ref="F132">IFERROR(INDEX('Work Items'!$F$6:$F$5000,SMALL(IF('Work Items'!$A$6:$A$5000="CR",ROW('Work Items'!$A$6:$A$5000)-ROW('Work Items'!$A$6)+1),128)),"")</f>
        <v/>
      </c>
      <c r="G132">
        <f t="array" ref="G132">IFERROR(INDEX('Work Items'!$J$6:$J$5000,SMALL(IF('Work Items'!$A$6:$A$5000="CR",ROW('Work Items'!$A$6:$A$5000)-ROW('Work Items'!$A$6)+1),128)),"")</f>
        <v/>
      </c>
      <c r="H132">
        <f t="array" ref="H132">IFERROR(INDEX('Work Items'!$K$6:$K$5000,SMALL(IF('Work Items'!$A$6:$A$5000="CR",ROW('Work Items'!$A$6:$A$5000)-ROW('Work Items'!$A$6)+1),128)),"")</f>
        <v/>
      </c>
      <c r="I132">
        <f t="array" ref="I132">IFERROR(INDEX('Work Items'!$L$6:$L$5000,SMALL(IF('Work Items'!$A$6:$A$5000="CR",ROW('Work Items'!$A$6:$A$5000)-ROW('Work Items'!$A$6)+1),128)),"")</f>
        <v/>
      </c>
      <c r="J132" s="217">
        <f t="array" ref="J132">IFERROR(INDEX('Work Items'!$M$6:$M$5000,SMALL(IF('Work Items'!$A$6:$A$5000="CR",ROW('Work Items'!$A$6:$A$5000)-ROW('Work Items'!$A$6)+1),128)),"")</f>
        <v/>
      </c>
      <c r="K132" s="217">
        <f t="array" ref="K132">IFERROR(INDEX('Work Items'!$Q$6:$Q$5000,SMALL(IF('Work Items'!$A$6:$A$5000="CR",ROW('Work Items'!$A$6:$A$5000)-ROW('Work Items'!$A$6)+1),128)),"")</f>
        <v/>
      </c>
      <c r="L132">
        <f t="array" ref="L132">IFERROR(INDEX('Work Items'!$N$6:$N$5000,SMALL(IF('Work Items'!$A$6:$A$5000="CR",ROW('Work Items'!$A$6:$A$5000)-ROW('Work Items'!$A$6)+1),128)),"")</f>
        <v/>
      </c>
      <c r="M132">
        <f t="array" ref="M132">IFERROR(INDEX('Work Items'!$O$6:$O$5000,SMALL(IF('Work Items'!$A$6:$A$5000="CR",ROW('Work Items'!$A$6:$A$5000)-ROW('Work Items'!$A$6)+1),128)),"")</f>
        <v/>
      </c>
    </row>
    <row r="133">
      <c r="A133">
        <f t="array" ref="A133">IFERROR(INDEX('Work Items'!$A$6:$A$5000,SMALL(IF('Work Items'!$A$6:$A$5000="CR",ROW('Work Items'!$A$6:$A$5000)-ROW('Work Items'!$A$6)+1),129)),"")</f>
        <v/>
      </c>
      <c r="B133">
        <f t="array" ref="B133">IFERROR(INDEX('Work Items'!$B$6:$B$5000,SMALL(IF('Work Items'!$A$6:$A$5000="CR",ROW('Work Items'!$A$6:$A$5000)-ROW('Work Items'!$A$6)+1),129)),"")</f>
        <v/>
      </c>
      <c r="C133">
        <f t="array" ref="C133">IFERROR(INDEX('Work Items'!$C$6:$C$5000,SMALL(IF('Work Items'!$A$6:$A$5000="CR",ROW('Work Items'!$A$6:$A$5000)-ROW('Work Items'!$A$6)+1),129)),"")</f>
        <v/>
      </c>
      <c r="D133">
        <f t="array" ref="D133">IFERROR(INDEX('Work Items'!$D$6:$D$5000,SMALL(IF('Work Items'!$A$6:$A$5000="CR",ROW('Work Items'!$A$6:$A$5000)-ROW('Work Items'!$A$6)+1),129)),"")</f>
        <v/>
      </c>
      <c r="E133">
        <f t="array" ref="E133">IFERROR(INDEX('Work Items'!$E$6:$E$5000,SMALL(IF('Work Items'!$A$6:$A$5000="CR",ROW('Work Items'!$A$6:$A$5000)-ROW('Work Items'!$A$6)+1),129)),"")</f>
        <v/>
      </c>
      <c r="F133">
        <f t="array" ref="F133">IFERROR(INDEX('Work Items'!$F$6:$F$5000,SMALL(IF('Work Items'!$A$6:$A$5000="CR",ROW('Work Items'!$A$6:$A$5000)-ROW('Work Items'!$A$6)+1),129)),"")</f>
        <v/>
      </c>
      <c r="G133">
        <f t="array" ref="G133">IFERROR(INDEX('Work Items'!$J$6:$J$5000,SMALL(IF('Work Items'!$A$6:$A$5000="CR",ROW('Work Items'!$A$6:$A$5000)-ROW('Work Items'!$A$6)+1),129)),"")</f>
        <v/>
      </c>
      <c r="H133">
        <f t="array" ref="H133">IFERROR(INDEX('Work Items'!$K$6:$K$5000,SMALL(IF('Work Items'!$A$6:$A$5000="CR",ROW('Work Items'!$A$6:$A$5000)-ROW('Work Items'!$A$6)+1),129)),"")</f>
        <v/>
      </c>
      <c r="I133">
        <f t="array" ref="I133">IFERROR(INDEX('Work Items'!$L$6:$L$5000,SMALL(IF('Work Items'!$A$6:$A$5000="CR",ROW('Work Items'!$A$6:$A$5000)-ROW('Work Items'!$A$6)+1),129)),"")</f>
        <v/>
      </c>
      <c r="J133" s="217">
        <f t="array" ref="J133">IFERROR(INDEX('Work Items'!$M$6:$M$5000,SMALL(IF('Work Items'!$A$6:$A$5000="CR",ROW('Work Items'!$A$6:$A$5000)-ROW('Work Items'!$A$6)+1),129)),"")</f>
        <v/>
      </c>
      <c r="K133" s="217">
        <f t="array" ref="K133">IFERROR(INDEX('Work Items'!$Q$6:$Q$5000,SMALL(IF('Work Items'!$A$6:$A$5000="CR",ROW('Work Items'!$A$6:$A$5000)-ROW('Work Items'!$A$6)+1),129)),"")</f>
        <v/>
      </c>
      <c r="L133">
        <f t="array" ref="L133">IFERROR(INDEX('Work Items'!$N$6:$N$5000,SMALL(IF('Work Items'!$A$6:$A$5000="CR",ROW('Work Items'!$A$6:$A$5000)-ROW('Work Items'!$A$6)+1),129)),"")</f>
        <v/>
      </c>
      <c r="M133">
        <f t="array" ref="M133">IFERROR(INDEX('Work Items'!$O$6:$O$5000,SMALL(IF('Work Items'!$A$6:$A$5000="CR",ROW('Work Items'!$A$6:$A$5000)-ROW('Work Items'!$A$6)+1),129)),"")</f>
        <v/>
      </c>
    </row>
    <row r="134">
      <c r="A134">
        <f t="array" ref="A134">IFERROR(INDEX('Work Items'!$A$6:$A$5000,SMALL(IF('Work Items'!$A$6:$A$5000="CR",ROW('Work Items'!$A$6:$A$5000)-ROW('Work Items'!$A$6)+1),130)),"")</f>
        <v/>
      </c>
      <c r="B134">
        <f t="array" ref="B134">IFERROR(INDEX('Work Items'!$B$6:$B$5000,SMALL(IF('Work Items'!$A$6:$A$5000="CR",ROW('Work Items'!$A$6:$A$5000)-ROW('Work Items'!$A$6)+1),130)),"")</f>
        <v/>
      </c>
      <c r="C134">
        <f t="array" ref="C134">IFERROR(INDEX('Work Items'!$C$6:$C$5000,SMALL(IF('Work Items'!$A$6:$A$5000="CR",ROW('Work Items'!$A$6:$A$5000)-ROW('Work Items'!$A$6)+1),130)),"")</f>
        <v/>
      </c>
      <c r="D134">
        <f t="array" ref="D134">IFERROR(INDEX('Work Items'!$D$6:$D$5000,SMALL(IF('Work Items'!$A$6:$A$5000="CR",ROW('Work Items'!$A$6:$A$5000)-ROW('Work Items'!$A$6)+1),130)),"")</f>
        <v/>
      </c>
      <c r="E134">
        <f t="array" ref="E134">IFERROR(INDEX('Work Items'!$E$6:$E$5000,SMALL(IF('Work Items'!$A$6:$A$5000="CR",ROW('Work Items'!$A$6:$A$5000)-ROW('Work Items'!$A$6)+1),130)),"")</f>
        <v/>
      </c>
      <c r="F134">
        <f t="array" ref="F134">IFERROR(INDEX('Work Items'!$F$6:$F$5000,SMALL(IF('Work Items'!$A$6:$A$5000="CR",ROW('Work Items'!$A$6:$A$5000)-ROW('Work Items'!$A$6)+1),130)),"")</f>
        <v/>
      </c>
      <c r="G134">
        <f t="array" ref="G134">IFERROR(INDEX('Work Items'!$J$6:$J$5000,SMALL(IF('Work Items'!$A$6:$A$5000="CR",ROW('Work Items'!$A$6:$A$5000)-ROW('Work Items'!$A$6)+1),130)),"")</f>
        <v/>
      </c>
      <c r="H134">
        <f t="array" ref="H134">IFERROR(INDEX('Work Items'!$K$6:$K$5000,SMALL(IF('Work Items'!$A$6:$A$5000="CR",ROW('Work Items'!$A$6:$A$5000)-ROW('Work Items'!$A$6)+1),130)),"")</f>
        <v/>
      </c>
      <c r="I134">
        <f t="array" ref="I134">IFERROR(INDEX('Work Items'!$L$6:$L$5000,SMALL(IF('Work Items'!$A$6:$A$5000="CR",ROW('Work Items'!$A$6:$A$5000)-ROW('Work Items'!$A$6)+1),130)),"")</f>
        <v/>
      </c>
      <c r="J134" s="217">
        <f t="array" ref="J134">IFERROR(INDEX('Work Items'!$M$6:$M$5000,SMALL(IF('Work Items'!$A$6:$A$5000="CR",ROW('Work Items'!$A$6:$A$5000)-ROW('Work Items'!$A$6)+1),130)),"")</f>
        <v/>
      </c>
      <c r="K134" s="217">
        <f t="array" ref="K134">IFERROR(INDEX('Work Items'!$Q$6:$Q$5000,SMALL(IF('Work Items'!$A$6:$A$5000="CR",ROW('Work Items'!$A$6:$A$5000)-ROW('Work Items'!$A$6)+1),130)),"")</f>
        <v/>
      </c>
      <c r="L134">
        <f t="array" ref="L134">IFERROR(INDEX('Work Items'!$N$6:$N$5000,SMALL(IF('Work Items'!$A$6:$A$5000="CR",ROW('Work Items'!$A$6:$A$5000)-ROW('Work Items'!$A$6)+1),130)),"")</f>
        <v/>
      </c>
      <c r="M134">
        <f t="array" ref="M134">IFERROR(INDEX('Work Items'!$O$6:$O$5000,SMALL(IF('Work Items'!$A$6:$A$5000="CR",ROW('Work Items'!$A$6:$A$5000)-ROW('Work Items'!$A$6)+1),130)),"")</f>
        <v/>
      </c>
    </row>
    <row r="135">
      <c r="A135">
        <f t="array" ref="A135">IFERROR(INDEX('Work Items'!$A$6:$A$5000,SMALL(IF('Work Items'!$A$6:$A$5000="CR",ROW('Work Items'!$A$6:$A$5000)-ROW('Work Items'!$A$6)+1),131)),"")</f>
        <v/>
      </c>
      <c r="B135">
        <f t="array" ref="B135">IFERROR(INDEX('Work Items'!$B$6:$B$5000,SMALL(IF('Work Items'!$A$6:$A$5000="CR",ROW('Work Items'!$A$6:$A$5000)-ROW('Work Items'!$A$6)+1),131)),"")</f>
        <v/>
      </c>
      <c r="C135">
        <f t="array" ref="C135">IFERROR(INDEX('Work Items'!$C$6:$C$5000,SMALL(IF('Work Items'!$A$6:$A$5000="CR",ROW('Work Items'!$A$6:$A$5000)-ROW('Work Items'!$A$6)+1),131)),"")</f>
        <v/>
      </c>
      <c r="D135">
        <f t="array" ref="D135">IFERROR(INDEX('Work Items'!$D$6:$D$5000,SMALL(IF('Work Items'!$A$6:$A$5000="CR",ROW('Work Items'!$A$6:$A$5000)-ROW('Work Items'!$A$6)+1),131)),"")</f>
        <v/>
      </c>
      <c r="E135">
        <f t="array" ref="E135">IFERROR(INDEX('Work Items'!$E$6:$E$5000,SMALL(IF('Work Items'!$A$6:$A$5000="CR",ROW('Work Items'!$A$6:$A$5000)-ROW('Work Items'!$A$6)+1),131)),"")</f>
        <v/>
      </c>
      <c r="F135">
        <f t="array" ref="F135">IFERROR(INDEX('Work Items'!$F$6:$F$5000,SMALL(IF('Work Items'!$A$6:$A$5000="CR",ROW('Work Items'!$A$6:$A$5000)-ROW('Work Items'!$A$6)+1),131)),"")</f>
        <v/>
      </c>
      <c r="G135">
        <f t="array" ref="G135">IFERROR(INDEX('Work Items'!$J$6:$J$5000,SMALL(IF('Work Items'!$A$6:$A$5000="CR",ROW('Work Items'!$A$6:$A$5000)-ROW('Work Items'!$A$6)+1),131)),"")</f>
        <v/>
      </c>
      <c r="H135">
        <f t="array" ref="H135">IFERROR(INDEX('Work Items'!$K$6:$K$5000,SMALL(IF('Work Items'!$A$6:$A$5000="CR",ROW('Work Items'!$A$6:$A$5000)-ROW('Work Items'!$A$6)+1),131)),"")</f>
        <v/>
      </c>
      <c r="I135">
        <f t="array" ref="I135">IFERROR(INDEX('Work Items'!$L$6:$L$5000,SMALL(IF('Work Items'!$A$6:$A$5000="CR",ROW('Work Items'!$A$6:$A$5000)-ROW('Work Items'!$A$6)+1),131)),"")</f>
        <v/>
      </c>
      <c r="J135" s="217">
        <f t="array" ref="J135">IFERROR(INDEX('Work Items'!$M$6:$M$5000,SMALL(IF('Work Items'!$A$6:$A$5000="CR",ROW('Work Items'!$A$6:$A$5000)-ROW('Work Items'!$A$6)+1),131)),"")</f>
        <v/>
      </c>
      <c r="K135" s="217">
        <f t="array" ref="K135">IFERROR(INDEX('Work Items'!$Q$6:$Q$5000,SMALL(IF('Work Items'!$A$6:$A$5000="CR",ROW('Work Items'!$A$6:$A$5000)-ROW('Work Items'!$A$6)+1),131)),"")</f>
        <v/>
      </c>
      <c r="L135">
        <f t="array" ref="L135">IFERROR(INDEX('Work Items'!$N$6:$N$5000,SMALL(IF('Work Items'!$A$6:$A$5000="CR",ROW('Work Items'!$A$6:$A$5000)-ROW('Work Items'!$A$6)+1),131)),"")</f>
        <v/>
      </c>
      <c r="M135">
        <f t="array" ref="M135">IFERROR(INDEX('Work Items'!$O$6:$O$5000,SMALL(IF('Work Items'!$A$6:$A$5000="CR",ROW('Work Items'!$A$6:$A$5000)-ROW('Work Items'!$A$6)+1),131)),"")</f>
        <v/>
      </c>
    </row>
    <row r="136">
      <c r="A136">
        <f t="array" ref="A136">IFERROR(INDEX('Work Items'!$A$6:$A$5000,SMALL(IF('Work Items'!$A$6:$A$5000="CR",ROW('Work Items'!$A$6:$A$5000)-ROW('Work Items'!$A$6)+1),132)),"")</f>
        <v/>
      </c>
      <c r="B136">
        <f t="array" ref="B136">IFERROR(INDEX('Work Items'!$B$6:$B$5000,SMALL(IF('Work Items'!$A$6:$A$5000="CR",ROW('Work Items'!$A$6:$A$5000)-ROW('Work Items'!$A$6)+1),132)),"")</f>
        <v/>
      </c>
      <c r="C136">
        <f t="array" ref="C136">IFERROR(INDEX('Work Items'!$C$6:$C$5000,SMALL(IF('Work Items'!$A$6:$A$5000="CR",ROW('Work Items'!$A$6:$A$5000)-ROW('Work Items'!$A$6)+1),132)),"")</f>
        <v/>
      </c>
      <c r="D136">
        <f t="array" ref="D136">IFERROR(INDEX('Work Items'!$D$6:$D$5000,SMALL(IF('Work Items'!$A$6:$A$5000="CR",ROW('Work Items'!$A$6:$A$5000)-ROW('Work Items'!$A$6)+1),132)),"")</f>
        <v/>
      </c>
      <c r="E136">
        <f t="array" ref="E136">IFERROR(INDEX('Work Items'!$E$6:$E$5000,SMALL(IF('Work Items'!$A$6:$A$5000="CR",ROW('Work Items'!$A$6:$A$5000)-ROW('Work Items'!$A$6)+1),132)),"")</f>
        <v/>
      </c>
      <c r="F136">
        <f t="array" ref="F136">IFERROR(INDEX('Work Items'!$F$6:$F$5000,SMALL(IF('Work Items'!$A$6:$A$5000="CR",ROW('Work Items'!$A$6:$A$5000)-ROW('Work Items'!$A$6)+1),132)),"")</f>
        <v/>
      </c>
      <c r="G136">
        <f t="array" ref="G136">IFERROR(INDEX('Work Items'!$J$6:$J$5000,SMALL(IF('Work Items'!$A$6:$A$5000="CR",ROW('Work Items'!$A$6:$A$5000)-ROW('Work Items'!$A$6)+1),132)),"")</f>
        <v/>
      </c>
      <c r="H136">
        <f t="array" ref="H136">IFERROR(INDEX('Work Items'!$K$6:$K$5000,SMALL(IF('Work Items'!$A$6:$A$5000="CR",ROW('Work Items'!$A$6:$A$5000)-ROW('Work Items'!$A$6)+1),132)),"")</f>
        <v/>
      </c>
      <c r="I136">
        <f t="array" ref="I136">IFERROR(INDEX('Work Items'!$L$6:$L$5000,SMALL(IF('Work Items'!$A$6:$A$5000="CR",ROW('Work Items'!$A$6:$A$5000)-ROW('Work Items'!$A$6)+1),132)),"")</f>
        <v/>
      </c>
      <c r="J136" s="217">
        <f t="array" ref="J136">IFERROR(INDEX('Work Items'!$M$6:$M$5000,SMALL(IF('Work Items'!$A$6:$A$5000="CR",ROW('Work Items'!$A$6:$A$5000)-ROW('Work Items'!$A$6)+1),132)),"")</f>
        <v/>
      </c>
      <c r="K136" s="217">
        <f t="array" ref="K136">IFERROR(INDEX('Work Items'!$Q$6:$Q$5000,SMALL(IF('Work Items'!$A$6:$A$5000="CR",ROW('Work Items'!$A$6:$A$5000)-ROW('Work Items'!$A$6)+1),132)),"")</f>
        <v/>
      </c>
      <c r="L136">
        <f t="array" ref="L136">IFERROR(INDEX('Work Items'!$N$6:$N$5000,SMALL(IF('Work Items'!$A$6:$A$5000="CR",ROW('Work Items'!$A$6:$A$5000)-ROW('Work Items'!$A$6)+1),132)),"")</f>
        <v/>
      </c>
      <c r="M136">
        <f t="array" ref="M136">IFERROR(INDEX('Work Items'!$O$6:$O$5000,SMALL(IF('Work Items'!$A$6:$A$5000="CR",ROW('Work Items'!$A$6:$A$5000)-ROW('Work Items'!$A$6)+1),132)),"")</f>
        <v/>
      </c>
    </row>
    <row r="137">
      <c r="A137">
        <f t="array" ref="A137">IFERROR(INDEX('Work Items'!$A$6:$A$5000,SMALL(IF('Work Items'!$A$6:$A$5000="CR",ROW('Work Items'!$A$6:$A$5000)-ROW('Work Items'!$A$6)+1),133)),"")</f>
        <v/>
      </c>
      <c r="B137">
        <f t="array" ref="B137">IFERROR(INDEX('Work Items'!$B$6:$B$5000,SMALL(IF('Work Items'!$A$6:$A$5000="CR",ROW('Work Items'!$A$6:$A$5000)-ROW('Work Items'!$A$6)+1),133)),"")</f>
        <v/>
      </c>
      <c r="C137">
        <f t="array" ref="C137">IFERROR(INDEX('Work Items'!$C$6:$C$5000,SMALL(IF('Work Items'!$A$6:$A$5000="CR",ROW('Work Items'!$A$6:$A$5000)-ROW('Work Items'!$A$6)+1),133)),"")</f>
        <v/>
      </c>
      <c r="D137">
        <f t="array" ref="D137">IFERROR(INDEX('Work Items'!$D$6:$D$5000,SMALL(IF('Work Items'!$A$6:$A$5000="CR",ROW('Work Items'!$A$6:$A$5000)-ROW('Work Items'!$A$6)+1),133)),"")</f>
        <v/>
      </c>
      <c r="E137">
        <f t="array" ref="E137">IFERROR(INDEX('Work Items'!$E$6:$E$5000,SMALL(IF('Work Items'!$A$6:$A$5000="CR",ROW('Work Items'!$A$6:$A$5000)-ROW('Work Items'!$A$6)+1),133)),"")</f>
        <v/>
      </c>
      <c r="F137">
        <f t="array" ref="F137">IFERROR(INDEX('Work Items'!$F$6:$F$5000,SMALL(IF('Work Items'!$A$6:$A$5000="CR",ROW('Work Items'!$A$6:$A$5000)-ROW('Work Items'!$A$6)+1),133)),"")</f>
        <v/>
      </c>
      <c r="G137">
        <f t="array" ref="G137">IFERROR(INDEX('Work Items'!$J$6:$J$5000,SMALL(IF('Work Items'!$A$6:$A$5000="CR",ROW('Work Items'!$A$6:$A$5000)-ROW('Work Items'!$A$6)+1),133)),"")</f>
        <v/>
      </c>
      <c r="H137">
        <f t="array" ref="H137">IFERROR(INDEX('Work Items'!$K$6:$K$5000,SMALL(IF('Work Items'!$A$6:$A$5000="CR",ROW('Work Items'!$A$6:$A$5000)-ROW('Work Items'!$A$6)+1),133)),"")</f>
        <v/>
      </c>
      <c r="I137">
        <f t="array" ref="I137">IFERROR(INDEX('Work Items'!$L$6:$L$5000,SMALL(IF('Work Items'!$A$6:$A$5000="CR",ROW('Work Items'!$A$6:$A$5000)-ROW('Work Items'!$A$6)+1),133)),"")</f>
        <v/>
      </c>
      <c r="J137" s="217">
        <f t="array" ref="J137">IFERROR(INDEX('Work Items'!$M$6:$M$5000,SMALL(IF('Work Items'!$A$6:$A$5000="CR",ROW('Work Items'!$A$6:$A$5000)-ROW('Work Items'!$A$6)+1),133)),"")</f>
        <v/>
      </c>
      <c r="K137" s="217">
        <f t="array" ref="K137">IFERROR(INDEX('Work Items'!$Q$6:$Q$5000,SMALL(IF('Work Items'!$A$6:$A$5000="CR",ROW('Work Items'!$A$6:$A$5000)-ROW('Work Items'!$A$6)+1),133)),"")</f>
        <v/>
      </c>
      <c r="L137">
        <f t="array" ref="L137">IFERROR(INDEX('Work Items'!$N$6:$N$5000,SMALL(IF('Work Items'!$A$6:$A$5000="CR",ROW('Work Items'!$A$6:$A$5000)-ROW('Work Items'!$A$6)+1),133)),"")</f>
        <v/>
      </c>
      <c r="M137">
        <f t="array" ref="M137">IFERROR(INDEX('Work Items'!$O$6:$O$5000,SMALL(IF('Work Items'!$A$6:$A$5000="CR",ROW('Work Items'!$A$6:$A$5000)-ROW('Work Items'!$A$6)+1),133)),"")</f>
        <v/>
      </c>
    </row>
    <row r="138">
      <c r="A138">
        <f t="array" ref="A138">IFERROR(INDEX('Work Items'!$A$6:$A$5000,SMALL(IF('Work Items'!$A$6:$A$5000="CR",ROW('Work Items'!$A$6:$A$5000)-ROW('Work Items'!$A$6)+1),134)),"")</f>
        <v/>
      </c>
      <c r="B138">
        <f t="array" ref="B138">IFERROR(INDEX('Work Items'!$B$6:$B$5000,SMALL(IF('Work Items'!$A$6:$A$5000="CR",ROW('Work Items'!$A$6:$A$5000)-ROW('Work Items'!$A$6)+1),134)),"")</f>
        <v/>
      </c>
      <c r="C138">
        <f t="array" ref="C138">IFERROR(INDEX('Work Items'!$C$6:$C$5000,SMALL(IF('Work Items'!$A$6:$A$5000="CR",ROW('Work Items'!$A$6:$A$5000)-ROW('Work Items'!$A$6)+1),134)),"")</f>
        <v/>
      </c>
      <c r="D138">
        <f t="array" ref="D138">IFERROR(INDEX('Work Items'!$D$6:$D$5000,SMALL(IF('Work Items'!$A$6:$A$5000="CR",ROW('Work Items'!$A$6:$A$5000)-ROW('Work Items'!$A$6)+1),134)),"")</f>
        <v/>
      </c>
      <c r="E138">
        <f t="array" ref="E138">IFERROR(INDEX('Work Items'!$E$6:$E$5000,SMALL(IF('Work Items'!$A$6:$A$5000="CR",ROW('Work Items'!$A$6:$A$5000)-ROW('Work Items'!$A$6)+1),134)),"")</f>
        <v/>
      </c>
      <c r="F138">
        <f t="array" ref="F138">IFERROR(INDEX('Work Items'!$F$6:$F$5000,SMALL(IF('Work Items'!$A$6:$A$5000="CR",ROW('Work Items'!$A$6:$A$5000)-ROW('Work Items'!$A$6)+1),134)),"")</f>
        <v/>
      </c>
      <c r="G138">
        <f t="array" ref="G138">IFERROR(INDEX('Work Items'!$J$6:$J$5000,SMALL(IF('Work Items'!$A$6:$A$5000="CR",ROW('Work Items'!$A$6:$A$5000)-ROW('Work Items'!$A$6)+1),134)),"")</f>
        <v/>
      </c>
      <c r="H138">
        <f t="array" ref="H138">IFERROR(INDEX('Work Items'!$K$6:$K$5000,SMALL(IF('Work Items'!$A$6:$A$5000="CR",ROW('Work Items'!$A$6:$A$5000)-ROW('Work Items'!$A$6)+1),134)),"")</f>
        <v/>
      </c>
      <c r="I138">
        <f t="array" ref="I138">IFERROR(INDEX('Work Items'!$L$6:$L$5000,SMALL(IF('Work Items'!$A$6:$A$5000="CR",ROW('Work Items'!$A$6:$A$5000)-ROW('Work Items'!$A$6)+1),134)),"")</f>
        <v/>
      </c>
      <c r="J138" s="217">
        <f t="array" ref="J138">IFERROR(INDEX('Work Items'!$M$6:$M$5000,SMALL(IF('Work Items'!$A$6:$A$5000="CR",ROW('Work Items'!$A$6:$A$5000)-ROW('Work Items'!$A$6)+1),134)),"")</f>
        <v/>
      </c>
      <c r="K138" s="217">
        <f t="array" ref="K138">IFERROR(INDEX('Work Items'!$Q$6:$Q$5000,SMALL(IF('Work Items'!$A$6:$A$5000="CR",ROW('Work Items'!$A$6:$A$5000)-ROW('Work Items'!$A$6)+1),134)),"")</f>
        <v/>
      </c>
      <c r="L138">
        <f t="array" ref="L138">IFERROR(INDEX('Work Items'!$N$6:$N$5000,SMALL(IF('Work Items'!$A$6:$A$5000="CR",ROW('Work Items'!$A$6:$A$5000)-ROW('Work Items'!$A$6)+1),134)),"")</f>
        <v/>
      </c>
      <c r="M138">
        <f t="array" ref="M138">IFERROR(INDEX('Work Items'!$O$6:$O$5000,SMALL(IF('Work Items'!$A$6:$A$5000="CR",ROW('Work Items'!$A$6:$A$5000)-ROW('Work Items'!$A$6)+1),134)),"")</f>
        <v/>
      </c>
    </row>
    <row r="139">
      <c r="A139">
        <f t="array" ref="A139">IFERROR(INDEX('Work Items'!$A$6:$A$5000,SMALL(IF('Work Items'!$A$6:$A$5000="CR",ROW('Work Items'!$A$6:$A$5000)-ROW('Work Items'!$A$6)+1),135)),"")</f>
        <v/>
      </c>
      <c r="B139">
        <f t="array" ref="B139">IFERROR(INDEX('Work Items'!$B$6:$B$5000,SMALL(IF('Work Items'!$A$6:$A$5000="CR",ROW('Work Items'!$A$6:$A$5000)-ROW('Work Items'!$A$6)+1),135)),"")</f>
        <v/>
      </c>
      <c r="C139">
        <f t="array" ref="C139">IFERROR(INDEX('Work Items'!$C$6:$C$5000,SMALL(IF('Work Items'!$A$6:$A$5000="CR",ROW('Work Items'!$A$6:$A$5000)-ROW('Work Items'!$A$6)+1),135)),"")</f>
        <v/>
      </c>
      <c r="D139">
        <f t="array" ref="D139">IFERROR(INDEX('Work Items'!$D$6:$D$5000,SMALL(IF('Work Items'!$A$6:$A$5000="CR",ROW('Work Items'!$A$6:$A$5000)-ROW('Work Items'!$A$6)+1),135)),"")</f>
        <v/>
      </c>
      <c r="E139">
        <f t="array" ref="E139">IFERROR(INDEX('Work Items'!$E$6:$E$5000,SMALL(IF('Work Items'!$A$6:$A$5000="CR",ROW('Work Items'!$A$6:$A$5000)-ROW('Work Items'!$A$6)+1),135)),"")</f>
        <v/>
      </c>
      <c r="F139">
        <f t="array" ref="F139">IFERROR(INDEX('Work Items'!$F$6:$F$5000,SMALL(IF('Work Items'!$A$6:$A$5000="CR",ROW('Work Items'!$A$6:$A$5000)-ROW('Work Items'!$A$6)+1),135)),"")</f>
        <v/>
      </c>
      <c r="G139">
        <f t="array" ref="G139">IFERROR(INDEX('Work Items'!$J$6:$J$5000,SMALL(IF('Work Items'!$A$6:$A$5000="CR",ROW('Work Items'!$A$6:$A$5000)-ROW('Work Items'!$A$6)+1),135)),"")</f>
        <v/>
      </c>
      <c r="H139">
        <f t="array" ref="H139">IFERROR(INDEX('Work Items'!$K$6:$K$5000,SMALL(IF('Work Items'!$A$6:$A$5000="CR",ROW('Work Items'!$A$6:$A$5000)-ROW('Work Items'!$A$6)+1),135)),"")</f>
        <v/>
      </c>
      <c r="I139">
        <f t="array" ref="I139">IFERROR(INDEX('Work Items'!$L$6:$L$5000,SMALL(IF('Work Items'!$A$6:$A$5000="CR",ROW('Work Items'!$A$6:$A$5000)-ROW('Work Items'!$A$6)+1),135)),"")</f>
        <v/>
      </c>
      <c r="J139" s="217">
        <f t="array" ref="J139">IFERROR(INDEX('Work Items'!$M$6:$M$5000,SMALL(IF('Work Items'!$A$6:$A$5000="CR",ROW('Work Items'!$A$6:$A$5000)-ROW('Work Items'!$A$6)+1),135)),"")</f>
        <v/>
      </c>
      <c r="K139" s="217">
        <f t="array" ref="K139">IFERROR(INDEX('Work Items'!$Q$6:$Q$5000,SMALL(IF('Work Items'!$A$6:$A$5000="CR",ROW('Work Items'!$A$6:$A$5000)-ROW('Work Items'!$A$6)+1),135)),"")</f>
        <v/>
      </c>
      <c r="L139">
        <f t="array" ref="L139">IFERROR(INDEX('Work Items'!$N$6:$N$5000,SMALL(IF('Work Items'!$A$6:$A$5000="CR",ROW('Work Items'!$A$6:$A$5000)-ROW('Work Items'!$A$6)+1),135)),"")</f>
        <v/>
      </c>
      <c r="M139">
        <f t="array" ref="M139">IFERROR(INDEX('Work Items'!$O$6:$O$5000,SMALL(IF('Work Items'!$A$6:$A$5000="CR",ROW('Work Items'!$A$6:$A$5000)-ROW('Work Items'!$A$6)+1),135)),"")</f>
        <v/>
      </c>
    </row>
    <row r="140">
      <c r="A140">
        <f t="array" ref="A140">IFERROR(INDEX('Work Items'!$A$6:$A$5000,SMALL(IF('Work Items'!$A$6:$A$5000="CR",ROW('Work Items'!$A$6:$A$5000)-ROW('Work Items'!$A$6)+1),136)),"")</f>
        <v/>
      </c>
      <c r="B140">
        <f t="array" ref="B140">IFERROR(INDEX('Work Items'!$B$6:$B$5000,SMALL(IF('Work Items'!$A$6:$A$5000="CR",ROW('Work Items'!$A$6:$A$5000)-ROW('Work Items'!$A$6)+1),136)),"")</f>
        <v/>
      </c>
      <c r="C140">
        <f t="array" ref="C140">IFERROR(INDEX('Work Items'!$C$6:$C$5000,SMALL(IF('Work Items'!$A$6:$A$5000="CR",ROW('Work Items'!$A$6:$A$5000)-ROW('Work Items'!$A$6)+1),136)),"")</f>
        <v/>
      </c>
      <c r="D140">
        <f t="array" ref="D140">IFERROR(INDEX('Work Items'!$D$6:$D$5000,SMALL(IF('Work Items'!$A$6:$A$5000="CR",ROW('Work Items'!$A$6:$A$5000)-ROW('Work Items'!$A$6)+1),136)),"")</f>
        <v/>
      </c>
      <c r="E140">
        <f t="array" ref="E140">IFERROR(INDEX('Work Items'!$E$6:$E$5000,SMALL(IF('Work Items'!$A$6:$A$5000="CR",ROW('Work Items'!$A$6:$A$5000)-ROW('Work Items'!$A$6)+1),136)),"")</f>
        <v/>
      </c>
      <c r="F140">
        <f t="array" ref="F140">IFERROR(INDEX('Work Items'!$F$6:$F$5000,SMALL(IF('Work Items'!$A$6:$A$5000="CR",ROW('Work Items'!$A$6:$A$5000)-ROW('Work Items'!$A$6)+1),136)),"")</f>
        <v/>
      </c>
      <c r="G140">
        <f t="array" ref="G140">IFERROR(INDEX('Work Items'!$J$6:$J$5000,SMALL(IF('Work Items'!$A$6:$A$5000="CR",ROW('Work Items'!$A$6:$A$5000)-ROW('Work Items'!$A$6)+1),136)),"")</f>
        <v/>
      </c>
      <c r="H140">
        <f t="array" ref="H140">IFERROR(INDEX('Work Items'!$K$6:$K$5000,SMALL(IF('Work Items'!$A$6:$A$5000="CR",ROW('Work Items'!$A$6:$A$5000)-ROW('Work Items'!$A$6)+1),136)),"")</f>
        <v/>
      </c>
      <c r="I140">
        <f t="array" ref="I140">IFERROR(INDEX('Work Items'!$L$6:$L$5000,SMALL(IF('Work Items'!$A$6:$A$5000="CR",ROW('Work Items'!$A$6:$A$5000)-ROW('Work Items'!$A$6)+1),136)),"")</f>
        <v/>
      </c>
      <c r="J140" s="217">
        <f t="array" ref="J140">IFERROR(INDEX('Work Items'!$M$6:$M$5000,SMALL(IF('Work Items'!$A$6:$A$5000="CR",ROW('Work Items'!$A$6:$A$5000)-ROW('Work Items'!$A$6)+1),136)),"")</f>
        <v/>
      </c>
      <c r="K140" s="217">
        <f t="array" ref="K140">IFERROR(INDEX('Work Items'!$Q$6:$Q$5000,SMALL(IF('Work Items'!$A$6:$A$5000="CR",ROW('Work Items'!$A$6:$A$5000)-ROW('Work Items'!$A$6)+1),136)),"")</f>
        <v/>
      </c>
      <c r="L140">
        <f t="array" ref="L140">IFERROR(INDEX('Work Items'!$N$6:$N$5000,SMALL(IF('Work Items'!$A$6:$A$5000="CR",ROW('Work Items'!$A$6:$A$5000)-ROW('Work Items'!$A$6)+1),136)),"")</f>
        <v/>
      </c>
      <c r="M140">
        <f t="array" ref="M140">IFERROR(INDEX('Work Items'!$O$6:$O$5000,SMALL(IF('Work Items'!$A$6:$A$5000="CR",ROW('Work Items'!$A$6:$A$5000)-ROW('Work Items'!$A$6)+1),136)),"")</f>
        <v/>
      </c>
    </row>
    <row r="141">
      <c r="A141">
        <f t="array" ref="A141">IFERROR(INDEX('Work Items'!$A$6:$A$5000,SMALL(IF('Work Items'!$A$6:$A$5000="CR",ROW('Work Items'!$A$6:$A$5000)-ROW('Work Items'!$A$6)+1),137)),"")</f>
        <v/>
      </c>
      <c r="B141">
        <f t="array" ref="B141">IFERROR(INDEX('Work Items'!$B$6:$B$5000,SMALL(IF('Work Items'!$A$6:$A$5000="CR",ROW('Work Items'!$A$6:$A$5000)-ROW('Work Items'!$A$6)+1),137)),"")</f>
        <v/>
      </c>
      <c r="C141">
        <f t="array" ref="C141">IFERROR(INDEX('Work Items'!$C$6:$C$5000,SMALL(IF('Work Items'!$A$6:$A$5000="CR",ROW('Work Items'!$A$6:$A$5000)-ROW('Work Items'!$A$6)+1),137)),"")</f>
        <v/>
      </c>
      <c r="D141">
        <f t="array" ref="D141">IFERROR(INDEX('Work Items'!$D$6:$D$5000,SMALL(IF('Work Items'!$A$6:$A$5000="CR",ROW('Work Items'!$A$6:$A$5000)-ROW('Work Items'!$A$6)+1),137)),"")</f>
        <v/>
      </c>
      <c r="E141">
        <f t="array" ref="E141">IFERROR(INDEX('Work Items'!$E$6:$E$5000,SMALL(IF('Work Items'!$A$6:$A$5000="CR",ROW('Work Items'!$A$6:$A$5000)-ROW('Work Items'!$A$6)+1),137)),"")</f>
        <v/>
      </c>
      <c r="F141">
        <f t="array" ref="F141">IFERROR(INDEX('Work Items'!$F$6:$F$5000,SMALL(IF('Work Items'!$A$6:$A$5000="CR",ROW('Work Items'!$A$6:$A$5000)-ROW('Work Items'!$A$6)+1),137)),"")</f>
        <v/>
      </c>
      <c r="G141">
        <f t="array" ref="G141">IFERROR(INDEX('Work Items'!$J$6:$J$5000,SMALL(IF('Work Items'!$A$6:$A$5000="CR",ROW('Work Items'!$A$6:$A$5000)-ROW('Work Items'!$A$6)+1),137)),"")</f>
        <v/>
      </c>
      <c r="H141">
        <f t="array" ref="H141">IFERROR(INDEX('Work Items'!$K$6:$K$5000,SMALL(IF('Work Items'!$A$6:$A$5000="CR",ROW('Work Items'!$A$6:$A$5000)-ROW('Work Items'!$A$6)+1),137)),"")</f>
        <v/>
      </c>
      <c r="I141">
        <f t="array" ref="I141">IFERROR(INDEX('Work Items'!$L$6:$L$5000,SMALL(IF('Work Items'!$A$6:$A$5000="CR",ROW('Work Items'!$A$6:$A$5000)-ROW('Work Items'!$A$6)+1),137)),"")</f>
        <v/>
      </c>
      <c r="J141" s="217">
        <f t="array" ref="J141">IFERROR(INDEX('Work Items'!$M$6:$M$5000,SMALL(IF('Work Items'!$A$6:$A$5000="CR",ROW('Work Items'!$A$6:$A$5000)-ROW('Work Items'!$A$6)+1),137)),"")</f>
        <v/>
      </c>
      <c r="K141" s="217">
        <f t="array" ref="K141">IFERROR(INDEX('Work Items'!$Q$6:$Q$5000,SMALL(IF('Work Items'!$A$6:$A$5000="CR",ROW('Work Items'!$A$6:$A$5000)-ROW('Work Items'!$A$6)+1),137)),"")</f>
        <v/>
      </c>
      <c r="L141">
        <f t="array" ref="L141">IFERROR(INDEX('Work Items'!$N$6:$N$5000,SMALL(IF('Work Items'!$A$6:$A$5000="CR",ROW('Work Items'!$A$6:$A$5000)-ROW('Work Items'!$A$6)+1),137)),"")</f>
        <v/>
      </c>
      <c r="M141">
        <f t="array" ref="M141">IFERROR(INDEX('Work Items'!$O$6:$O$5000,SMALL(IF('Work Items'!$A$6:$A$5000="CR",ROW('Work Items'!$A$6:$A$5000)-ROW('Work Items'!$A$6)+1),137)),"")</f>
        <v/>
      </c>
    </row>
    <row r="142">
      <c r="A142">
        <f t="array" ref="A142">IFERROR(INDEX('Work Items'!$A$6:$A$5000,SMALL(IF('Work Items'!$A$6:$A$5000="CR",ROW('Work Items'!$A$6:$A$5000)-ROW('Work Items'!$A$6)+1),138)),"")</f>
        <v/>
      </c>
      <c r="B142">
        <f t="array" ref="B142">IFERROR(INDEX('Work Items'!$B$6:$B$5000,SMALL(IF('Work Items'!$A$6:$A$5000="CR",ROW('Work Items'!$A$6:$A$5000)-ROW('Work Items'!$A$6)+1),138)),"")</f>
        <v/>
      </c>
      <c r="C142">
        <f t="array" ref="C142">IFERROR(INDEX('Work Items'!$C$6:$C$5000,SMALL(IF('Work Items'!$A$6:$A$5000="CR",ROW('Work Items'!$A$6:$A$5000)-ROW('Work Items'!$A$6)+1),138)),"")</f>
        <v/>
      </c>
      <c r="D142">
        <f t="array" ref="D142">IFERROR(INDEX('Work Items'!$D$6:$D$5000,SMALL(IF('Work Items'!$A$6:$A$5000="CR",ROW('Work Items'!$A$6:$A$5000)-ROW('Work Items'!$A$6)+1),138)),"")</f>
        <v/>
      </c>
      <c r="E142">
        <f t="array" ref="E142">IFERROR(INDEX('Work Items'!$E$6:$E$5000,SMALL(IF('Work Items'!$A$6:$A$5000="CR",ROW('Work Items'!$A$6:$A$5000)-ROW('Work Items'!$A$6)+1),138)),"")</f>
        <v/>
      </c>
      <c r="F142">
        <f t="array" ref="F142">IFERROR(INDEX('Work Items'!$F$6:$F$5000,SMALL(IF('Work Items'!$A$6:$A$5000="CR",ROW('Work Items'!$A$6:$A$5000)-ROW('Work Items'!$A$6)+1),138)),"")</f>
        <v/>
      </c>
      <c r="G142">
        <f t="array" ref="G142">IFERROR(INDEX('Work Items'!$J$6:$J$5000,SMALL(IF('Work Items'!$A$6:$A$5000="CR",ROW('Work Items'!$A$6:$A$5000)-ROW('Work Items'!$A$6)+1),138)),"")</f>
        <v/>
      </c>
      <c r="H142">
        <f t="array" ref="H142">IFERROR(INDEX('Work Items'!$K$6:$K$5000,SMALL(IF('Work Items'!$A$6:$A$5000="CR",ROW('Work Items'!$A$6:$A$5000)-ROW('Work Items'!$A$6)+1),138)),"")</f>
        <v/>
      </c>
      <c r="I142">
        <f t="array" ref="I142">IFERROR(INDEX('Work Items'!$L$6:$L$5000,SMALL(IF('Work Items'!$A$6:$A$5000="CR",ROW('Work Items'!$A$6:$A$5000)-ROW('Work Items'!$A$6)+1),138)),"")</f>
        <v/>
      </c>
      <c r="J142" s="217">
        <f t="array" ref="J142">IFERROR(INDEX('Work Items'!$M$6:$M$5000,SMALL(IF('Work Items'!$A$6:$A$5000="CR",ROW('Work Items'!$A$6:$A$5000)-ROW('Work Items'!$A$6)+1),138)),"")</f>
        <v/>
      </c>
      <c r="K142" s="217">
        <f t="array" ref="K142">IFERROR(INDEX('Work Items'!$Q$6:$Q$5000,SMALL(IF('Work Items'!$A$6:$A$5000="CR",ROW('Work Items'!$A$6:$A$5000)-ROW('Work Items'!$A$6)+1),138)),"")</f>
        <v/>
      </c>
      <c r="L142">
        <f t="array" ref="L142">IFERROR(INDEX('Work Items'!$N$6:$N$5000,SMALL(IF('Work Items'!$A$6:$A$5000="CR",ROW('Work Items'!$A$6:$A$5000)-ROW('Work Items'!$A$6)+1),138)),"")</f>
        <v/>
      </c>
      <c r="M142">
        <f t="array" ref="M142">IFERROR(INDEX('Work Items'!$O$6:$O$5000,SMALL(IF('Work Items'!$A$6:$A$5000="CR",ROW('Work Items'!$A$6:$A$5000)-ROW('Work Items'!$A$6)+1),138)),"")</f>
        <v/>
      </c>
    </row>
    <row r="143">
      <c r="A143">
        <f t="array" ref="A143">IFERROR(INDEX('Work Items'!$A$6:$A$5000,SMALL(IF('Work Items'!$A$6:$A$5000="CR",ROW('Work Items'!$A$6:$A$5000)-ROW('Work Items'!$A$6)+1),139)),"")</f>
        <v/>
      </c>
      <c r="B143">
        <f t="array" ref="B143">IFERROR(INDEX('Work Items'!$B$6:$B$5000,SMALL(IF('Work Items'!$A$6:$A$5000="CR",ROW('Work Items'!$A$6:$A$5000)-ROW('Work Items'!$A$6)+1),139)),"")</f>
        <v/>
      </c>
      <c r="C143">
        <f t="array" ref="C143">IFERROR(INDEX('Work Items'!$C$6:$C$5000,SMALL(IF('Work Items'!$A$6:$A$5000="CR",ROW('Work Items'!$A$6:$A$5000)-ROW('Work Items'!$A$6)+1),139)),"")</f>
        <v/>
      </c>
      <c r="D143">
        <f t="array" ref="D143">IFERROR(INDEX('Work Items'!$D$6:$D$5000,SMALL(IF('Work Items'!$A$6:$A$5000="CR",ROW('Work Items'!$A$6:$A$5000)-ROW('Work Items'!$A$6)+1),139)),"")</f>
        <v/>
      </c>
      <c r="E143">
        <f t="array" ref="E143">IFERROR(INDEX('Work Items'!$E$6:$E$5000,SMALL(IF('Work Items'!$A$6:$A$5000="CR",ROW('Work Items'!$A$6:$A$5000)-ROW('Work Items'!$A$6)+1),139)),"")</f>
        <v/>
      </c>
      <c r="F143">
        <f t="array" ref="F143">IFERROR(INDEX('Work Items'!$F$6:$F$5000,SMALL(IF('Work Items'!$A$6:$A$5000="CR",ROW('Work Items'!$A$6:$A$5000)-ROW('Work Items'!$A$6)+1),139)),"")</f>
        <v/>
      </c>
      <c r="G143">
        <f t="array" ref="G143">IFERROR(INDEX('Work Items'!$J$6:$J$5000,SMALL(IF('Work Items'!$A$6:$A$5000="CR",ROW('Work Items'!$A$6:$A$5000)-ROW('Work Items'!$A$6)+1),139)),"")</f>
        <v/>
      </c>
      <c r="H143">
        <f t="array" ref="H143">IFERROR(INDEX('Work Items'!$K$6:$K$5000,SMALL(IF('Work Items'!$A$6:$A$5000="CR",ROW('Work Items'!$A$6:$A$5000)-ROW('Work Items'!$A$6)+1),139)),"")</f>
        <v/>
      </c>
      <c r="I143">
        <f t="array" ref="I143">IFERROR(INDEX('Work Items'!$L$6:$L$5000,SMALL(IF('Work Items'!$A$6:$A$5000="CR",ROW('Work Items'!$A$6:$A$5000)-ROW('Work Items'!$A$6)+1),139)),"")</f>
        <v/>
      </c>
      <c r="J143" s="217">
        <f t="array" ref="J143">IFERROR(INDEX('Work Items'!$M$6:$M$5000,SMALL(IF('Work Items'!$A$6:$A$5000="CR",ROW('Work Items'!$A$6:$A$5000)-ROW('Work Items'!$A$6)+1),139)),"")</f>
        <v/>
      </c>
      <c r="K143" s="217">
        <f t="array" ref="K143">IFERROR(INDEX('Work Items'!$Q$6:$Q$5000,SMALL(IF('Work Items'!$A$6:$A$5000="CR",ROW('Work Items'!$A$6:$A$5000)-ROW('Work Items'!$A$6)+1),139)),"")</f>
        <v/>
      </c>
      <c r="L143">
        <f t="array" ref="L143">IFERROR(INDEX('Work Items'!$N$6:$N$5000,SMALL(IF('Work Items'!$A$6:$A$5000="CR",ROW('Work Items'!$A$6:$A$5000)-ROW('Work Items'!$A$6)+1),139)),"")</f>
        <v/>
      </c>
      <c r="M143">
        <f t="array" ref="M143">IFERROR(INDEX('Work Items'!$O$6:$O$5000,SMALL(IF('Work Items'!$A$6:$A$5000="CR",ROW('Work Items'!$A$6:$A$5000)-ROW('Work Items'!$A$6)+1),139)),"")</f>
        <v/>
      </c>
    </row>
    <row r="144">
      <c r="A144">
        <f t="array" ref="A144">IFERROR(INDEX('Work Items'!$A$6:$A$5000,SMALL(IF('Work Items'!$A$6:$A$5000="CR",ROW('Work Items'!$A$6:$A$5000)-ROW('Work Items'!$A$6)+1),140)),"")</f>
        <v/>
      </c>
      <c r="B144">
        <f t="array" ref="B144">IFERROR(INDEX('Work Items'!$B$6:$B$5000,SMALL(IF('Work Items'!$A$6:$A$5000="CR",ROW('Work Items'!$A$6:$A$5000)-ROW('Work Items'!$A$6)+1),140)),"")</f>
        <v/>
      </c>
      <c r="C144">
        <f t="array" ref="C144">IFERROR(INDEX('Work Items'!$C$6:$C$5000,SMALL(IF('Work Items'!$A$6:$A$5000="CR",ROW('Work Items'!$A$6:$A$5000)-ROW('Work Items'!$A$6)+1),140)),"")</f>
        <v/>
      </c>
      <c r="D144">
        <f t="array" ref="D144">IFERROR(INDEX('Work Items'!$D$6:$D$5000,SMALL(IF('Work Items'!$A$6:$A$5000="CR",ROW('Work Items'!$A$6:$A$5000)-ROW('Work Items'!$A$6)+1),140)),"")</f>
        <v/>
      </c>
      <c r="E144">
        <f t="array" ref="E144">IFERROR(INDEX('Work Items'!$E$6:$E$5000,SMALL(IF('Work Items'!$A$6:$A$5000="CR",ROW('Work Items'!$A$6:$A$5000)-ROW('Work Items'!$A$6)+1),140)),"")</f>
        <v/>
      </c>
      <c r="F144">
        <f t="array" ref="F144">IFERROR(INDEX('Work Items'!$F$6:$F$5000,SMALL(IF('Work Items'!$A$6:$A$5000="CR",ROW('Work Items'!$A$6:$A$5000)-ROW('Work Items'!$A$6)+1),140)),"")</f>
        <v/>
      </c>
      <c r="G144">
        <f t="array" ref="G144">IFERROR(INDEX('Work Items'!$J$6:$J$5000,SMALL(IF('Work Items'!$A$6:$A$5000="CR",ROW('Work Items'!$A$6:$A$5000)-ROW('Work Items'!$A$6)+1),140)),"")</f>
        <v/>
      </c>
      <c r="H144">
        <f t="array" ref="H144">IFERROR(INDEX('Work Items'!$K$6:$K$5000,SMALL(IF('Work Items'!$A$6:$A$5000="CR",ROW('Work Items'!$A$6:$A$5000)-ROW('Work Items'!$A$6)+1),140)),"")</f>
        <v/>
      </c>
      <c r="I144">
        <f t="array" ref="I144">IFERROR(INDEX('Work Items'!$L$6:$L$5000,SMALL(IF('Work Items'!$A$6:$A$5000="CR",ROW('Work Items'!$A$6:$A$5000)-ROW('Work Items'!$A$6)+1),140)),"")</f>
        <v/>
      </c>
      <c r="J144" s="217">
        <f t="array" ref="J144">IFERROR(INDEX('Work Items'!$M$6:$M$5000,SMALL(IF('Work Items'!$A$6:$A$5000="CR",ROW('Work Items'!$A$6:$A$5000)-ROW('Work Items'!$A$6)+1),140)),"")</f>
        <v/>
      </c>
      <c r="K144" s="217">
        <f t="array" ref="K144">IFERROR(INDEX('Work Items'!$Q$6:$Q$5000,SMALL(IF('Work Items'!$A$6:$A$5000="CR",ROW('Work Items'!$A$6:$A$5000)-ROW('Work Items'!$A$6)+1),140)),"")</f>
        <v/>
      </c>
      <c r="L144">
        <f t="array" ref="L144">IFERROR(INDEX('Work Items'!$N$6:$N$5000,SMALL(IF('Work Items'!$A$6:$A$5000="CR",ROW('Work Items'!$A$6:$A$5000)-ROW('Work Items'!$A$6)+1),140)),"")</f>
        <v/>
      </c>
      <c r="M144">
        <f t="array" ref="M144">IFERROR(INDEX('Work Items'!$O$6:$O$5000,SMALL(IF('Work Items'!$A$6:$A$5000="CR",ROW('Work Items'!$A$6:$A$5000)-ROW('Work Items'!$A$6)+1),140)),"")</f>
        <v/>
      </c>
    </row>
    <row r="145">
      <c r="A145">
        <f t="array" ref="A145">IFERROR(INDEX('Work Items'!$A$6:$A$5000,SMALL(IF('Work Items'!$A$6:$A$5000="CR",ROW('Work Items'!$A$6:$A$5000)-ROW('Work Items'!$A$6)+1),141)),"")</f>
        <v/>
      </c>
      <c r="B145">
        <f t="array" ref="B145">IFERROR(INDEX('Work Items'!$B$6:$B$5000,SMALL(IF('Work Items'!$A$6:$A$5000="CR",ROW('Work Items'!$A$6:$A$5000)-ROW('Work Items'!$A$6)+1),141)),"")</f>
        <v/>
      </c>
      <c r="C145">
        <f t="array" ref="C145">IFERROR(INDEX('Work Items'!$C$6:$C$5000,SMALL(IF('Work Items'!$A$6:$A$5000="CR",ROW('Work Items'!$A$6:$A$5000)-ROW('Work Items'!$A$6)+1),141)),"")</f>
        <v/>
      </c>
      <c r="D145">
        <f t="array" ref="D145">IFERROR(INDEX('Work Items'!$D$6:$D$5000,SMALL(IF('Work Items'!$A$6:$A$5000="CR",ROW('Work Items'!$A$6:$A$5000)-ROW('Work Items'!$A$6)+1),141)),"")</f>
        <v/>
      </c>
      <c r="E145">
        <f t="array" ref="E145">IFERROR(INDEX('Work Items'!$E$6:$E$5000,SMALL(IF('Work Items'!$A$6:$A$5000="CR",ROW('Work Items'!$A$6:$A$5000)-ROW('Work Items'!$A$6)+1),141)),"")</f>
        <v/>
      </c>
      <c r="F145">
        <f t="array" ref="F145">IFERROR(INDEX('Work Items'!$F$6:$F$5000,SMALL(IF('Work Items'!$A$6:$A$5000="CR",ROW('Work Items'!$A$6:$A$5000)-ROW('Work Items'!$A$6)+1),141)),"")</f>
        <v/>
      </c>
      <c r="G145">
        <f t="array" ref="G145">IFERROR(INDEX('Work Items'!$J$6:$J$5000,SMALL(IF('Work Items'!$A$6:$A$5000="CR",ROW('Work Items'!$A$6:$A$5000)-ROW('Work Items'!$A$6)+1),141)),"")</f>
        <v/>
      </c>
      <c r="H145">
        <f t="array" ref="H145">IFERROR(INDEX('Work Items'!$K$6:$K$5000,SMALL(IF('Work Items'!$A$6:$A$5000="CR",ROW('Work Items'!$A$6:$A$5000)-ROW('Work Items'!$A$6)+1),141)),"")</f>
        <v/>
      </c>
      <c r="I145">
        <f t="array" ref="I145">IFERROR(INDEX('Work Items'!$L$6:$L$5000,SMALL(IF('Work Items'!$A$6:$A$5000="CR",ROW('Work Items'!$A$6:$A$5000)-ROW('Work Items'!$A$6)+1),141)),"")</f>
        <v/>
      </c>
      <c r="J145" s="217">
        <f t="array" ref="J145">IFERROR(INDEX('Work Items'!$M$6:$M$5000,SMALL(IF('Work Items'!$A$6:$A$5000="CR",ROW('Work Items'!$A$6:$A$5000)-ROW('Work Items'!$A$6)+1),141)),"")</f>
        <v/>
      </c>
      <c r="K145" s="217">
        <f t="array" ref="K145">IFERROR(INDEX('Work Items'!$Q$6:$Q$5000,SMALL(IF('Work Items'!$A$6:$A$5000="CR",ROW('Work Items'!$A$6:$A$5000)-ROW('Work Items'!$A$6)+1),141)),"")</f>
        <v/>
      </c>
      <c r="L145">
        <f t="array" ref="L145">IFERROR(INDEX('Work Items'!$N$6:$N$5000,SMALL(IF('Work Items'!$A$6:$A$5000="CR",ROW('Work Items'!$A$6:$A$5000)-ROW('Work Items'!$A$6)+1),141)),"")</f>
        <v/>
      </c>
      <c r="M145">
        <f t="array" ref="M145">IFERROR(INDEX('Work Items'!$O$6:$O$5000,SMALL(IF('Work Items'!$A$6:$A$5000="CR",ROW('Work Items'!$A$6:$A$5000)-ROW('Work Items'!$A$6)+1),141)),"")</f>
        <v/>
      </c>
    </row>
    <row r="146">
      <c r="A146">
        <f t="array" ref="A146">IFERROR(INDEX('Work Items'!$A$6:$A$5000,SMALL(IF('Work Items'!$A$6:$A$5000="CR",ROW('Work Items'!$A$6:$A$5000)-ROW('Work Items'!$A$6)+1),142)),"")</f>
        <v/>
      </c>
      <c r="B146">
        <f t="array" ref="B146">IFERROR(INDEX('Work Items'!$B$6:$B$5000,SMALL(IF('Work Items'!$A$6:$A$5000="CR",ROW('Work Items'!$A$6:$A$5000)-ROW('Work Items'!$A$6)+1),142)),"")</f>
        <v/>
      </c>
      <c r="C146">
        <f t="array" ref="C146">IFERROR(INDEX('Work Items'!$C$6:$C$5000,SMALL(IF('Work Items'!$A$6:$A$5000="CR",ROW('Work Items'!$A$6:$A$5000)-ROW('Work Items'!$A$6)+1),142)),"")</f>
        <v/>
      </c>
      <c r="D146">
        <f t="array" ref="D146">IFERROR(INDEX('Work Items'!$D$6:$D$5000,SMALL(IF('Work Items'!$A$6:$A$5000="CR",ROW('Work Items'!$A$6:$A$5000)-ROW('Work Items'!$A$6)+1),142)),"")</f>
        <v/>
      </c>
      <c r="E146">
        <f t="array" ref="E146">IFERROR(INDEX('Work Items'!$E$6:$E$5000,SMALL(IF('Work Items'!$A$6:$A$5000="CR",ROW('Work Items'!$A$6:$A$5000)-ROW('Work Items'!$A$6)+1),142)),"")</f>
        <v/>
      </c>
      <c r="F146">
        <f t="array" ref="F146">IFERROR(INDEX('Work Items'!$F$6:$F$5000,SMALL(IF('Work Items'!$A$6:$A$5000="CR",ROW('Work Items'!$A$6:$A$5000)-ROW('Work Items'!$A$6)+1),142)),"")</f>
        <v/>
      </c>
      <c r="G146">
        <f t="array" ref="G146">IFERROR(INDEX('Work Items'!$J$6:$J$5000,SMALL(IF('Work Items'!$A$6:$A$5000="CR",ROW('Work Items'!$A$6:$A$5000)-ROW('Work Items'!$A$6)+1),142)),"")</f>
        <v/>
      </c>
      <c r="H146">
        <f t="array" ref="H146">IFERROR(INDEX('Work Items'!$K$6:$K$5000,SMALL(IF('Work Items'!$A$6:$A$5000="CR",ROW('Work Items'!$A$6:$A$5000)-ROW('Work Items'!$A$6)+1),142)),"")</f>
        <v/>
      </c>
      <c r="I146">
        <f t="array" ref="I146">IFERROR(INDEX('Work Items'!$L$6:$L$5000,SMALL(IF('Work Items'!$A$6:$A$5000="CR",ROW('Work Items'!$A$6:$A$5000)-ROW('Work Items'!$A$6)+1),142)),"")</f>
        <v/>
      </c>
      <c r="J146" s="217">
        <f t="array" ref="J146">IFERROR(INDEX('Work Items'!$M$6:$M$5000,SMALL(IF('Work Items'!$A$6:$A$5000="CR",ROW('Work Items'!$A$6:$A$5000)-ROW('Work Items'!$A$6)+1),142)),"")</f>
        <v/>
      </c>
      <c r="K146" s="217">
        <f t="array" ref="K146">IFERROR(INDEX('Work Items'!$Q$6:$Q$5000,SMALL(IF('Work Items'!$A$6:$A$5000="CR",ROW('Work Items'!$A$6:$A$5000)-ROW('Work Items'!$A$6)+1),142)),"")</f>
        <v/>
      </c>
      <c r="L146">
        <f t="array" ref="L146">IFERROR(INDEX('Work Items'!$N$6:$N$5000,SMALL(IF('Work Items'!$A$6:$A$5000="CR",ROW('Work Items'!$A$6:$A$5000)-ROW('Work Items'!$A$6)+1),142)),"")</f>
        <v/>
      </c>
      <c r="M146">
        <f t="array" ref="M146">IFERROR(INDEX('Work Items'!$O$6:$O$5000,SMALL(IF('Work Items'!$A$6:$A$5000="CR",ROW('Work Items'!$A$6:$A$5000)-ROW('Work Items'!$A$6)+1),142)),"")</f>
        <v/>
      </c>
    </row>
    <row r="147">
      <c r="A147">
        <f t="array" ref="A147">IFERROR(INDEX('Work Items'!$A$6:$A$5000,SMALL(IF('Work Items'!$A$6:$A$5000="CR",ROW('Work Items'!$A$6:$A$5000)-ROW('Work Items'!$A$6)+1),143)),"")</f>
        <v/>
      </c>
      <c r="B147">
        <f t="array" ref="B147">IFERROR(INDEX('Work Items'!$B$6:$B$5000,SMALL(IF('Work Items'!$A$6:$A$5000="CR",ROW('Work Items'!$A$6:$A$5000)-ROW('Work Items'!$A$6)+1),143)),"")</f>
        <v/>
      </c>
      <c r="C147">
        <f t="array" ref="C147">IFERROR(INDEX('Work Items'!$C$6:$C$5000,SMALL(IF('Work Items'!$A$6:$A$5000="CR",ROW('Work Items'!$A$6:$A$5000)-ROW('Work Items'!$A$6)+1),143)),"")</f>
        <v/>
      </c>
      <c r="D147">
        <f t="array" ref="D147">IFERROR(INDEX('Work Items'!$D$6:$D$5000,SMALL(IF('Work Items'!$A$6:$A$5000="CR",ROW('Work Items'!$A$6:$A$5000)-ROW('Work Items'!$A$6)+1),143)),"")</f>
        <v/>
      </c>
      <c r="E147">
        <f t="array" ref="E147">IFERROR(INDEX('Work Items'!$E$6:$E$5000,SMALL(IF('Work Items'!$A$6:$A$5000="CR",ROW('Work Items'!$A$6:$A$5000)-ROW('Work Items'!$A$6)+1),143)),"")</f>
        <v/>
      </c>
      <c r="F147">
        <f t="array" ref="F147">IFERROR(INDEX('Work Items'!$F$6:$F$5000,SMALL(IF('Work Items'!$A$6:$A$5000="CR",ROW('Work Items'!$A$6:$A$5000)-ROW('Work Items'!$A$6)+1),143)),"")</f>
        <v/>
      </c>
      <c r="G147">
        <f t="array" ref="G147">IFERROR(INDEX('Work Items'!$J$6:$J$5000,SMALL(IF('Work Items'!$A$6:$A$5000="CR",ROW('Work Items'!$A$6:$A$5000)-ROW('Work Items'!$A$6)+1),143)),"")</f>
        <v/>
      </c>
      <c r="H147">
        <f t="array" ref="H147">IFERROR(INDEX('Work Items'!$K$6:$K$5000,SMALL(IF('Work Items'!$A$6:$A$5000="CR",ROW('Work Items'!$A$6:$A$5000)-ROW('Work Items'!$A$6)+1),143)),"")</f>
        <v/>
      </c>
      <c r="I147">
        <f t="array" ref="I147">IFERROR(INDEX('Work Items'!$L$6:$L$5000,SMALL(IF('Work Items'!$A$6:$A$5000="CR",ROW('Work Items'!$A$6:$A$5000)-ROW('Work Items'!$A$6)+1),143)),"")</f>
        <v/>
      </c>
      <c r="J147" s="217">
        <f t="array" ref="J147">IFERROR(INDEX('Work Items'!$M$6:$M$5000,SMALL(IF('Work Items'!$A$6:$A$5000="CR",ROW('Work Items'!$A$6:$A$5000)-ROW('Work Items'!$A$6)+1),143)),"")</f>
        <v/>
      </c>
      <c r="K147" s="217">
        <f t="array" ref="K147">IFERROR(INDEX('Work Items'!$Q$6:$Q$5000,SMALL(IF('Work Items'!$A$6:$A$5000="CR",ROW('Work Items'!$A$6:$A$5000)-ROW('Work Items'!$A$6)+1),143)),"")</f>
        <v/>
      </c>
      <c r="L147">
        <f t="array" ref="L147">IFERROR(INDEX('Work Items'!$N$6:$N$5000,SMALL(IF('Work Items'!$A$6:$A$5000="CR",ROW('Work Items'!$A$6:$A$5000)-ROW('Work Items'!$A$6)+1),143)),"")</f>
        <v/>
      </c>
      <c r="M147">
        <f t="array" ref="M147">IFERROR(INDEX('Work Items'!$O$6:$O$5000,SMALL(IF('Work Items'!$A$6:$A$5000="CR",ROW('Work Items'!$A$6:$A$5000)-ROW('Work Items'!$A$6)+1),143)),"")</f>
        <v/>
      </c>
    </row>
    <row r="148">
      <c r="A148">
        <f t="array" ref="A148">IFERROR(INDEX('Work Items'!$A$6:$A$5000,SMALL(IF('Work Items'!$A$6:$A$5000="CR",ROW('Work Items'!$A$6:$A$5000)-ROW('Work Items'!$A$6)+1),144)),"")</f>
        <v/>
      </c>
      <c r="B148">
        <f t="array" ref="B148">IFERROR(INDEX('Work Items'!$B$6:$B$5000,SMALL(IF('Work Items'!$A$6:$A$5000="CR",ROW('Work Items'!$A$6:$A$5000)-ROW('Work Items'!$A$6)+1),144)),"")</f>
        <v/>
      </c>
      <c r="C148">
        <f t="array" ref="C148">IFERROR(INDEX('Work Items'!$C$6:$C$5000,SMALL(IF('Work Items'!$A$6:$A$5000="CR",ROW('Work Items'!$A$6:$A$5000)-ROW('Work Items'!$A$6)+1),144)),"")</f>
        <v/>
      </c>
      <c r="D148">
        <f t="array" ref="D148">IFERROR(INDEX('Work Items'!$D$6:$D$5000,SMALL(IF('Work Items'!$A$6:$A$5000="CR",ROW('Work Items'!$A$6:$A$5000)-ROW('Work Items'!$A$6)+1),144)),"")</f>
        <v/>
      </c>
      <c r="E148">
        <f t="array" ref="E148">IFERROR(INDEX('Work Items'!$E$6:$E$5000,SMALL(IF('Work Items'!$A$6:$A$5000="CR",ROW('Work Items'!$A$6:$A$5000)-ROW('Work Items'!$A$6)+1),144)),"")</f>
        <v/>
      </c>
      <c r="F148">
        <f t="array" ref="F148">IFERROR(INDEX('Work Items'!$F$6:$F$5000,SMALL(IF('Work Items'!$A$6:$A$5000="CR",ROW('Work Items'!$A$6:$A$5000)-ROW('Work Items'!$A$6)+1),144)),"")</f>
        <v/>
      </c>
      <c r="G148">
        <f t="array" ref="G148">IFERROR(INDEX('Work Items'!$J$6:$J$5000,SMALL(IF('Work Items'!$A$6:$A$5000="CR",ROW('Work Items'!$A$6:$A$5000)-ROW('Work Items'!$A$6)+1),144)),"")</f>
        <v/>
      </c>
      <c r="H148">
        <f t="array" ref="H148">IFERROR(INDEX('Work Items'!$K$6:$K$5000,SMALL(IF('Work Items'!$A$6:$A$5000="CR",ROW('Work Items'!$A$6:$A$5000)-ROW('Work Items'!$A$6)+1),144)),"")</f>
        <v/>
      </c>
      <c r="I148">
        <f t="array" ref="I148">IFERROR(INDEX('Work Items'!$L$6:$L$5000,SMALL(IF('Work Items'!$A$6:$A$5000="CR",ROW('Work Items'!$A$6:$A$5000)-ROW('Work Items'!$A$6)+1),144)),"")</f>
        <v/>
      </c>
      <c r="J148" s="217">
        <f t="array" ref="J148">IFERROR(INDEX('Work Items'!$M$6:$M$5000,SMALL(IF('Work Items'!$A$6:$A$5000="CR",ROW('Work Items'!$A$6:$A$5000)-ROW('Work Items'!$A$6)+1),144)),"")</f>
        <v/>
      </c>
      <c r="K148" s="217">
        <f t="array" ref="K148">IFERROR(INDEX('Work Items'!$Q$6:$Q$5000,SMALL(IF('Work Items'!$A$6:$A$5000="CR",ROW('Work Items'!$A$6:$A$5000)-ROW('Work Items'!$A$6)+1),144)),"")</f>
        <v/>
      </c>
      <c r="L148">
        <f t="array" ref="L148">IFERROR(INDEX('Work Items'!$N$6:$N$5000,SMALL(IF('Work Items'!$A$6:$A$5000="CR",ROW('Work Items'!$A$6:$A$5000)-ROW('Work Items'!$A$6)+1),144)),"")</f>
        <v/>
      </c>
      <c r="M148">
        <f t="array" ref="M148">IFERROR(INDEX('Work Items'!$O$6:$O$5000,SMALL(IF('Work Items'!$A$6:$A$5000="CR",ROW('Work Items'!$A$6:$A$5000)-ROW('Work Items'!$A$6)+1),144)),"")</f>
        <v/>
      </c>
    </row>
    <row r="149">
      <c r="A149">
        <f t="array" ref="A149">IFERROR(INDEX('Work Items'!$A$6:$A$5000,SMALL(IF('Work Items'!$A$6:$A$5000="CR",ROW('Work Items'!$A$6:$A$5000)-ROW('Work Items'!$A$6)+1),145)),"")</f>
        <v/>
      </c>
      <c r="B149">
        <f t="array" ref="B149">IFERROR(INDEX('Work Items'!$B$6:$B$5000,SMALL(IF('Work Items'!$A$6:$A$5000="CR",ROW('Work Items'!$A$6:$A$5000)-ROW('Work Items'!$A$6)+1),145)),"")</f>
        <v/>
      </c>
      <c r="C149">
        <f t="array" ref="C149">IFERROR(INDEX('Work Items'!$C$6:$C$5000,SMALL(IF('Work Items'!$A$6:$A$5000="CR",ROW('Work Items'!$A$6:$A$5000)-ROW('Work Items'!$A$6)+1),145)),"")</f>
        <v/>
      </c>
      <c r="D149">
        <f t="array" ref="D149">IFERROR(INDEX('Work Items'!$D$6:$D$5000,SMALL(IF('Work Items'!$A$6:$A$5000="CR",ROW('Work Items'!$A$6:$A$5000)-ROW('Work Items'!$A$6)+1),145)),"")</f>
        <v/>
      </c>
      <c r="E149">
        <f t="array" ref="E149">IFERROR(INDEX('Work Items'!$E$6:$E$5000,SMALL(IF('Work Items'!$A$6:$A$5000="CR",ROW('Work Items'!$A$6:$A$5000)-ROW('Work Items'!$A$6)+1),145)),"")</f>
        <v/>
      </c>
      <c r="F149">
        <f t="array" ref="F149">IFERROR(INDEX('Work Items'!$F$6:$F$5000,SMALL(IF('Work Items'!$A$6:$A$5000="CR",ROW('Work Items'!$A$6:$A$5000)-ROW('Work Items'!$A$6)+1),145)),"")</f>
        <v/>
      </c>
      <c r="G149">
        <f t="array" ref="G149">IFERROR(INDEX('Work Items'!$J$6:$J$5000,SMALL(IF('Work Items'!$A$6:$A$5000="CR",ROW('Work Items'!$A$6:$A$5000)-ROW('Work Items'!$A$6)+1),145)),"")</f>
        <v/>
      </c>
      <c r="H149">
        <f t="array" ref="H149">IFERROR(INDEX('Work Items'!$K$6:$K$5000,SMALL(IF('Work Items'!$A$6:$A$5000="CR",ROW('Work Items'!$A$6:$A$5000)-ROW('Work Items'!$A$6)+1),145)),"")</f>
        <v/>
      </c>
      <c r="I149">
        <f t="array" ref="I149">IFERROR(INDEX('Work Items'!$L$6:$L$5000,SMALL(IF('Work Items'!$A$6:$A$5000="CR",ROW('Work Items'!$A$6:$A$5000)-ROW('Work Items'!$A$6)+1),145)),"")</f>
        <v/>
      </c>
      <c r="J149" s="217">
        <f t="array" ref="J149">IFERROR(INDEX('Work Items'!$M$6:$M$5000,SMALL(IF('Work Items'!$A$6:$A$5000="CR",ROW('Work Items'!$A$6:$A$5000)-ROW('Work Items'!$A$6)+1),145)),"")</f>
        <v/>
      </c>
      <c r="K149" s="217">
        <f t="array" ref="K149">IFERROR(INDEX('Work Items'!$Q$6:$Q$5000,SMALL(IF('Work Items'!$A$6:$A$5000="CR",ROW('Work Items'!$A$6:$A$5000)-ROW('Work Items'!$A$6)+1),145)),"")</f>
        <v/>
      </c>
      <c r="L149">
        <f t="array" ref="L149">IFERROR(INDEX('Work Items'!$N$6:$N$5000,SMALL(IF('Work Items'!$A$6:$A$5000="CR",ROW('Work Items'!$A$6:$A$5000)-ROW('Work Items'!$A$6)+1),145)),"")</f>
        <v/>
      </c>
      <c r="M149">
        <f t="array" ref="M149">IFERROR(INDEX('Work Items'!$O$6:$O$5000,SMALL(IF('Work Items'!$A$6:$A$5000="CR",ROW('Work Items'!$A$6:$A$5000)-ROW('Work Items'!$A$6)+1),145)),"")</f>
        <v/>
      </c>
    </row>
    <row r="150">
      <c r="A150">
        <f t="array" ref="A150">IFERROR(INDEX('Work Items'!$A$6:$A$5000,SMALL(IF('Work Items'!$A$6:$A$5000="CR",ROW('Work Items'!$A$6:$A$5000)-ROW('Work Items'!$A$6)+1),146)),"")</f>
        <v/>
      </c>
      <c r="B150">
        <f t="array" ref="B150">IFERROR(INDEX('Work Items'!$B$6:$B$5000,SMALL(IF('Work Items'!$A$6:$A$5000="CR",ROW('Work Items'!$A$6:$A$5000)-ROW('Work Items'!$A$6)+1),146)),"")</f>
        <v/>
      </c>
      <c r="C150">
        <f t="array" ref="C150">IFERROR(INDEX('Work Items'!$C$6:$C$5000,SMALL(IF('Work Items'!$A$6:$A$5000="CR",ROW('Work Items'!$A$6:$A$5000)-ROW('Work Items'!$A$6)+1),146)),"")</f>
        <v/>
      </c>
      <c r="D150">
        <f t="array" ref="D150">IFERROR(INDEX('Work Items'!$D$6:$D$5000,SMALL(IF('Work Items'!$A$6:$A$5000="CR",ROW('Work Items'!$A$6:$A$5000)-ROW('Work Items'!$A$6)+1),146)),"")</f>
        <v/>
      </c>
      <c r="E150">
        <f t="array" ref="E150">IFERROR(INDEX('Work Items'!$E$6:$E$5000,SMALL(IF('Work Items'!$A$6:$A$5000="CR",ROW('Work Items'!$A$6:$A$5000)-ROW('Work Items'!$A$6)+1),146)),"")</f>
        <v/>
      </c>
      <c r="F150">
        <f t="array" ref="F150">IFERROR(INDEX('Work Items'!$F$6:$F$5000,SMALL(IF('Work Items'!$A$6:$A$5000="CR",ROW('Work Items'!$A$6:$A$5000)-ROW('Work Items'!$A$6)+1),146)),"")</f>
        <v/>
      </c>
      <c r="G150">
        <f t="array" ref="G150">IFERROR(INDEX('Work Items'!$J$6:$J$5000,SMALL(IF('Work Items'!$A$6:$A$5000="CR",ROW('Work Items'!$A$6:$A$5000)-ROW('Work Items'!$A$6)+1),146)),"")</f>
        <v/>
      </c>
      <c r="H150">
        <f t="array" ref="H150">IFERROR(INDEX('Work Items'!$K$6:$K$5000,SMALL(IF('Work Items'!$A$6:$A$5000="CR",ROW('Work Items'!$A$6:$A$5000)-ROW('Work Items'!$A$6)+1),146)),"")</f>
        <v/>
      </c>
      <c r="I150">
        <f t="array" ref="I150">IFERROR(INDEX('Work Items'!$L$6:$L$5000,SMALL(IF('Work Items'!$A$6:$A$5000="CR",ROW('Work Items'!$A$6:$A$5000)-ROW('Work Items'!$A$6)+1),146)),"")</f>
        <v/>
      </c>
      <c r="J150" s="217">
        <f t="array" ref="J150">IFERROR(INDEX('Work Items'!$M$6:$M$5000,SMALL(IF('Work Items'!$A$6:$A$5000="CR",ROW('Work Items'!$A$6:$A$5000)-ROW('Work Items'!$A$6)+1),146)),"")</f>
        <v/>
      </c>
      <c r="K150" s="217">
        <f t="array" ref="K150">IFERROR(INDEX('Work Items'!$Q$6:$Q$5000,SMALL(IF('Work Items'!$A$6:$A$5000="CR",ROW('Work Items'!$A$6:$A$5000)-ROW('Work Items'!$A$6)+1),146)),"")</f>
        <v/>
      </c>
      <c r="L150">
        <f t="array" ref="L150">IFERROR(INDEX('Work Items'!$N$6:$N$5000,SMALL(IF('Work Items'!$A$6:$A$5000="CR",ROW('Work Items'!$A$6:$A$5000)-ROW('Work Items'!$A$6)+1),146)),"")</f>
        <v/>
      </c>
      <c r="M150">
        <f t="array" ref="M150">IFERROR(INDEX('Work Items'!$O$6:$O$5000,SMALL(IF('Work Items'!$A$6:$A$5000="CR",ROW('Work Items'!$A$6:$A$5000)-ROW('Work Items'!$A$6)+1),146)),"")</f>
        <v/>
      </c>
    </row>
    <row r="151">
      <c r="A151">
        <f t="array" ref="A151">IFERROR(INDEX('Work Items'!$A$6:$A$5000,SMALL(IF('Work Items'!$A$6:$A$5000="CR",ROW('Work Items'!$A$6:$A$5000)-ROW('Work Items'!$A$6)+1),147)),"")</f>
        <v/>
      </c>
      <c r="B151">
        <f t="array" ref="B151">IFERROR(INDEX('Work Items'!$B$6:$B$5000,SMALL(IF('Work Items'!$A$6:$A$5000="CR",ROW('Work Items'!$A$6:$A$5000)-ROW('Work Items'!$A$6)+1),147)),"")</f>
        <v/>
      </c>
      <c r="C151">
        <f t="array" ref="C151">IFERROR(INDEX('Work Items'!$C$6:$C$5000,SMALL(IF('Work Items'!$A$6:$A$5000="CR",ROW('Work Items'!$A$6:$A$5000)-ROW('Work Items'!$A$6)+1),147)),"")</f>
        <v/>
      </c>
      <c r="D151">
        <f t="array" ref="D151">IFERROR(INDEX('Work Items'!$D$6:$D$5000,SMALL(IF('Work Items'!$A$6:$A$5000="CR",ROW('Work Items'!$A$6:$A$5000)-ROW('Work Items'!$A$6)+1),147)),"")</f>
        <v/>
      </c>
      <c r="E151">
        <f t="array" ref="E151">IFERROR(INDEX('Work Items'!$E$6:$E$5000,SMALL(IF('Work Items'!$A$6:$A$5000="CR",ROW('Work Items'!$A$6:$A$5000)-ROW('Work Items'!$A$6)+1),147)),"")</f>
        <v/>
      </c>
      <c r="F151">
        <f t="array" ref="F151">IFERROR(INDEX('Work Items'!$F$6:$F$5000,SMALL(IF('Work Items'!$A$6:$A$5000="CR",ROW('Work Items'!$A$6:$A$5000)-ROW('Work Items'!$A$6)+1),147)),"")</f>
        <v/>
      </c>
      <c r="G151">
        <f t="array" ref="G151">IFERROR(INDEX('Work Items'!$J$6:$J$5000,SMALL(IF('Work Items'!$A$6:$A$5000="CR",ROW('Work Items'!$A$6:$A$5000)-ROW('Work Items'!$A$6)+1),147)),"")</f>
        <v/>
      </c>
      <c r="H151">
        <f t="array" ref="H151">IFERROR(INDEX('Work Items'!$K$6:$K$5000,SMALL(IF('Work Items'!$A$6:$A$5000="CR",ROW('Work Items'!$A$6:$A$5000)-ROW('Work Items'!$A$6)+1),147)),"")</f>
        <v/>
      </c>
      <c r="I151">
        <f t="array" ref="I151">IFERROR(INDEX('Work Items'!$L$6:$L$5000,SMALL(IF('Work Items'!$A$6:$A$5000="CR",ROW('Work Items'!$A$6:$A$5000)-ROW('Work Items'!$A$6)+1),147)),"")</f>
        <v/>
      </c>
      <c r="J151" s="217">
        <f t="array" ref="J151">IFERROR(INDEX('Work Items'!$M$6:$M$5000,SMALL(IF('Work Items'!$A$6:$A$5000="CR",ROW('Work Items'!$A$6:$A$5000)-ROW('Work Items'!$A$6)+1),147)),"")</f>
        <v/>
      </c>
      <c r="K151" s="217">
        <f t="array" ref="K151">IFERROR(INDEX('Work Items'!$Q$6:$Q$5000,SMALL(IF('Work Items'!$A$6:$A$5000="CR",ROW('Work Items'!$A$6:$A$5000)-ROW('Work Items'!$A$6)+1),147)),"")</f>
        <v/>
      </c>
      <c r="L151">
        <f t="array" ref="L151">IFERROR(INDEX('Work Items'!$N$6:$N$5000,SMALL(IF('Work Items'!$A$6:$A$5000="CR",ROW('Work Items'!$A$6:$A$5000)-ROW('Work Items'!$A$6)+1),147)),"")</f>
        <v/>
      </c>
      <c r="M151">
        <f t="array" ref="M151">IFERROR(INDEX('Work Items'!$O$6:$O$5000,SMALL(IF('Work Items'!$A$6:$A$5000="CR",ROW('Work Items'!$A$6:$A$5000)-ROW('Work Items'!$A$6)+1),147)),"")</f>
        <v/>
      </c>
    </row>
    <row r="152">
      <c r="A152">
        <f t="array" ref="A152">IFERROR(INDEX('Work Items'!$A$6:$A$5000,SMALL(IF('Work Items'!$A$6:$A$5000="CR",ROW('Work Items'!$A$6:$A$5000)-ROW('Work Items'!$A$6)+1),148)),"")</f>
        <v/>
      </c>
      <c r="B152">
        <f t="array" ref="B152">IFERROR(INDEX('Work Items'!$B$6:$B$5000,SMALL(IF('Work Items'!$A$6:$A$5000="CR",ROW('Work Items'!$A$6:$A$5000)-ROW('Work Items'!$A$6)+1),148)),"")</f>
        <v/>
      </c>
      <c r="C152">
        <f t="array" ref="C152">IFERROR(INDEX('Work Items'!$C$6:$C$5000,SMALL(IF('Work Items'!$A$6:$A$5000="CR",ROW('Work Items'!$A$6:$A$5000)-ROW('Work Items'!$A$6)+1),148)),"")</f>
        <v/>
      </c>
      <c r="D152">
        <f t="array" ref="D152">IFERROR(INDEX('Work Items'!$D$6:$D$5000,SMALL(IF('Work Items'!$A$6:$A$5000="CR",ROW('Work Items'!$A$6:$A$5000)-ROW('Work Items'!$A$6)+1),148)),"")</f>
        <v/>
      </c>
      <c r="E152">
        <f t="array" ref="E152">IFERROR(INDEX('Work Items'!$E$6:$E$5000,SMALL(IF('Work Items'!$A$6:$A$5000="CR",ROW('Work Items'!$A$6:$A$5000)-ROW('Work Items'!$A$6)+1),148)),"")</f>
        <v/>
      </c>
      <c r="F152">
        <f t="array" ref="F152">IFERROR(INDEX('Work Items'!$F$6:$F$5000,SMALL(IF('Work Items'!$A$6:$A$5000="CR",ROW('Work Items'!$A$6:$A$5000)-ROW('Work Items'!$A$6)+1),148)),"")</f>
        <v/>
      </c>
      <c r="G152">
        <f t="array" ref="G152">IFERROR(INDEX('Work Items'!$J$6:$J$5000,SMALL(IF('Work Items'!$A$6:$A$5000="CR",ROW('Work Items'!$A$6:$A$5000)-ROW('Work Items'!$A$6)+1),148)),"")</f>
        <v/>
      </c>
      <c r="H152">
        <f t="array" ref="H152">IFERROR(INDEX('Work Items'!$K$6:$K$5000,SMALL(IF('Work Items'!$A$6:$A$5000="CR",ROW('Work Items'!$A$6:$A$5000)-ROW('Work Items'!$A$6)+1),148)),"")</f>
        <v/>
      </c>
      <c r="I152">
        <f t="array" ref="I152">IFERROR(INDEX('Work Items'!$L$6:$L$5000,SMALL(IF('Work Items'!$A$6:$A$5000="CR",ROW('Work Items'!$A$6:$A$5000)-ROW('Work Items'!$A$6)+1),148)),"")</f>
        <v/>
      </c>
      <c r="J152" s="217">
        <f t="array" ref="J152">IFERROR(INDEX('Work Items'!$M$6:$M$5000,SMALL(IF('Work Items'!$A$6:$A$5000="CR",ROW('Work Items'!$A$6:$A$5000)-ROW('Work Items'!$A$6)+1),148)),"")</f>
        <v/>
      </c>
      <c r="K152" s="217">
        <f t="array" ref="K152">IFERROR(INDEX('Work Items'!$Q$6:$Q$5000,SMALL(IF('Work Items'!$A$6:$A$5000="CR",ROW('Work Items'!$A$6:$A$5000)-ROW('Work Items'!$A$6)+1),148)),"")</f>
        <v/>
      </c>
      <c r="L152">
        <f t="array" ref="L152">IFERROR(INDEX('Work Items'!$N$6:$N$5000,SMALL(IF('Work Items'!$A$6:$A$5000="CR",ROW('Work Items'!$A$6:$A$5000)-ROW('Work Items'!$A$6)+1),148)),"")</f>
        <v/>
      </c>
      <c r="M152">
        <f t="array" ref="M152">IFERROR(INDEX('Work Items'!$O$6:$O$5000,SMALL(IF('Work Items'!$A$6:$A$5000="CR",ROW('Work Items'!$A$6:$A$5000)-ROW('Work Items'!$A$6)+1),148)),"")</f>
        <v/>
      </c>
    </row>
    <row r="153">
      <c r="A153">
        <f t="array" ref="A153">IFERROR(INDEX('Work Items'!$A$6:$A$5000,SMALL(IF('Work Items'!$A$6:$A$5000="CR",ROW('Work Items'!$A$6:$A$5000)-ROW('Work Items'!$A$6)+1),149)),"")</f>
        <v/>
      </c>
      <c r="B153">
        <f t="array" ref="B153">IFERROR(INDEX('Work Items'!$B$6:$B$5000,SMALL(IF('Work Items'!$A$6:$A$5000="CR",ROW('Work Items'!$A$6:$A$5000)-ROW('Work Items'!$A$6)+1),149)),"")</f>
        <v/>
      </c>
      <c r="C153">
        <f t="array" ref="C153">IFERROR(INDEX('Work Items'!$C$6:$C$5000,SMALL(IF('Work Items'!$A$6:$A$5000="CR",ROW('Work Items'!$A$6:$A$5000)-ROW('Work Items'!$A$6)+1),149)),"")</f>
        <v/>
      </c>
      <c r="D153">
        <f t="array" ref="D153">IFERROR(INDEX('Work Items'!$D$6:$D$5000,SMALL(IF('Work Items'!$A$6:$A$5000="CR",ROW('Work Items'!$A$6:$A$5000)-ROW('Work Items'!$A$6)+1),149)),"")</f>
        <v/>
      </c>
      <c r="E153">
        <f t="array" ref="E153">IFERROR(INDEX('Work Items'!$E$6:$E$5000,SMALL(IF('Work Items'!$A$6:$A$5000="CR",ROW('Work Items'!$A$6:$A$5000)-ROW('Work Items'!$A$6)+1),149)),"")</f>
        <v/>
      </c>
      <c r="F153">
        <f t="array" ref="F153">IFERROR(INDEX('Work Items'!$F$6:$F$5000,SMALL(IF('Work Items'!$A$6:$A$5000="CR",ROW('Work Items'!$A$6:$A$5000)-ROW('Work Items'!$A$6)+1),149)),"")</f>
        <v/>
      </c>
      <c r="G153">
        <f t="array" ref="G153">IFERROR(INDEX('Work Items'!$J$6:$J$5000,SMALL(IF('Work Items'!$A$6:$A$5000="CR",ROW('Work Items'!$A$6:$A$5000)-ROW('Work Items'!$A$6)+1),149)),"")</f>
        <v/>
      </c>
      <c r="H153">
        <f t="array" ref="H153">IFERROR(INDEX('Work Items'!$K$6:$K$5000,SMALL(IF('Work Items'!$A$6:$A$5000="CR",ROW('Work Items'!$A$6:$A$5000)-ROW('Work Items'!$A$6)+1),149)),"")</f>
        <v/>
      </c>
      <c r="I153">
        <f t="array" ref="I153">IFERROR(INDEX('Work Items'!$L$6:$L$5000,SMALL(IF('Work Items'!$A$6:$A$5000="CR",ROW('Work Items'!$A$6:$A$5000)-ROW('Work Items'!$A$6)+1),149)),"")</f>
        <v/>
      </c>
      <c r="J153" s="217">
        <f t="array" ref="J153">IFERROR(INDEX('Work Items'!$M$6:$M$5000,SMALL(IF('Work Items'!$A$6:$A$5000="CR",ROW('Work Items'!$A$6:$A$5000)-ROW('Work Items'!$A$6)+1),149)),"")</f>
        <v/>
      </c>
      <c r="K153" s="217">
        <f t="array" ref="K153">IFERROR(INDEX('Work Items'!$Q$6:$Q$5000,SMALL(IF('Work Items'!$A$6:$A$5000="CR",ROW('Work Items'!$A$6:$A$5000)-ROW('Work Items'!$A$6)+1),149)),"")</f>
        <v/>
      </c>
      <c r="L153">
        <f t="array" ref="L153">IFERROR(INDEX('Work Items'!$N$6:$N$5000,SMALL(IF('Work Items'!$A$6:$A$5000="CR",ROW('Work Items'!$A$6:$A$5000)-ROW('Work Items'!$A$6)+1),149)),"")</f>
        <v/>
      </c>
      <c r="M153">
        <f t="array" ref="M153">IFERROR(INDEX('Work Items'!$O$6:$O$5000,SMALL(IF('Work Items'!$A$6:$A$5000="CR",ROW('Work Items'!$A$6:$A$5000)-ROW('Work Items'!$A$6)+1),149)),"")</f>
        <v/>
      </c>
    </row>
    <row r="154">
      <c r="A154">
        <f t="array" ref="A154">IFERROR(INDEX('Work Items'!$A$6:$A$5000,SMALL(IF('Work Items'!$A$6:$A$5000="CR",ROW('Work Items'!$A$6:$A$5000)-ROW('Work Items'!$A$6)+1),150)),"")</f>
        <v/>
      </c>
      <c r="B154">
        <f t="array" ref="B154">IFERROR(INDEX('Work Items'!$B$6:$B$5000,SMALL(IF('Work Items'!$A$6:$A$5000="CR",ROW('Work Items'!$A$6:$A$5000)-ROW('Work Items'!$A$6)+1),150)),"")</f>
        <v/>
      </c>
      <c r="C154">
        <f t="array" ref="C154">IFERROR(INDEX('Work Items'!$C$6:$C$5000,SMALL(IF('Work Items'!$A$6:$A$5000="CR",ROW('Work Items'!$A$6:$A$5000)-ROW('Work Items'!$A$6)+1),150)),"")</f>
        <v/>
      </c>
      <c r="D154">
        <f t="array" ref="D154">IFERROR(INDEX('Work Items'!$D$6:$D$5000,SMALL(IF('Work Items'!$A$6:$A$5000="CR",ROW('Work Items'!$A$6:$A$5000)-ROW('Work Items'!$A$6)+1),150)),"")</f>
        <v/>
      </c>
      <c r="E154">
        <f t="array" ref="E154">IFERROR(INDEX('Work Items'!$E$6:$E$5000,SMALL(IF('Work Items'!$A$6:$A$5000="CR",ROW('Work Items'!$A$6:$A$5000)-ROW('Work Items'!$A$6)+1),150)),"")</f>
        <v/>
      </c>
      <c r="F154">
        <f t="array" ref="F154">IFERROR(INDEX('Work Items'!$F$6:$F$5000,SMALL(IF('Work Items'!$A$6:$A$5000="CR",ROW('Work Items'!$A$6:$A$5000)-ROW('Work Items'!$A$6)+1),150)),"")</f>
        <v/>
      </c>
      <c r="G154">
        <f t="array" ref="G154">IFERROR(INDEX('Work Items'!$J$6:$J$5000,SMALL(IF('Work Items'!$A$6:$A$5000="CR",ROW('Work Items'!$A$6:$A$5000)-ROW('Work Items'!$A$6)+1),150)),"")</f>
        <v/>
      </c>
      <c r="H154">
        <f t="array" ref="H154">IFERROR(INDEX('Work Items'!$K$6:$K$5000,SMALL(IF('Work Items'!$A$6:$A$5000="CR",ROW('Work Items'!$A$6:$A$5000)-ROW('Work Items'!$A$6)+1),150)),"")</f>
        <v/>
      </c>
      <c r="I154">
        <f t="array" ref="I154">IFERROR(INDEX('Work Items'!$L$6:$L$5000,SMALL(IF('Work Items'!$A$6:$A$5000="CR",ROW('Work Items'!$A$6:$A$5000)-ROW('Work Items'!$A$6)+1),150)),"")</f>
        <v/>
      </c>
      <c r="J154" s="217">
        <f t="array" ref="J154">IFERROR(INDEX('Work Items'!$M$6:$M$5000,SMALL(IF('Work Items'!$A$6:$A$5000="CR",ROW('Work Items'!$A$6:$A$5000)-ROW('Work Items'!$A$6)+1),150)),"")</f>
        <v/>
      </c>
      <c r="K154" s="217">
        <f t="array" ref="K154">IFERROR(INDEX('Work Items'!$Q$6:$Q$5000,SMALL(IF('Work Items'!$A$6:$A$5000="CR",ROW('Work Items'!$A$6:$A$5000)-ROW('Work Items'!$A$6)+1),150)),"")</f>
        <v/>
      </c>
      <c r="L154">
        <f t="array" ref="L154">IFERROR(INDEX('Work Items'!$N$6:$N$5000,SMALL(IF('Work Items'!$A$6:$A$5000="CR",ROW('Work Items'!$A$6:$A$5000)-ROW('Work Items'!$A$6)+1),150)),"")</f>
        <v/>
      </c>
      <c r="M154">
        <f t="array" ref="M154">IFERROR(INDEX('Work Items'!$O$6:$O$5000,SMALL(IF('Work Items'!$A$6:$A$5000="CR",ROW('Work Items'!$A$6:$A$5000)-ROW('Work Items'!$A$6)+1),150)),"")</f>
        <v/>
      </c>
    </row>
    <row r="155">
      <c r="A155">
        <f t="array" ref="A155">IFERROR(INDEX('Work Items'!$A$6:$A$5000,SMALL(IF('Work Items'!$A$6:$A$5000="CR",ROW('Work Items'!$A$6:$A$5000)-ROW('Work Items'!$A$6)+1),151)),"")</f>
        <v/>
      </c>
      <c r="B155">
        <f t="array" ref="B155">IFERROR(INDEX('Work Items'!$B$6:$B$5000,SMALL(IF('Work Items'!$A$6:$A$5000="CR",ROW('Work Items'!$A$6:$A$5000)-ROW('Work Items'!$A$6)+1),151)),"")</f>
        <v/>
      </c>
      <c r="C155">
        <f t="array" ref="C155">IFERROR(INDEX('Work Items'!$C$6:$C$5000,SMALL(IF('Work Items'!$A$6:$A$5000="CR",ROW('Work Items'!$A$6:$A$5000)-ROW('Work Items'!$A$6)+1),151)),"")</f>
        <v/>
      </c>
      <c r="D155">
        <f t="array" ref="D155">IFERROR(INDEX('Work Items'!$D$6:$D$5000,SMALL(IF('Work Items'!$A$6:$A$5000="CR",ROW('Work Items'!$A$6:$A$5000)-ROW('Work Items'!$A$6)+1),151)),"")</f>
        <v/>
      </c>
      <c r="E155">
        <f t="array" ref="E155">IFERROR(INDEX('Work Items'!$E$6:$E$5000,SMALL(IF('Work Items'!$A$6:$A$5000="CR",ROW('Work Items'!$A$6:$A$5000)-ROW('Work Items'!$A$6)+1),151)),"")</f>
        <v/>
      </c>
      <c r="F155">
        <f t="array" ref="F155">IFERROR(INDEX('Work Items'!$F$6:$F$5000,SMALL(IF('Work Items'!$A$6:$A$5000="CR",ROW('Work Items'!$A$6:$A$5000)-ROW('Work Items'!$A$6)+1),151)),"")</f>
        <v/>
      </c>
      <c r="G155">
        <f t="array" ref="G155">IFERROR(INDEX('Work Items'!$J$6:$J$5000,SMALL(IF('Work Items'!$A$6:$A$5000="CR",ROW('Work Items'!$A$6:$A$5000)-ROW('Work Items'!$A$6)+1),151)),"")</f>
        <v/>
      </c>
      <c r="H155">
        <f t="array" ref="H155">IFERROR(INDEX('Work Items'!$K$6:$K$5000,SMALL(IF('Work Items'!$A$6:$A$5000="CR",ROW('Work Items'!$A$6:$A$5000)-ROW('Work Items'!$A$6)+1),151)),"")</f>
        <v/>
      </c>
      <c r="I155">
        <f t="array" ref="I155">IFERROR(INDEX('Work Items'!$L$6:$L$5000,SMALL(IF('Work Items'!$A$6:$A$5000="CR",ROW('Work Items'!$A$6:$A$5000)-ROW('Work Items'!$A$6)+1),151)),"")</f>
        <v/>
      </c>
      <c r="J155" s="217">
        <f t="array" ref="J155">IFERROR(INDEX('Work Items'!$M$6:$M$5000,SMALL(IF('Work Items'!$A$6:$A$5000="CR",ROW('Work Items'!$A$6:$A$5000)-ROW('Work Items'!$A$6)+1),151)),"")</f>
        <v/>
      </c>
      <c r="K155" s="217">
        <f t="array" ref="K155">IFERROR(INDEX('Work Items'!$Q$6:$Q$5000,SMALL(IF('Work Items'!$A$6:$A$5000="CR",ROW('Work Items'!$A$6:$A$5000)-ROW('Work Items'!$A$6)+1),151)),"")</f>
        <v/>
      </c>
      <c r="L155">
        <f t="array" ref="L155">IFERROR(INDEX('Work Items'!$N$6:$N$5000,SMALL(IF('Work Items'!$A$6:$A$5000="CR",ROW('Work Items'!$A$6:$A$5000)-ROW('Work Items'!$A$6)+1),151)),"")</f>
        <v/>
      </c>
      <c r="M155">
        <f t="array" ref="M155">IFERROR(INDEX('Work Items'!$O$6:$O$5000,SMALL(IF('Work Items'!$A$6:$A$5000="CR",ROW('Work Items'!$A$6:$A$5000)-ROW('Work Items'!$A$6)+1),151)),"")</f>
        <v/>
      </c>
    </row>
    <row r="156">
      <c r="A156">
        <f t="array" ref="A156">IFERROR(INDEX('Work Items'!$A$6:$A$5000,SMALL(IF('Work Items'!$A$6:$A$5000="CR",ROW('Work Items'!$A$6:$A$5000)-ROW('Work Items'!$A$6)+1),152)),"")</f>
        <v/>
      </c>
      <c r="B156">
        <f t="array" ref="B156">IFERROR(INDEX('Work Items'!$B$6:$B$5000,SMALL(IF('Work Items'!$A$6:$A$5000="CR",ROW('Work Items'!$A$6:$A$5000)-ROW('Work Items'!$A$6)+1),152)),"")</f>
        <v/>
      </c>
      <c r="C156">
        <f t="array" ref="C156">IFERROR(INDEX('Work Items'!$C$6:$C$5000,SMALL(IF('Work Items'!$A$6:$A$5000="CR",ROW('Work Items'!$A$6:$A$5000)-ROW('Work Items'!$A$6)+1),152)),"")</f>
        <v/>
      </c>
      <c r="D156">
        <f t="array" ref="D156">IFERROR(INDEX('Work Items'!$D$6:$D$5000,SMALL(IF('Work Items'!$A$6:$A$5000="CR",ROW('Work Items'!$A$6:$A$5000)-ROW('Work Items'!$A$6)+1),152)),"")</f>
        <v/>
      </c>
      <c r="E156">
        <f t="array" ref="E156">IFERROR(INDEX('Work Items'!$E$6:$E$5000,SMALL(IF('Work Items'!$A$6:$A$5000="CR",ROW('Work Items'!$A$6:$A$5000)-ROW('Work Items'!$A$6)+1),152)),"")</f>
        <v/>
      </c>
      <c r="F156">
        <f t="array" ref="F156">IFERROR(INDEX('Work Items'!$F$6:$F$5000,SMALL(IF('Work Items'!$A$6:$A$5000="CR",ROW('Work Items'!$A$6:$A$5000)-ROW('Work Items'!$A$6)+1),152)),"")</f>
        <v/>
      </c>
      <c r="G156">
        <f t="array" ref="G156">IFERROR(INDEX('Work Items'!$J$6:$J$5000,SMALL(IF('Work Items'!$A$6:$A$5000="CR",ROW('Work Items'!$A$6:$A$5000)-ROW('Work Items'!$A$6)+1),152)),"")</f>
        <v/>
      </c>
      <c r="H156">
        <f t="array" ref="H156">IFERROR(INDEX('Work Items'!$K$6:$K$5000,SMALL(IF('Work Items'!$A$6:$A$5000="CR",ROW('Work Items'!$A$6:$A$5000)-ROW('Work Items'!$A$6)+1),152)),"")</f>
        <v/>
      </c>
      <c r="I156">
        <f t="array" ref="I156">IFERROR(INDEX('Work Items'!$L$6:$L$5000,SMALL(IF('Work Items'!$A$6:$A$5000="CR",ROW('Work Items'!$A$6:$A$5000)-ROW('Work Items'!$A$6)+1),152)),"")</f>
        <v/>
      </c>
      <c r="J156" s="217">
        <f t="array" ref="J156">IFERROR(INDEX('Work Items'!$M$6:$M$5000,SMALL(IF('Work Items'!$A$6:$A$5000="CR",ROW('Work Items'!$A$6:$A$5000)-ROW('Work Items'!$A$6)+1),152)),"")</f>
        <v/>
      </c>
      <c r="K156" s="217">
        <f t="array" ref="K156">IFERROR(INDEX('Work Items'!$Q$6:$Q$5000,SMALL(IF('Work Items'!$A$6:$A$5000="CR",ROW('Work Items'!$A$6:$A$5000)-ROW('Work Items'!$A$6)+1),152)),"")</f>
        <v/>
      </c>
      <c r="L156">
        <f t="array" ref="L156">IFERROR(INDEX('Work Items'!$N$6:$N$5000,SMALL(IF('Work Items'!$A$6:$A$5000="CR",ROW('Work Items'!$A$6:$A$5000)-ROW('Work Items'!$A$6)+1),152)),"")</f>
        <v/>
      </c>
      <c r="M156">
        <f t="array" ref="M156">IFERROR(INDEX('Work Items'!$O$6:$O$5000,SMALL(IF('Work Items'!$A$6:$A$5000="CR",ROW('Work Items'!$A$6:$A$5000)-ROW('Work Items'!$A$6)+1),152)),"")</f>
        <v/>
      </c>
    </row>
    <row r="157">
      <c r="A157">
        <f t="array" ref="A157">IFERROR(INDEX('Work Items'!$A$6:$A$5000,SMALL(IF('Work Items'!$A$6:$A$5000="CR",ROW('Work Items'!$A$6:$A$5000)-ROW('Work Items'!$A$6)+1),153)),"")</f>
        <v/>
      </c>
      <c r="B157">
        <f t="array" ref="B157">IFERROR(INDEX('Work Items'!$B$6:$B$5000,SMALL(IF('Work Items'!$A$6:$A$5000="CR",ROW('Work Items'!$A$6:$A$5000)-ROW('Work Items'!$A$6)+1),153)),"")</f>
        <v/>
      </c>
      <c r="C157">
        <f t="array" ref="C157">IFERROR(INDEX('Work Items'!$C$6:$C$5000,SMALL(IF('Work Items'!$A$6:$A$5000="CR",ROW('Work Items'!$A$6:$A$5000)-ROW('Work Items'!$A$6)+1),153)),"")</f>
        <v/>
      </c>
      <c r="D157">
        <f t="array" ref="D157">IFERROR(INDEX('Work Items'!$D$6:$D$5000,SMALL(IF('Work Items'!$A$6:$A$5000="CR",ROW('Work Items'!$A$6:$A$5000)-ROW('Work Items'!$A$6)+1),153)),"")</f>
        <v/>
      </c>
      <c r="E157">
        <f t="array" ref="E157">IFERROR(INDEX('Work Items'!$E$6:$E$5000,SMALL(IF('Work Items'!$A$6:$A$5000="CR",ROW('Work Items'!$A$6:$A$5000)-ROW('Work Items'!$A$6)+1),153)),"")</f>
        <v/>
      </c>
      <c r="F157">
        <f t="array" ref="F157">IFERROR(INDEX('Work Items'!$F$6:$F$5000,SMALL(IF('Work Items'!$A$6:$A$5000="CR",ROW('Work Items'!$A$6:$A$5000)-ROW('Work Items'!$A$6)+1),153)),"")</f>
        <v/>
      </c>
      <c r="G157">
        <f t="array" ref="G157">IFERROR(INDEX('Work Items'!$J$6:$J$5000,SMALL(IF('Work Items'!$A$6:$A$5000="CR",ROW('Work Items'!$A$6:$A$5000)-ROW('Work Items'!$A$6)+1),153)),"")</f>
        <v/>
      </c>
      <c r="H157">
        <f t="array" ref="H157">IFERROR(INDEX('Work Items'!$K$6:$K$5000,SMALL(IF('Work Items'!$A$6:$A$5000="CR",ROW('Work Items'!$A$6:$A$5000)-ROW('Work Items'!$A$6)+1),153)),"")</f>
        <v/>
      </c>
      <c r="I157">
        <f t="array" ref="I157">IFERROR(INDEX('Work Items'!$L$6:$L$5000,SMALL(IF('Work Items'!$A$6:$A$5000="CR",ROW('Work Items'!$A$6:$A$5000)-ROW('Work Items'!$A$6)+1),153)),"")</f>
        <v/>
      </c>
      <c r="J157" s="217">
        <f t="array" ref="J157">IFERROR(INDEX('Work Items'!$M$6:$M$5000,SMALL(IF('Work Items'!$A$6:$A$5000="CR",ROW('Work Items'!$A$6:$A$5000)-ROW('Work Items'!$A$6)+1),153)),"")</f>
        <v/>
      </c>
      <c r="K157" s="217">
        <f t="array" ref="K157">IFERROR(INDEX('Work Items'!$Q$6:$Q$5000,SMALL(IF('Work Items'!$A$6:$A$5000="CR",ROW('Work Items'!$A$6:$A$5000)-ROW('Work Items'!$A$6)+1),153)),"")</f>
        <v/>
      </c>
      <c r="L157">
        <f t="array" ref="L157">IFERROR(INDEX('Work Items'!$N$6:$N$5000,SMALL(IF('Work Items'!$A$6:$A$5000="CR",ROW('Work Items'!$A$6:$A$5000)-ROW('Work Items'!$A$6)+1),153)),"")</f>
        <v/>
      </c>
      <c r="M157">
        <f t="array" ref="M157">IFERROR(INDEX('Work Items'!$O$6:$O$5000,SMALL(IF('Work Items'!$A$6:$A$5000="CR",ROW('Work Items'!$A$6:$A$5000)-ROW('Work Items'!$A$6)+1),153)),"")</f>
        <v/>
      </c>
    </row>
    <row r="158">
      <c r="A158">
        <f t="array" ref="A158">IFERROR(INDEX('Work Items'!$A$6:$A$5000,SMALL(IF('Work Items'!$A$6:$A$5000="CR",ROW('Work Items'!$A$6:$A$5000)-ROW('Work Items'!$A$6)+1),154)),"")</f>
        <v/>
      </c>
      <c r="B158">
        <f t="array" ref="B158">IFERROR(INDEX('Work Items'!$B$6:$B$5000,SMALL(IF('Work Items'!$A$6:$A$5000="CR",ROW('Work Items'!$A$6:$A$5000)-ROW('Work Items'!$A$6)+1),154)),"")</f>
        <v/>
      </c>
      <c r="C158">
        <f t="array" ref="C158">IFERROR(INDEX('Work Items'!$C$6:$C$5000,SMALL(IF('Work Items'!$A$6:$A$5000="CR",ROW('Work Items'!$A$6:$A$5000)-ROW('Work Items'!$A$6)+1),154)),"")</f>
        <v/>
      </c>
      <c r="D158">
        <f t="array" ref="D158">IFERROR(INDEX('Work Items'!$D$6:$D$5000,SMALL(IF('Work Items'!$A$6:$A$5000="CR",ROW('Work Items'!$A$6:$A$5000)-ROW('Work Items'!$A$6)+1),154)),"")</f>
        <v/>
      </c>
      <c r="E158">
        <f t="array" ref="E158">IFERROR(INDEX('Work Items'!$E$6:$E$5000,SMALL(IF('Work Items'!$A$6:$A$5000="CR",ROW('Work Items'!$A$6:$A$5000)-ROW('Work Items'!$A$6)+1),154)),"")</f>
        <v/>
      </c>
      <c r="F158">
        <f t="array" ref="F158">IFERROR(INDEX('Work Items'!$F$6:$F$5000,SMALL(IF('Work Items'!$A$6:$A$5000="CR",ROW('Work Items'!$A$6:$A$5000)-ROW('Work Items'!$A$6)+1),154)),"")</f>
        <v/>
      </c>
      <c r="G158">
        <f t="array" ref="G158">IFERROR(INDEX('Work Items'!$J$6:$J$5000,SMALL(IF('Work Items'!$A$6:$A$5000="CR",ROW('Work Items'!$A$6:$A$5000)-ROW('Work Items'!$A$6)+1),154)),"")</f>
        <v/>
      </c>
      <c r="H158">
        <f t="array" ref="H158">IFERROR(INDEX('Work Items'!$K$6:$K$5000,SMALL(IF('Work Items'!$A$6:$A$5000="CR",ROW('Work Items'!$A$6:$A$5000)-ROW('Work Items'!$A$6)+1),154)),"")</f>
        <v/>
      </c>
      <c r="I158">
        <f t="array" ref="I158">IFERROR(INDEX('Work Items'!$L$6:$L$5000,SMALL(IF('Work Items'!$A$6:$A$5000="CR",ROW('Work Items'!$A$6:$A$5000)-ROW('Work Items'!$A$6)+1),154)),"")</f>
        <v/>
      </c>
      <c r="J158" s="217">
        <f t="array" ref="J158">IFERROR(INDEX('Work Items'!$M$6:$M$5000,SMALL(IF('Work Items'!$A$6:$A$5000="CR",ROW('Work Items'!$A$6:$A$5000)-ROW('Work Items'!$A$6)+1),154)),"")</f>
        <v/>
      </c>
      <c r="K158" s="217">
        <f t="array" ref="K158">IFERROR(INDEX('Work Items'!$Q$6:$Q$5000,SMALL(IF('Work Items'!$A$6:$A$5000="CR",ROW('Work Items'!$A$6:$A$5000)-ROW('Work Items'!$A$6)+1),154)),"")</f>
        <v/>
      </c>
      <c r="L158">
        <f t="array" ref="L158">IFERROR(INDEX('Work Items'!$N$6:$N$5000,SMALL(IF('Work Items'!$A$6:$A$5000="CR",ROW('Work Items'!$A$6:$A$5000)-ROW('Work Items'!$A$6)+1),154)),"")</f>
        <v/>
      </c>
      <c r="M158">
        <f t="array" ref="M158">IFERROR(INDEX('Work Items'!$O$6:$O$5000,SMALL(IF('Work Items'!$A$6:$A$5000="CR",ROW('Work Items'!$A$6:$A$5000)-ROW('Work Items'!$A$6)+1),154)),"")</f>
        <v/>
      </c>
    </row>
    <row r="159">
      <c r="A159">
        <f t="array" ref="A159">IFERROR(INDEX('Work Items'!$A$6:$A$5000,SMALL(IF('Work Items'!$A$6:$A$5000="CR",ROW('Work Items'!$A$6:$A$5000)-ROW('Work Items'!$A$6)+1),155)),"")</f>
        <v/>
      </c>
      <c r="B159">
        <f t="array" ref="B159">IFERROR(INDEX('Work Items'!$B$6:$B$5000,SMALL(IF('Work Items'!$A$6:$A$5000="CR",ROW('Work Items'!$A$6:$A$5000)-ROW('Work Items'!$A$6)+1),155)),"")</f>
        <v/>
      </c>
      <c r="C159">
        <f t="array" ref="C159">IFERROR(INDEX('Work Items'!$C$6:$C$5000,SMALL(IF('Work Items'!$A$6:$A$5000="CR",ROW('Work Items'!$A$6:$A$5000)-ROW('Work Items'!$A$6)+1),155)),"")</f>
        <v/>
      </c>
      <c r="D159">
        <f t="array" ref="D159">IFERROR(INDEX('Work Items'!$D$6:$D$5000,SMALL(IF('Work Items'!$A$6:$A$5000="CR",ROW('Work Items'!$A$6:$A$5000)-ROW('Work Items'!$A$6)+1),155)),"")</f>
        <v/>
      </c>
      <c r="E159">
        <f t="array" ref="E159">IFERROR(INDEX('Work Items'!$E$6:$E$5000,SMALL(IF('Work Items'!$A$6:$A$5000="CR",ROW('Work Items'!$A$6:$A$5000)-ROW('Work Items'!$A$6)+1),155)),"")</f>
        <v/>
      </c>
      <c r="F159">
        <f t="array" ref="F159">IFERROR(INDEX('Work Items'!$F$6:$F$5000,SMALL(IF('Work Items'!$A$6:$A$5000="CR",ROW('Work Items'!$A$6:$A$5000)-ROW('Work Items'!$A$6)+1),155)),"")</f>
        <v/>
      </c>
      <c r="G159">
        <f t="array" ref="G159">IFERROR(INDEX('Work Items'!$J$6:$J$5000,SMALL(IF('Work Items'!$A$6:$A$5000="CR",ROW('Work Items'!$A$6:$A$5000)-ROW('Work Items'!$A$6)+1),155)),"")</f>
        <v/>
      </c>
      <c r="H159">
        <f t="array" ref="H159">IFERROR(INDEX('Work Items'!$K$6:$K$5000,SMALL(IF('Work Items'!$A$6:$A$5000="CR",ROW('Work Items'!$A$6:$A$5000)-ROW('Work Items'!$A$6)+1),155)),"")</f>
        <v/>
      </c>
      <c r="I159">
        <f t="array" ref="I159">IFERROR(INDEX('Work Items'!$L$6:$L$5000,SMALL(IF('Work Items'!$A$6:$A$5000="CR",ROW('Work Items'!$A$6:$A$5000)-ROW('Work Items'!$A$6)+1),155)),"")</f>
        <v/>
      </c>
      <c r="J159" s="217">
        <f t="array" ref="J159">IFERROR(INDEX('Work Items'!$M$6:$M$5000,SMALL(IF('Work Items'!$A$6:$A$5000="CR",ROW('Work Items'!$A$6:$A$5000)-ROW('Work Items'!$A$6)+1),155)),"")</f>
        <v/>
      </c>
      <c r="K159" s="217">
        <f t="array" ref="K159">IFERROR(INDEX('Work Items'!$Q$6:$Q$5000,SMALL(IF('Work Items'!$A$6:$A$5000="CR",ROW('Work Items'!$A$6:$A$5000)-ROW('Work Items'!$A$6)+1),155)),"")</f>
        <v/>
      </c>
      <c r="L159">
        <f t="array" ref="L159">IFERROR(INDEX('Work Items'!$N$6:$N$5000,SMALL(IF('Work Items'!$A$6:$A$5000="CR",ROW('Work Items'!$A$6:$A$5000)-ROW('Work Items'!$A$6)+1),155)),"")</f>
        <v/>
      </c>
      <c r="M159">
        <f t="array" ref="M159">IFERROR(INDEX('Work Items'!$O$6:$O$5000,SMALL(IF('Work Items'!$A$6:$A$5000="CR",ROW('Work Items'!$A$6:$A$5000)-ROW('Work Items'!$A$6)+1),155)),"")</f>
        <v/>
      </c>
    </row>
    <row r="160">
      <c r="A160">
        <f t="array" ref="A160">IFERROR(INDEX('Work Items'!$A$6:$A$5000,SMALL(IF('Work Items'!$A$6:$A$5000="CR",ROW('Work Items'!$A$6:$A$5000)-ROW('Work Items'!$A$6)+1),156)),"")</f>
        <v/>
      </c>
      <c r="B160">
        <f t="array" ref="B160">IFERROR(INDEX('Work Items'!$B$6:$B$5000,SMALL(IF('Work Items'!$A$6:$A$5000="CR",ROW('Work Items'!$A$6:$A$5000)-ROW('Work Items'!$A$6)+1),156)),"")</f>
        <v/>
      </c>
      <c r="C160">
        <f t="array" ref="C160">IFERROR(INDEX('Work Items'!$C$6:$C$5000,SMALL(IF('Work Items'!$A$6:$A$5000="CR",ROW('Work Items'!$A$6:$A$5000)-ROW('Work Items'!$A$6)+1),156)),"")</f>
        <v/>
      </c>
      <c r="D160">
        <f t="array" ref="D160">IFERROR(INDEX('Work Items'!$D$6:$D$5000,SMALL(IF('Work Items'!$A$6:$A$5000="CR",ROW('Work Items'!$A$6:$A$5000)-ROW('Work Items'!$A$6)+1),156)),"")</f>
        <v/>
      </c>
      <c r="E160">
        <f t="array" ref="E160">IFERROR(INDEX('Work Items'!$E$6:$E$5000,SMALL(IF('Work Items'!$A$6:$A$5000="CR",ROW('Work Items'!$A$6:$A$5000)-ROW('Work Items'!$A$6)+1),156)),"")</f>
        <v/>
      </c>
      <c r="F160">
        <f t="array" ref="F160">IFERROR(INDEX('Work Items'!$F$6:$F$5000,SMALL(IF('Work Items'!$A$6:$A$5000="CR",ROW('Work Items'!$A$6:$A$5000)-ROW('Work Items'!$A$6)+1),156)),"")</f>
        <v/>
      </c>
      <c r="G160">
        <f t="array" ref="G160">IFERROR(INDEX('Work Items'!$J$6:$J$5000,SMALL(IF('Work Items'!$A$6:$A$5000="CR",ROW('Work Items'!$A$6:$A$5000)-ROW('Work Items'!$A$6)+1),156)),"")</f>
        <v/>
      </c>
      <c r="H160">
        <f t="array" ref="H160">IFERROR(INDEX('Work Items'!$K$6:$K$5000,SMALL(IF('Work Items'!$A$6:$A$5000="CR",ROW('Work Items'!$A$6:$A$5000)-ROW('Work Items'!$A$6)+1),156)),"")</f>
        <v/>
      </c>
      <c r="I160">
        <f t="array" ref="I160">IFERROR(INDEX('Work Items'!$L$6:$L$5000,SMALL(IF('Work Items'!$A$6:$A$5000="CR",ROW('Work Items'!$A$6:$A$5000)-ROW('Work Items'!$A$6)+1),156)),"")</f>
        <v/>
      </c>
      <c r="J160" s="217">
        <f t="array" ref="J160">IFERROR(INDEX('Work Items'!$M$6:$M$5000,SMALL(IF('Work Items'!$A$6:$A$5000="CR",ROW('Work Items'!$A$6:$A$5000)-ROW('Work Items'!$A$6)+1),156)),"")</f>
        <v/>
      </c>
      <c r="K160" s="217">
        <f t="array" ref="K160">IFERROR(INDEX('Work Items'!$Q$6:$Q$5000,SMALL(IF('Work Items'!$A$6:$A$5000="CR",ROW('Work Items'!$A$6:$A$5000)-ROW('Work Items'!$A$6)+1),156)),"")</f>
        <v/>
      </c>
      <c r="L160">
        <f t="array" ref="L160">IFERROR(INDEX('Work Items'!$N$6:$N$5000,SMALL(IF('Work Items'!$A$6:$A$5000="CR",ROW('Work Items'!$A$6:$A$5000)-ROW('Work Items'!$A$6)+1),156)),"")</f>
        <v/>
      </c>
      <c r="M160">
        <f t="array" ref="M160">IFERROR(INDEX('Work Items'!$O$6:$O$5000,SMALL(IF('Work Items'!$A$6:$A$5000="CR",ROW('Work Items'!$A$6:$A$5000)-ROW('Work Items'!$A$6)+1),156)),"")</f>
        <v/>
      </c>
    </row>
    <row r="161">
      <c r="A161">
        <f t="array" ref="A161">IFERROR(INDEX('Work Items'!$A$6:$A$5000,SMALL(IF('Work Items'!$A$6:$A$5000="CR",ROW('Work Items'!$A$6:$A$5000)-ROW('Work Items'!$A$6)+1),157)),"")</f>
        <v/>
      </c>
      <c r="B161">
        <f t="array" ref="B161">IFERROR(INDEX('Work Items'!$B$6:$B$5000,SMALL(IF('Work Items'!$A$6:$A$5000="CR",ROW('Work Items'!$A$6:$A$5000)-ROW('Work Items'!$A$6)+1),157)),"")</f>
        <v/>
      </c>
      <c r="C161">
        <f t="array" ref="C161">IFERROR(INDEX('Work Items'!$C$6:$C$5000,SMALL(IF('Work Items'!$A$6:$A$5000="CR",ROW('Work Items'!$A$6:$A$5000)-ROW('Work Items'!$A$6)+1),157)),"")</f>
        <v/>
      </c>
      <c r="D161">
        <f t="array" ref="D161">IFERROR(INDEX('Work Items'!$D$6:$D$5000,SMALL(IF('Work Items'!$A$6:$A$5000="CR",ROW('Work Items'!$A$6:$A$5000)-ROW('Work Items'!$A$6)+1),157)),"")</f>
        <v/>
      </c>
      <c r="E161">
        <f t="array" ref="E161">IFERROR(INDEX('Work Items'!$E$6:$E$5000,SMALL(IF('Work Items'!$A$6:$A$5000="CR",ROW('Work Items'!$A$6:$A$5000)-ROW('Work Items'!$A$6)+1),157)),"")</f>
        <v/>
      </c>
      <c r="F161">
        <f t="array" ref="F161">IFERROR(INDEX('Work Items'!$F$6:$F$5000,SMALL(IF('Work Items'!$A$6:$A$5000="CR",ROW('Work Items'!$A$6:$A$5000)-ROW('Work Items'!$A$6)+1),157)),"")</f>
        <v/>
      </c>
      <c r="G161">
        <f t="array" ref="G161">IFERROR(INDEX('Work Items'!$J$6:$J$5000,SMALL(IF('Work Items'!$A$6:$A$5000="CR",ROW('Work Items'!$A$6:$A$5000)-ROW('Work Items'!$A$6)+1),157)),"")</f>
        <v/>
      </c>
      <c r="H161">
        <f t="array" ref="H161">IFERROR(INDEX('Work Items'!$K$6:$K$5000,SMALL(IF('Work Items'!$A$6:$A$5000="CR",ROW('Work Items'!$A$6:$A$5000)-ROW('Work Items'!$A$6)+1),157)),"")</f>
        <v/>
      </c>
      <c r="I161">
        <f t="array" ref="I161">IFERROR(INDEX('Work Items'!$L$6:$L$5000,SMALL(IF('Work Items'!$A$6:$A$5000="CR",ROW('Work Items'!$A$6:$A$5000)-ROW('Work Items'!$A$6)+1),157)),"")</f>
        <v/>
      </c>
      <c r="J161" s="217">
        <f t="array" ref="J161">IFERROR(INDEX('Work Items'!$M$6:$M$5000,SMALL(IF('Work Items'!$A$6:$A$5000="CR",ROW('Work Items'!$A$6:$A$5000)-ROW('Work Items'!$A$6)+1),157)),"")</f>
        <v/>
      </c>
      <c r="K161" s="217">
        <f t="array" ref="K161">IFERROR(INDEX('Work Items'!$Q$6:$Q$5000,SMALL(IF('Work Items'!$A$6:$A$5000="CR",ROW('Work Items'!$A$6:$A$5000)-ROW('Work Items'!$A$6)+1),157)),"")</f>
        <v/>
      </c>
      <c r="L161">
        <f t="array" ref="L161">IFERROR(INDEX('Work Items'!$N$6:$N$5000,SMALL(IF('Work Items'!$A$6:$A$5000="CR",ROW('Work Items'!$A$6:$A$5000)-ROW('Work Items'!$A$6)+1),157)),"")</f>
        <v/>
      </c>
      <c r="M161">
        <f t="array" ref="M161">IFERROR(INDEX('Work Items'!$O$6:$O$5000,SMALL(IF('Work Items'!$A$6:$A$5000="CR",ROW('Work Items'!$A$6:$A$5000)-ROW('Work Items'!$A$6)+1),157)),"")</f>
        <v/>
      </c>
    </row>
    <row r="162">
      <c r="A162">
        <f t="array" ref="A162">IFERROR(INDEX('Work Items'!$A$6:$A$5000,SMALL(IF('Work Items'!$A$6:$A$5000="CR",ROW('Work Items'!$A$6:$A$5000)-ROW('Work Items'!$A$6)+1),158)),"")</f>
        <v/>
      </c>
      <c r="B162">
        <f t="array" ref="B162">IFERROR(INDEX('Work Items'!$B$6:$B$5000,SMALL(IF('Work Items'!$A$6:$A$5000="CR",ROW('Work Items'!$A$6:$A$5000)-ROW('Work Items'!$A$6)+1),158)),"")</f>
        <v/>
      </c>
      <c r="C162">
        <f t="array" ref="C162">IFERROR(INDEX('Work Items'!$C$6:$C$5000,SMALL(IF('Work Items'!$A$6:$A$5000="CR",ROW('Work Items'!$A$6:$A$5000)-ROW('Work Items'!$A$6)+1),158)),"")</f>
        <v/>
      </c>
      <c r="D162">
        <f t="array" ref="D162">IFERROR(INDEX('Work Items'!$D$6:$D$5000,SMALL(IF('Work Items'!$A$6:$A$5000="CR",ROW('Work Items'!$A$6:$A$5000)-ROW('Work Items'!$A$6)+1),158)),"")</f>
        <v/>
      </c>
      <c r="E162">
        <f t="array" ref="E162">IFERROR(INDEX('Work Items'!$E$6:$E$5000,SMALL(IF('Work Items'!$A$6:$A$5000="CR",ROW('Work Items'!$A$6:$A$5000)-ROW('Work Items'!$A$6)+1),158)),"")</f>
        <v/>
      </c>
      <c r="F162">
        <f t="array" ref="F162">IFERROR(INDEX('Work Items'!$F$6:$F$5000,SMALL(IF('Work Items'!$A$6:$A$5000="CR",ROW('Work Items'!$A$6:$A$5000)-ROW('Work Items'!$A$6)+1),158)),"")</f>
        <v/>
      </c>
      <c r="G162">
        <f t="array" ref="G162">IFERROR(INDEX('Work Items'!$J$6:$J$5000,SMALL(IF('Work Items'!$A$6:$A$5000="CR",ROW('Work Items'!$A$6:$A$5000)-ROW('Work Items'!$A$6)+1),158)),"")</f>
        <v/>
      </c>
      <c r="H162">
        <f t="array" ref="H162">IFERROR(INDEX('Work Items'!$K$6:$K$5000,SMALL(IF('Work Items'!$A$6:$A$5000="CR",ROW('Work Items'!$A$6:$A$5000)-ROW('Work Items'!$A$6)+1),158)),"")</f>
        <v/>
      </c>
      <c r="I162">
        <f t="array" ref="I162">IFERROR(INDEX('Work Items'!$L$6:$L$5000,SMALL(IF('Work Items'!$A$6:$A$5000="CR",ROW('Work Items'!$A$6:$A$5000)-ROW('Work Items'!$A$6)+1),158)),"")</f>
        <v/>
      </c>
      <c r="J162" s="217">
        <f t="array" ref="J162">IFERROR(INDEX('Work Items'!$M$6:$M$5000,SMALL(IF('Work Items'!$A$6:$A$5000="CR",ROW('Work Items'!$A$6:$A$5000)-ROW('Work Items'!$A$6)+1),158)),"")</f>
        <v/>
      </c>
      <c r="K162" s="217">
        <f t="array" ref="K162">IFERROR(INDEX('Work Items'!$Q$6:$Q$5000,SMALL(IF('Work Items'!$A$6:$A$5000="CR",ROW('Work Items'!$A$6:$A$5000)-ROW('Work Items'!$A$6)+1),158)),"")</f>
        <v/>
      </c>
      <c r="L162">
        <f t="array" ref="L162">IFERROR(INDEX('Work Items'!$N$6:$N$5000,SMALL(IF('Work Items'!$A$6:$A$5000="CR",ROW('Work Items'!$A$6:$A$5000)-ROW('Work Items'!$A$6)+1),158)),"")</f>
        <v/>
      </c>
      <c r="M162">
        <f t="array" ref="M162">IFERROR(INDEX('Work Items'!$O$6:$O$5000,SMALL(IF('Work Items'!$A$6:$A$5000="CR",ROW('Work Items'!$A$6:$A$5000)-ROW('Work Items'!$A$6)+1),158)),"")</f>
        <v/>
      </c>
    </row>
    <row r="163">
      <c r="A163">
        <f t="array" ref="A163">IFERROR(INDEX('Work Items'!$A$6:$A$5000,SMALL(IF('Work Items'!$A$6:$A$5000="CR",ROW('Work Items'!$A$6:$A$5000)-ROW('Work Items'!$A$6)+1),159)),"")</f>
        <v/>
      </c>
      <c r="B163">
        <f t="array" ref="B163">IFERROR(INDEX('Work Items'!$B$6:$B$5000,SMALL(IF('Work Items'!$A$6:$A$5000="CR",ROW('Work Items'!$A$6:$A$5000)-ROW('Work Items'!$A$6)+1),159)),"")</f>
        <v/>
      </c>
      <c r="C163">
        <f t="array" ref="C163">IFERROR(INDEX('Work Items'!$C$6:$C$5000,SMALL(IF('Work Items'!$A$6:$A$5000="CR",ROW('Work Items'!$A$6:$A$5000)-ROW('Work Items'!$A$6)+1),159)),"")</f>
        <v/>
      </c>
      <c r="D163">
        <f t="array" ref="D163">IFERROR(INDEX('Work Items'!$D$6:$D$5000,SMALL(IF('Work Items'!$A$6:$A$5000="CR",ROW('Work Items'!$A$6:$A$5000)-ROW('Work Items'!$A$6)+1),159)),"")</f>
        <v/>
      </c>
      <c r="E163">
        <f t="array" ref="E163">IFERROR(INDEX('Work Items'!$E$6:$E$5000,SMALL(IF('Work Items'!$A$6:$A$5000="CR",ROW('Work Items'!$A$6:$A$5000)-ROW('Work Items'!$A$6)+1),159)),"")</f>
        <v/>
      </c>
      <c r="F163">
        <f t="array" ref="F163">IFERROR(INDEX('Work Items'!$F$6:$F$5000,SMALL(IF('Work Items'!$A$6:$A$5000="CR",ROW('Work Items'!$A$6:$A$5000)-ROW('Work Items'!$A$6)+1),159)),"")</f>
        <v/>
      </c>
      <c r="G163">
        <f t="array" ref="G163">IFERROR(INDEX('Work Items'!$J$6:$J$5000,SMALL(IF('Work Items'!$A$6:$A$5000="CR",ROW('Work Items'!$A$6:$A$5000)-ROW('Work Items'!$A$6)+1),159)),"")</f>
        <v/>
      </c>
      <c r="H163">
        <f t="array" ref="H163">IFERROR(INDEX('Work Items'!$K$6:$K$5000,SMALL(IF('Work Items'!$A$6:$A$5000="CR",ROW('Work Items'!$A$6:$A$5000)-ROW('Work Items'!$A$6)+1),159)),"")</f>
        <v/>
      </c>
      <c r="I163">
        <f t="array" ref="I163">IFERROR(INDEX('Work Items'!$L$6:$L$5000,SMALL(IF('Work Items'!$A$6:$A$5000="CR",ROW('Work Items'!$A$6:$A$5000)-ROW('Work Items'!$A$6)+1),159)),"")</f>
        <v/>
      </c>
      <c r="J163" s="217">
        <f t="array" ref="J163">IFERROR(INDEX('Work Items'!$M$6:$M$5000,SMALL(IF('Work Items'!$A$6:$A$5000="CR",ROW('Work Items'!$A$6:$A$5000)-ROW('Work Items'!$A$6)+1),159)),"")</f>
        <v/>
      </c>
      <c r="K163" s="217">
        <f t="array" ref="K163">IFERROR(INDEX('Work Items'!$Q$6:$Q$5000,SMALL(IF('Work Items'!$A$6:$A$5000="CR",ROW('Work Items'!$A$6:$A$5000)-ROW('Work Items'!$A$6)+1),159)),"")</f>
        <v/>
      </c>
      <c r="L163">
        <f t="array" ref="L163">IFERROR(INDEX('Work Items'!$N$6:$N$5000,SMALL(IF('Work Items'!$A$6:$A$5000="CR",ROW('Work Items'!$A$6:$A$5000)-ROW('Work Items'!$A$6)+1),159)),"")</f>
        <v/>
      </c>
      <c r="M163">
        <f t="array" ref="M163">IFERROR(INDEX('Work Items'!$O$6:$O$5000,SMALL(IF('Work Items'!$A$6:$A$5000="CR",ROW('Work Items'!$A$6:$A$5000)-ROW('Work Items'!$A$6)+1),159)),"")</f>
        <v/>
      </c>
    </row>
    <row r="164">
      <c r="A164">
        <f t="array" ref="A164">IFERROR(INDEX('Work Items'!$A$6:$A$5000,SMALL(IF('Work Items'!$A$6:$A$5000="CR",ROW('Work Items'!$A$6:$A$5000)-ROW('Work Items'!$A$6)+1),160)),"")</f>
        <v/>
      </c>
      <c r="B164">
        <f t="array" ref="B164">IFERROR(INDEX('Work Items'!$B$6:$B$5000,SMALL(IF('Work Items'!$A$6:$A$5000="CR",ROW('Work Items'!$A$6:$A$5000)-ROW('Work Items'!$A$6)+1),160)),"")</f>
        <v/>
      </c>
      <c r="C164">
        <f t="array" ref="C164">IFERROR(INDEX('Work Items'!$C$6:$C$5000,SMALL(IF('Work Items'!$A$6:$A$5000="CR",ROW('Work Items'!$A$6:$A$5000)-ROW('Work Items'!$A$6)+1),160)),"")</f>
        <v/>
      </c>
      <c r="D164">
        <f t="array" ref="D164">IFERROR(INDEX('Work Items'!$D$6:$D$5000,SMALL(IF('Work Items'!$A$6:$A$5000="CR",ROW('Work Items'!$A$6:$A$5000)-ROW('Work Items'!$A$6)+1),160)),"")</f>
        <v/>
      </c>
      <c r="E164">
        <f t="array" ref="E164">IFERROR(INDEX('Work Items'!$E$6:$E$5000,SMALL(IF('Work Items'!$A$6:$A$5000="CR",ROW('Work Items'!$A$6:$A$5000)-ROW('Work Items'!$A$6)+1),160)),"")</f>
        <v/>
      </c>
      <c r="F164">
        <f t="array" ref="F164">IFERROR(INDEX('Work Items'!$F$6:$F$5000,SMALL(IF('Work Items'!$A$6:$A$5000="CR",ROW('Work Items'!$A$6:$A$5000)-ROW('Work Items'!$A$6)+1),160)),"")</f>
        <v/>
      </c>
      <c r="G164">
        <f t="array" ref="G164">IFERROR(INDEX('Work Items'!$J$6:$J$5000,SMALL(IF('Work Items'!$A$6:$A$5000="CR",ROW('Work Items'!$A$6:$A$5000)-ROW('Work Items'!$A$6)+1),160)),"")</f>
        <v/>
      </c>
      <c r="H164">
        <f t="array" ref="H164">IFERROR(INDEX('Work Items'!$K$6:$K$5000,SMALL(IF('Work Items'!$A$6:$A$5000="CR",ROW('Work Items'!$A$6:$A$5000)-ROW('Work Items'!$A$6)+1),160)),"")</f>
        <v/>
      </c>
      <c r="I164">
        <f t="array" ref="I164">IFERROR(INDEX('Work Items'!$L$6:$L$5000,SMALL(IF('Work Items'!$A$6:$A$5000="CR",ROW('Work Items'!$A$6:$A$5000)-ROW('Work Items'!$A$6)+1),160)),"")</f>
        <v/>
      </c>
      <c r="J164" s="217">
        <f t="array" ref="J164">IFERROR(INDEX('Work Items'!$M$6:$M$5000,SMALL(IF('Work Items'!$A$6:$A$5000="CR",ROW('Work Items'!$A$6:$A$5000)-ROW('Work Items'!$A$6)+1),160)),"")</f>
        <v/>
      </c>
      <c r="K164" s="217">
        <f t="array" ref="K164">IFERROR(INDEX('Work Items'!$Q$6:$Q$5000,SMALL(IF('Work Items'!$A$6:$A$5000="CR",ROW('Work Items'!$A$6:$A$5000)-ROW('Work Items'!$A$6)+1),160)),"")</f>
        <v/>
      </c>
      <c r="L164">
        <f t="array" ref="L164">IFERROR(INDEX('Work Items'!$N$6:$N$5000,SMALL(IF('Work Items'!$A$6:$A$5000="CR",ROW('Work Items'!$A$6:$A$5000)-ROW('Work Items'!$A$6)+1),160)),"")</f>
        <v/>
      </c>
      <c r="M164">
        <f t="array" ref="M164">IFERROR(INDEX('Work Items'!$O$6:$O$5000,SMALL(IF('Work Items'!$A$6:$A$5000="CR",ROW('Work Items'!$A$6:$A$5000)-ROW('Work Items'!$A$6)+1),160)),"")</f>
        <v/>
      </c>
    </row>
    <row r="165">
      <c r="A165">
        <f t="array" ref="A165">IFERROR(INDEX('Work Items'!$A$6:$A$5000,SMALL(IF('Work Items'!$A$6:$A$5000="CR",ROW('Work Items'!$A$6:$A$5000)-ROW('Work Items'!$A$6)+1),161)),"")</f>
        <v/>
      </c>
      <c r="B165">
        <f t="array" ref="B165">IFERROR(INDEX('Work Items'!$B$6:$B$5000,SMALL(IF('Work Items'!$A$6:$A$5000="CR",ROW('Work Items'!$A$6:$A$5000)-ROW('Work Items'!$A$6)+1),161)),"")</f>
        <v/>
      </c>
      <c r="C165">
        <f t="array" ref="C165">IFERROR(INDEX('Work Items'!$C$6:$C$5000,SMALL(IF('Work Items'!$A$6:$A$5000="CR",ROW('Work Items'!$A$6:$A$5000)-ROW('Work Items'!$A$6)+1),161)),"")</f>
        <v/>
      </c>
      <c r="D165">
        <f t="array" ref="D165">IFERROR(INDEX('Work Items'!$D$6:$D$5000,SMALL(IF('Work Items'!$A$6:$A$5000="CR",ROW('Work Items'!$A$6:$A$5000)-ROW('Work Items'!$A$6)+1),161)),"")</f>
        <v/>
      </c>
      <c r="E165">
        <f t="array" ref="E165">IFERROR(INDEX('Work Items'!$E$6:$E$5000,SMALL(IF('Work Items'!$A$6:$A$5000="CR",ROW('Work Items'!$A$6:$A$5000)-ROW('Work Items'!$A$6)+1),161)),"")</f>
        <v/>
      </c>
      <c r="F165">
        <f t="array" ref="F165">IFERROR(INDEX('Work Items'!$F$6:$F$5000,SMALL(IF('Work Items'!$A$6:$A$5000="CR",ROW('Work Items'!$A$6:$A$5000)-ROW('Work Items'!$A$6)+1),161)),"")</f>
        <v/>
      </c>
      <c r="G165">
        <f t="array" ref="G165">IFERROR(INDEX('Work Items'!$J$6:$J$5000,SMALL(IF('Work Items'!$A$6:$A$5000="CR",ROW('Work Items'!$A$6:$A$5000)-ROW('Work Items'!$A$6)+1),161)),"")</f>
        <v/>
      </c>
      <c r="H165">
        <f t="array" ref="H165">IFERROR(INDEX('Work Items'!$K$6:$K$5000,SMALL(IF('Work Items'!$A$6:$A$5000="CR",ROW('Work Items'!$A$6:$A$5000)-ROW('Work Items'!$A$6)+1),161)),"")</f>
        <v/>
      </c>
      <c r="I165">
        <f t="array" ref="I165">IFERROR(INDEX('Work Items'!$L$6:$L$5000,SMALL(IF('Work Items'!$A$6:$A$5000="CR",ROW('Work Items'!$A$6:$A$5000)-ROW('Work Items'!$A$6)+1),161)),"")</f>
        <v/>
      </c>
      <c r="J165" s="217">
        <f t="array" ref="J165">IFERROR(INDEX('Work Items'!$M$6:$M$5000,SMALL(IF('Work Items'!$A$6:$A$5000="CR",ROW('Work Items'!$A$6:$A$5000)-ROW('Work Items'!$A$6)+1),161)),"")</f>
        <v/>
      </c>
      <c r="K165" s="217">
        <f t="array" ref="K165">IFERROR(INDEX('Work Items'!$Q$6:$Q$5000,SMALL(IF('Work Items'!$A$6:$A$5000="CR",ROW('Work Items'!$A$6:$A$5000)-ROW('Work Items'!$A$6)+1),161)),"")</f>
        <v/>
      </c>
      <c r="L165">
        <f t="array" ref="L165">IFERROR(INDEX('Work Items'!$N$6:$N$5000,SMALL(IF('Work Items'!$A$6:$A$5000="CR",ROW('Work Items'!$A$6:$A$5000)-ROW('Work Items'!$A$6)+1),161)),"")</f>
        <v/>
      </c>
      <c r="M165">
        <f t="array" ref="M165">IFERROR(INDEX('Work Items'!$O$6:$O$5000,SMALL(IF('Work Items'!$A$6:$A$5000="CR",ROW('Work Items'!$A$6:$A$5000)-ROW('Work Items'!$A$6)+1),161)),"")</f>
        <v/>
      </c>
    </row>
    <row r="166">
      <c r="A166">
        <f t="array" ref="A166">IFERROR(INDEX('Work Items'!$A$6:$A$5000,SMALL(IF('Work Items'!$A$6:$A$5000="CR",ROW('Work Items'!$A$6:$A$5000)-ROW('Work Items'!$A$6)+1),162)),"")</f>
        <v/>
      </c>
      <c r="B166">
        <f t="array" ref="B166">IFERROR(INDEX('Work Items'!$B$6:$B$5000,SMALL(IF('Work Items'!$A$6:$A$5000="CR",ROW('Work Items'!$A$6:$A$5000)-ROW('Work Items'!$A$6)+1),162)),"")</f>
        <v/>
      </c>
      <c r="C166">
        <f t="array" ref="C166">IFERROR(INDEX('Work Items'!$C$6:$C$5000,SMALL(IF('Work Items'!$A$6:$A$5000="CR",ROW('Work Items'!$A$6:$A$5000)-ROW('Work Items'!$A$6)+1),162)),"")</f>
        <v/>
      </c>
      <c r="D166">
        <f t="array" ref="D166">IFERROR(INDEX('Work Items'!$D$6:$D$5000,SMALL(IF('Work Items'!$A$6:$A$5000="CR",ROW('Work Items'!$A$6:$A$5000)-ROW('Work Items'!$A$6)+1),162)),"")</f>
        <v/>
      </c>
      <c r="E166">
        <f t="array" ref="E166">IFERROR(INDEX('Work Items'!$E$6:$E$5000,SMALL(IF('Work Items'!$A$6:$A$5000="CR",ROW('Work Items'!$A$6:$A$5000)-ROW('Work Items'!$A$6)+1),162)),"")</f>
        <v/>
      </c>
      <c r="F166">
        <f t="array" ref="F166">IFERROR(INDEX('Work Items'!$F$6:$F$5000,SMALL(IF('Work Items'!$A$6:$A$5000="CR",ROW('Work Items'!$A$6:$A$5000)-ROW('Work Items'!$A$6)+1),162)),"")</f>
        <v/>
      </c>
      <c r="G166">
        <f t="array" ref="G166">IFERROR(INDEX('Work Items'!$J$6:$J$5000,SMALL(IF('Work Items'!$A$6:$A$5000="CR",ROW('Work Items'!$A$6:$A$5000)-ROW('Work Items'!$A$6)+1),162)),"")</f>
        <v/>
      </c>
      <c r="H166">
        <f t="array" ref="H166">IFERROR(INDEX('Work Items'!$K$6:$K$5000,SMALL(IF('Work Items'!$A$6:$A$5000="CR",ROW('Work Items'!$A$6:$A$5000)-ROW('Work Items'!$A$6)+1),162)),"")</f>
        <v/>
      </c>
      <c r="I166">
        <f t="array" ref="I166">IFERROR(INDEX('Work Items'!$L$6:$L$5000,SMALL(IF('Work Items'!$A$6:$A$5000="CR",ROW('Work Items'!$A$6:$A$5000)-ROW('Work Items'!$A$6)+1),162)),"")</f>
        <v/>
      </c>
      <c r="J166" s="217">
        <f t="array" ref="J166">IFERROR(INDEX('Work Items'!$M$6:$M$5000,SMALL(IF('Work Items'!$A$6:$A$5000="CR",ROW('Work Items'!$A$6:$A$5000)-ROW('Work Items'!$A$6)+1),162)),"")</f>
        <v/>
      </c>
      <c r="K166" s="217">
        <f t="array" ref="K166">IFERROR(INDEX('Work Items'!$Q$6:$Q$5000,SMALL(IF('Work Items'!$A$6:$A$5000="CR",ROW('Work Items'!$A$6:$A$5000)-ROW('Work Items'!$A$6)+1),162)),"")</f>
        <v/>
      </c>
      <c r="L166">
        <f t="array" ref="L166">IFERROR(INDEX('Work Items'!$N$6:$N$5000,SMALL(IF('Work Items'!$A$6:$A$5000="CR",ROW('Work Items'!$A$6:$A$5000)-ROW('Work Items'!$A$6)+1),162)),"")</f>
        <v/>
      </c>
      <c r="M166">
        <f t="array" ref="M166">IFERROR(INDEX('Work Items'!$O$6:$O$5000,SMALL(IF('Work Items'!$A$6:$A$5000="CR",ROW('Work Items'!$A$6:$A$5000)-ROW('Work Items'!$A$6)+1),162)),"")</f>
        <v/>
      </c>
    </row>
    <row r="167">
      <c r="A167">
        <f t="array" ref="A167">IFERROR(INDEX('Work Items'!$A$6:$A$5000,SMALL(IF('Work Items'!$A$6:$A$5000="CR",ROW('Work Items'!$A$6:$A$5000)-ROW('Work Items'!$A$6)+1),163)),"")</f>
        <v/>
      </c>
      <c r="B167">
        <f t="array" ref="B167">IFERROR(INDEX('Work Items'!$B$6:$B$5000,SMALL(IF('Work Items'!$A$6:$A$5000="CR",ROW('Work Items'!$A$6:$A$5000)-ROW('Work Items'!$A$6)+1),163)),"")</f>
        <v/>
      </c>
      <c r="C167">
        <f t="array" ref="C167">IFERROR(INDEX('Work Items'!$C$6:$C$5000,SMALL(IF('Work Items'!$A$6:$A$5000="CR",ROW('Work Items'!$A$6:$A$5000)-ROW('Work Items'!$A$6)+1),163)),"")</f>
        <v/>
      </c>
      <c r="D167">
        <f t="array" ref="D167">IFERROR(INDEX('Work Items'!$D$6:$D$5000,SMALL(IF('Work Items'!$A$6:$A$5000="CR",ROW('Work Items'!$A$6:$A$5000)-ROW('Work Items'!$A$6)+1),163)),"")</f>
        <v/>
      </c>
      <c r="E167">
        <f t="array" ref="E167">IFERROR(INDEX('Work Items'!$E$6:$E$5000,SMALL(IF('Work Items'!$A$6:$A$5000="CR",ROW('Work Items'!$A$6:$A$5000)-ROW('Work Items'!$A$6)+1),163)),"")</f>
        <v/>
      </c>
      <c r="F167">
        <f t="array" ref="F167">IFERROR(INDEX('Work Items'!$F$6:$F$5000,SMALL(IF('Work Items'!$A$6:$A$5000="CR",ROW('Work Items'!$A$6:$A$5000)-ROW('Work Items'!$A$6)+1),163)),"")</f>
        <v/>
      </c>
      <c r="G167">
        <f t="array" ref="G167">IFERROR(INDEX('Work Items'!$J$6:$J$5000,SMALL(IF('Work Items'!$A$6:$A$5000="CR",ROW('Work Items'!$A$6:$A$5000)-ROW('Work Items'!$A$6)+1),163)),"")</f>
        <v/>
      </c>
      <c r="H167">
        <f t="array" ref="H167">IFERROR(INDEX('Work Items'!$K$6:$K$5000,SMALL(IF('Work Items'!$A$6:$A$5000="CR",ROW('Work Items'!$A$6:$A$5000)-ROW('Work Items'!$A$6)+1),163)),"")</f>
        <v/>
      </c>
      <c r="I167">
        <f t="array" ref="I167">IFERROR(INDEX('Work Items'!$L$6:$L$5000,SMALL(IF('Work Items'!$A$6:$A$5000="CR",ROW('Work Items'!$A$6:$A$5000)-ROW('Work Items'!$A$6)+1),163)),"")</f>
        <v/>
      </c>
      <c r="J167" s="217">
        <f t="array" ref="J167">IFERROR(INDEX('Work Items'!$M$6:$M$5000,SMALL(IF('Work Items'!$A$6:$A$5000="CR",ROW('Work Items'!$A$6:$A$5000)-ROW('Work Items'!$A$6)+1),163)),"")</f>
        <v/>
      </c>
      <c r="K167" s="217">
        <f t="array" ref="K167">IFERROR(INDEX('Work Items'!$Q$6:$Q$5000,SMALL(IF('Work Items'!$A$6:$A$5000="CR",ROW('Work Items'!$A$6:$A$5000)-ROW('Work Items'!$A$6)+1),163)),"")</f>
        <v/>
      </c>
      <c r="L167">
        <f t="array" ref="L167">IFERROR(INDEX('Work Items'!$N$6:$N$5000,SMALL(IF('Work Items'!$A$6:$A$5000="CR",ROW('Work Items'!$A$6:$A$5000)-ROW('Work Items'!$A$6)+1),163)),"")</f>
        <v/>
      </c>
      <c r="M167">
        <f t="array" ref="M167">IFERROR(INDEX('Work Items'!$O$6:$O$5000,SMALL(IF('Work Items'!$A$6:$A$5000="CR",ROW('Work Items'!$A$6:$A$5000)-ROW('Work Items'!$A$6)+1),163)),"")</f>
        <v/>
      </c>
    </row>
    <row r="168">
      <c r="A168">
        <f t="array" ref="A168">IFERROR(INDEX('Work Items'!$A$6:$A$5000,SMALL(IF('Work Items'!$A$6:$A$5000="CR",ROW('Work Items'!$A$6:$A$5000)-ROW('Work Items'!$A$6)+1),164)),"")</f>
        <v/>
      </c>
      <c r="B168">
        <f t="array" ref="B168">IFERROR(INDEX('Work Items'!$B$6:$B$5000,SMALL(IF('Work Items'!$A$6:$A$5000="CR",ROW('Work Items'!$A$6:$A$5000)-ROW('Work Items'!$A$6)+1),164)),"")</f>
        <v/>
      </c>
      <c r="C168">
        <f t="array" ref="C168">IFERROR(INDEX('Work Items'!$C$6:$C$5000,SMALL(IF('Work Items'!$A$6:$A$5000="CR",ROW('Work Items'!$A$6:$A$5000)-ROW('Work Items'!$A$6)+1),164)),"")</f>
        <v/>
      </c>
      <c r="D168">
        <f t="array" ref="D168">IFERROR(INDEX('Work Items'!$D$6:$D$5000,SMALL(IF('Work Items'!$A$6:$A$5000="CR",ROW('Work Items'!$A$6:$A$5000)-ROW('Work Items'!$A$6)+1),164)),"")</f>
        <v/>
      </c>
      <c r="E168">
        <f t="array" ref="E168">IFERROR(INDEX('Work Items'!$E$6:$E$5000,SMALL(IF('Work Items'!$A$6:$A$5000="CR",ROW('Work Items'!$A$6:$A$5000)-ROW('Work Items'!$A$6)+1),164)),"")</f>
        <v/>
      </c>
      <c r="F168">
        <f t="array" ref="F168">IFERROR(INDEX('Work Items'!$F$6:$F$5000,SMALL(IF('Work Items'!$A$6:$A$5000="CR",ROW('Work Items'!$A$6:$A$5000)-ROW('Work Items'!$A$6)+1),164)),"")</f>
        <v/>
      </c>
      <c r="G168">
        <f t="array" ref="G168">IFERROR(INDEX('Work Items'!$J$6:$J$5000,SMALL(IF('Work Items'!$A$6:$A$5000="CR",ROW('Work Items'!$A$6:$A$5000)-ROW('Work Items'!$A$6)+1),164)),"")</f>
        <v/>
      </c>
      <c r="H168">
        <f t="array" ref="H168">IFERROR(INDEX('Work Items'!$K$6:$K$5000,SMALL(IF('Work Items'!$A$6:$A$5000="CR",ROW('Work Items'!$A$6:$A$5000)-ROW('Work Items'!$A$6)+1),164)),"")</f>
        <v/>
      </c>
      <c r="I168">
        <f t="array" ref="I168">IFERROR(INDEX('Work Items'!$L$6:$L$5000,SMALL(IF('Work Items'!$A$6:$A$5000="CR",ROW('Work Items'!$A$6:$A$5000)-ROW('Work Items'!$A$6)+1),164)),"")</f>
        <v/>
      </c>
      <c r="J168" s="217">
        <f t="array" ref="J168">IFERROR(INDEX('Work Items'!$M$6:$M$5000,SMALL(IF('Work Items'!$A$6:$A$5000="CR",ROW('Work Items'!$A$6:$A$5000)-ROW('Work Items'!$A$6)+1),164)),"")</f>
        <v/>
      </c>
      <c r="K168" s="217">
        <f t="array" ref="K168">IFERROR(INDEX('Work Items'!$Q$6:$Q$5000,SMALL(IF('Work Items'!$A$6:$A$5000="CR",ROW('Work Items'!$A$6:$A$5000)-ROW('Work Items'!$A$6)+1),164)),"")</f>
        <v/>
      </c>
      <c r="L168">
        <f t="array" ref="L168">IFERROR(INDEX('Work Items'!$N$6:$N$5000,SMALL(IF('Work Items'!$A$6:$A$5000="CR",ROW('Work Items'!$A$6:$A$5000)-ROW('Work Items'!$A$6)+1),164)),"")</f>
        <v/>
      </c>
      <c r="M168">
        <f t="array" ref="M168">IFERROR(INDEX('Work Items'!$O$6:$O$5000,SMALL(IF('Work Items'!$A$6:$A$5000="CR",ROW('Work Items'!$A$6:$A$5000)-ROW('Work Items'!$A$6)+1),164)),"")</f>
        <v/>
      </c>
    </row>
    <row r="169">
      <c r="A169">
        <f t="array" ref="A169">IFERROR(INDEX('Work Items'!$A$6:$A$5000,SMALL(IF('Work Items'!$A$6:$A$5000="CR",ROW('Work Items'!$A$6:$A$5000)-ROW('Work Items'!$A$6)+1),165)),"")</f>
        <v/>
      </c>
      <c r="B169">
        <f t="array" ref="B169">IFERROR(INDEX('Work Items'!$B$6:$B$5000,SMALL(IF('Work Items'!$A$6:$A$5000="CR",ROW('Work Items'!$A$6:$A$5000)-ROW('Work Items'!$A$6)+1),165)),"")</f>
        <v/>
      </c>
      <c r="C169">
        <f t="array" ref="C169">IFERROR(INDEX('Work Items'!$C$6:$C$5000,SMALL(IF('Work Items'!$A$6:$A$5000="CR",ROW('Work Items'!$A$6:$A$5000)-ROW('Work Items'!$A$6)+1),165)),"")</f>
        <v/>
      </c>
      <c r="D169">
        <f t="array" ref="D169">IFERROR(INDEX('Work Items'!$D$6:$D$5000,SMALL(IF('Work Items'!$A$6:$A$5000="CR",ROW('Work Items'!$A$6:$A$5000)-ROW('Work Items'!$A$6)+1),165)),"")</f>
        <v/>
      </c>
      <c r="E169">
        <f t="array" ref="E169">IFERROR(INDEX('Work Items'!$E$6:$E$5000,SMALL(IF('Work Items'!$A$6:$A$5000="CR",ROW('Work Items'!$A$6:$A$5000)-ROW('Work Items'!$A$6)+1),165)),"")</f>
        <v/>
      </c>
      <c r="F169">
        <f t="array" ref="F169">IFERROR(INDEX('Work Items'!$F$6:$F$5000,SMALL(IF('Work Items'!$A$6:$A$5000="CR",ROW('Work Items'!$A$6:$A$5000)-ROW('Work Items'!$A$6)+1),165)),"")</f>
        <v/>
      </c>
      <c r="G169">
        <f t="array" ref="G169">IFERROR(INDEX('Work Items'!$J$6:$J$5000,SMALL(IF('Work Items'!$A$6:$A$5000="CR",ROW('Work Items'!$A$6:$A$5000)-ROW('Work Items'!$A$6)+1),165)),"")</f>
        <v/>
      </c>
      <c r="H169">
        <f t="array" ref="H169">IFERROR(INDEX('Work Items'!$K$6:$K$5000,SMALL(IF('Work Items'!$A$6:$A$5000="CR",ROW('Work Items'!$A$6:$A$5000)-ROW('Work Items'!$A$6)+1),165)),"")</f>
        <v/>
      </c>
      <c r="I169">
        <f t="array" ref="I169">IFERROR(INDEX('Work Items'!$L$6:$L$5000,SMALL(IF('Work Items'!$A$6:$A$5000="CR",ROW('Work Items'!$A$6:$A$5000)-ROW('Work Items'!$A$6)+1),165)),"")</f>
        <v/>
      </c>
      <c r="J169" s="217">
        <f t="array" ref="J169">IFERROR(INDEX('Work Items'!$M$6:$M$5000,SMALL(IF('Work Items'!$A$6:$A$5000="CR",ROW('Work Items'!$A$6:$A$5000)-ROW('Work Items'!$A$6)+1),165)),"")</f>
        <v/>
      </c>
      <c r="K169" s="217">
        <f t="array" ref="K169">IFERROR(INDEX('Work Items'!$Q$6:$Q$5000,SMALL(IF('Work Items'!$A$6:$A$5000="CR",ROW('Work Items'!$A$6:$A$5000)-ROW('Work Items'!$A$6)+1),165)),"")</f>
        <v/>
      </c>
      <c r="L169">
        <f t="array" ref="L169">IFERROR(INDEX('Work Items'!$N$6:$N$5000,SMALL(IF('Work Items'!$A$6:$A$5000="CR",ROW('Work Items'!$A$6:$A$5000)-ROW('Work Items'!$A$6)+1),165)),"")</f>
        <v/>
      </c>
      <c r="M169">
        <f t="array" ref="M169">IFERROR(INDEX('Work Items'!$O$6:$O$5000,SMALL(IF('Work Items'!$A$6:$A$5000="CR",ROW('Work Items'!$A$6:$A$5000)-ROW('Work Items'!$A$6)+1),165)),"")</f>
        <v/>
      </c>
    </row>
    <row r="170">
      <c r="A170">
        <f t="array" ref="A170">IFERROR(INDEX('Work Items'!$A$6:$A$5000,SMALL(IF('Work Items'!$A$6:$A$5000="CR",ROW('Work Items'!$A$6:$A$5000)-ROW('Work Items'!$A$6)+1),166)),"")</f>
        <v/>
      </c>
      <c r="B170">
        <f t="array" ref="B170">IFERROR(INDEX('Work Items'!$B$6:$B$5000,SMALL(IF('Work Items'!$A$6:$A$5000="CR",ROW('Work Items'!$A$6:$A$5000)-ROW('Work Items'!$A$6)+1),166)),"")</f>
        <v/>
      </c>
      <c r="C170">
        <f t="array" ref="C170">IFERROR(INDEX('Work Items'!$C$6:$C$5000,SMALL(IF('Work Items'!$A$6:$A$5000="CR",ROW('Work Items'!$A$6:$A$5000)-ROW('Work Items'!$A$6)+1),166)),"")</f>
        <v/>
      </c>
      <c r="D170">
        <f t="array" ref="D170">IFERROR(INDEX('Work Items'!$D$6:$D$5000,SMALL(IF('Work Items'!$A$6:$A$5000="CR",ROW('Work Items'!$A$6:$A$5000)-ROW('Work Items'!$A$6)+1),166)),"")</f>
        <v/>
      </c>
      <c r="E170">
        <f t="array" ref="E170">IFERROR(INDEX('Work Items'!$E$6:$E$5000,SMALL(IF('Work Items'!$A$6:$A$5000="CR",ROW('Work Items'!$A$6:$A$5000)-ROW('Work Items'!$A$6)+1),166)),"")</f>
        <v/>
      </c>
      <c r="F170">
        <f t="array" ref="F170">IFERROR(INDEX('Work Items'!$F$6:$F$5000,SMALL(IF('Work Items'!$A$6:$A$5000="CR",ROW('Work Items'!$A$6:$A$5000)-ROW('Work Items'!$A$6)+1),166)),"")</f>
        <v/>
      </c>
      <c r="G170">
        <f t="array" ref="G170">IFERROR(INDEX('Work Items'!$J$6:$J$5000,SMALL(IF('Work Items'!$A$6:$A$5000="CR",ROW('Work Items'!$A$6:$A$5000)-ROW('Work Items'!$A$6)+1),166)),"")</f>
        <v/>
      </c>
      <c r="H170">
        <f t="array" ref="H170">IFERROR(INDEX('Work Items'!$K$6:$K$5000,SMALL(IF('Work Items'!$A$6:$A$5000="CR",ROW('Work Items'!$A$6:$A$5000)-ROW('Work Items'!$A$6)+1),166)),"")</f>
        <v/>
      </c>
      <c r="I170">
        <f t="array" ref="I170">IFERROR(INDEX('Work Items'!$L$6:$L$5000,SMALL(IF('Work Items'!$A$6:$A$5000="CR",ROW('Work Items'!$A$6:$A$5000)-ROW('Work Items'!$A$6)+1),166)),"")</f>
        <v/>
      </c>
      <c r="J170" s="217">
        <f t="array" ref="J170">IFERROR(INDEX('Work Items'!$M$6:$M$5000,SMALL(IF('Work Items'!$A$6:$A$5000="CR",ROW('Work Items'!$A$6:$A$5000)-ROW('Work Items'!$A$6)+1),166)),"")</f>
        <v/>
      </c>
      <c r="K170" s="217">
        <f t="array" ref="K170">IFERROR(INDEX('Work Items'!$Q$6:$Q$5000,SMALL(IF('Work Items'!$A$6:$A$5000="CR",ROW('Work Items'!$A$6:$A$5000)-ROW('Work Items'!$A$6)+1),166)),"")</f>
        <v/>
      </c>
      <c r="L170">
        <f t="array" ref="L170">IFERROR(INDEX('Work Items'!$N$6:$N$5000,SMALL(IF('Work Items'!$A$6:$A$5000="CR",ROW('Work Items'!$A$6:$A$5000)-ROW('Work Items'!$A$6)+1),166)),"")</f>
        <v/>
      </c>
      <c r="M170">
        <f t="array" ref="M170">IFERROR(INDEX('Work Items'!$O$6:$O$5000,SMALL(IF('Work Items'!$A$6:$A$5000="CR",ROW('Work Items'!$A$6:$A$5000)-ROW('Work Items'!$A$6)+1),166)),"")</f>
        <v/>
      </c>
    </row>
    <row r="171">
      <c r="A171">
        <f t="array" ref="A171">IFERROR(INDEX('Work Items'!$A$6:$A$5000,SMALL(IF('Work Items'!$A$6:$A$5000="CR",ROW('Work Items'!$A$6:$A$5000)-ROW('Work Items'!$A$6)+1),167)),"")</f>
        <v/>
      </c>
      <c r="B171">
        <f t="array" ref="B171">IFERROR(INDEX('Work Items'!$B$6:$B$5000,SMALL(IF('Work Items'!$A$6:$A$5000="CR",ROW('Work Items'!$A$6:$A$5000)-ROW('Work Items'!$A$6)+1),167)),"")</f>
        <v/>
      </c>
      <c r="C171">
        <f t="array" ref="C171">IFERROR(INDEX('Work Items'!$C$6:$C$5000,SMALL(IF('Work Items'!$A$6:$A$5000="CR",ROW('Work Items'!$A$6:$A$5000)-ROW('Work Items'!$A$6)+1),167)),"")</f>
        <v/>
      </c>
      <c r="D171">
        <f t="array" ref="D171">IFERROR(INDEX('Work Items'!$D$6:$D$5000,SMALL(IF('Work Items'!$A$6:$A$5000="CR",ROW('Work Items'!$A$6:$A$5000)-ROW('Work Items'!$A$6)+1),167)),"")</f>
        <v/>
      </c>
      <c r="E171">
        <f t="array" ref="E171">IFERROR(INDEX('Work Items'!$E$6:$E$5000,SMALL(IF('Work Items'!$A$6:$A$5000="CR",ROW('Work Items'!$A$6:$A$5000)-ROW('Work Items'!$A$6)+1),167)),"")</f>
        <v/>
      </c>
      <c r="F171">
        <f t="array" ref="F171">IFERROR(INDEX('Work Items'!$F$6:$F$5000,SMALL(IF('Work Items'!$A$6:$A$5000="CR",ROW('Work Items'!$A$6:$A$5000)-ROW('Work Items'!$A$6)+1),167)),"")</f>
        <v/>
      </c>
      <c r="G171">
        <f t="array" ref="G171">IFERROR(INDEX('Work Items'!$J$6:$J$5000,SMALL(IF('Work Items'!$A$6:$A$5000="CR",ROW('Work Items'!$A$6:$A$5000)-ROW('Work Items'!$A$6)+1),167)),"")</f>
        <v/>
      </c>
      <c r="H171">
        <f t="array" ref="H171">IFERROR(INDEX('Work Items'!$K$6:$K$5000,SMALL(IF('Work Items'!$A$6:$A$5000="CR",ROW('Work Items'!$A$6:$A$5000)-ROW('Work Items'!$A$6)+1),167)),"")</f>
        <v/>
      </c>
      <c r="I171">
        <f t="array" ref="I171">IFERROR(INDEX('Work Items'!$L$6:$L$5000,SMALL(IF('Work Items'!$A$6:$A$5000="CR",ROW('Work Items'!$A$6:$A$5000)-ROW('Work Items'!$A$6)+1),167)),"")</f>
        <v/>
      </c>
      <c r="J171" s="217">
        <f t="array" ref="J171">IFERROR(INDEX('Work Items'!$M$6:$M$5000,SMALL(IF('Work Items'!$A$6:$A$5000="CR",ROW('Work Items'!$A$6:$A$5000)-ROW('Work Items'!$A$6)+1),167)),"")</f>
        <v/>
      </c>
      <c r="K171" s="217">
        <f t="array" ref="K171">IFERROR(INDEX('Work Items'!$Q$6:$Q$5000,SMALL(IF('Work Items'!$A$6:$A$5000="CR",ROW('Work Items'!$A$6:$A$5000)-ROW('Work Items'!$A$6)+1),167)),"")</f>
        <v/>
      </c>
      <c r="L171">
        <f t="array" ref="L171">IFERROR(INDEX('Work Items'!$N$6:$N$5000,SMALL(IF('Work Items'!$A$6:$A$5000="CR",ROW('Work Items'!$A$6:$A$5000)-ROW('Work Items'!$A$6)+1),167)),"")</f>
        <v/>
      </c>
      <c r="M171">
        <f t="array" ref="M171">IFERROR(INDEX('Work Items'!$O$6:$O$5000,SMALL(IF('Work Items'!$A$6:$A$5000="CR",ROW('Work Items'!$A$6:$A$5000)-ROW('Work Items'!$A$6)+1),167)),"")</f>
        <v/>
      </c>
    </row>
    <row r="172">
      <c r="A172">
        <f t="array" ref="A172">IFERROR(INDEX('Work Items'!$A$6:$A$5000,SMALL(IF('Work Items'!$A$6:$A$5000="CR",ROW('Work Items'!$A$6:$A$5000)-ROW('Work Items'!$A$6)+1),168)),"")</f>
        <v/>
      </c>
      <c r="B172">
        <f t="array" ref="B172">IFERROR(INDEX('Work Items'!$B$6:$B$5000,SMALL(IF('Work Items'!$A$6:$A$5000="CR",ROW('Work Items'!$A$6:$A$5000)-ROW('Work Items'!$A$6)+1),168)),"")</f>
        <v/>
      </c>
      <c r="C172">
        <f t="array" ref="C172">IFERROR(INDEX('Work Items'!$C$6:$C$5000,SMALL(IF('Work Items'!$A$6:$A$5000="CR",ROW('Work Items'!$A$6:$A$5000)-ROW('Work Items'!$A$6)+1),168)),"")</f>
        <v/>
      </c>
      <c r="D172">
        <f t="array" ref="D172">IFERROR(INDEX('Work Items'!$D$6:$D$5000,SMALL(IF('Work Items'!$A$6:$A$5000="CR",ROW('Work Items'!$A$6:$A$5000)-ROW('Work Items'!$A$6)+1),168)),"")</f>
        <v/>
      </c>
      <c r="E172">
        <f t="array" ref="E172">IFERROR(INDEX('Work Items'!$E$6:$E$5000,SMALL(IF('Work Items'!$A$6:$A$5000="CR",ROW('Work Items'!$A$6:$A$5000)-ROW('Work Items'!$A$6)+1),168)),"")</f>
        <v/>
      </c>
      <c r="F172">
        <f t="array" ref="F172">IFERROR(INDEX('Work Items'!$F$6:$F$5000,SMALL(IF('Work Items'!$A$6:$A$5000="CR",ROW('Work Items'!$A$6:$A$5000)-ROW('Work Items'!$A$6)+1),168)),"")</f>
        <v/>
      </c>
      <c r="G172">
        <f t="array" ref="G172">IFERROR(INDEX('Work Items'!$J$6:$J$5000,SMALL(IF('Work Items'!$A$6:$A$5000="CR",ROW('Work Items'!$A$6:$A$5000)-ROW('Work Items'!$A$6)+1),168)),"")</f>
        <v/>
      </c>
      <c r="H172">
        <f t="array" ref="H172">IFERROR(INDEX('Work Items'!$K$6:$K$5000,SMALL(IF('Work Items'!$A$6:$A$5000="CR",ROW('Work Items'!$A$6:$A$5000)-ROW('Work Items'!$A$6)+1),168)),"")</f>
        <v/>
      </c>
      <c r="I172">
        <f t="array" ref="I172">IFERROR(INDEX('Work Items'!$L$6:$L$5000,SMALL(IF('Work Items'!$A$6:$A$5000="CR",ROW('Work Items'!$A$6:$A$5000)-ROW('Work Items'!$A$6)+1),168)),"")</f>
        <v/>
      </c>
      <c r="J172" s="217">
        <f t="array" ref="J172">IFERROR(INDEX('Work Items'!$M$6:$M$5000,SMALL(IF('Work Items'!$A$6:$A$5000="CR",ROW('Work Items'!$A$6:$A$5000)-ROW('Work Items'!$A$6)+1),168)),"")</f>
        <v/>
      </c>
      <c r="K172" s="217">
        <f t="array" ref="K172">IFERROR(INDEX('Work Items'!$Q$6:$Q$5000,SMALL(IF('Work Items'!$A$6:$A$5000="CR",ROW('Work Items'!$A$6:$A$5000)-ROW('Work Items'!$A$6)+1),168)),"")</f>
        <v/>
      </c>
      <c r="L172">
        <f t="array" ref="L172">IFERROR(INDEX('Work Items'!$N$6:$N$5000,SMALL(IF('Work Items'!$A$6:$A$5000="CR",ROW('Work Items'!$A$6:$A$5000)-ROW('Work Items'!$A$6)+1),168)),"")</f>
        <v/>
      </c>
      <c r="M172">
        <f t="array" ref="M172">IFERROR(INDEX('Work Items'!$O$6:$O$5000,SMALL(IF('Work Items'!$A$6:$A$5000="CR",ROW('Work Items'!$A$6:$A$5000)-ROW('Work Items'!$A$6)+1),168)),"")</f>
        <v/>
      </c>
    </row>
    <row r="173">
      <c r="A173">
        <f t="array" ref="A173">IFERROR(INDEX('Work Items'!$A$6:$A$5000,SMALL(IF('Work Items'!$A$6:$A$5000="CR",ROW('Work Items'!$A$6:$A$5000)-ROW('Work Items'!$A$6)+1),169)),"")</f>
        <v/>
      </c>
      <c r="B173">
        <f t="array" ref="B173">IFERROR(INDEX('Work Items'!$B$6:$B$5000,SMALL(IF('Work Items'!$A$6:$A$5000="CR",ROW('Work Items'!$A$6:$A$5000)-ROW('Work Items'!$A$6)+1),169)),"")</f>
        <v/>
      </c>
      <c r="C173">
        <f t="array" ref="C173">IFERROR(INDEX('Work Items'!$C$6:$C$5000,SMALL(IF('Work Items'!$A$6:$A$5000="CR",ROW('Work Items'!$A$6:$A$5000)-ROW('Work Items'!$A$6)+1),169)),"")</f>
        <v/>
      </c>
      <c r="D173">
        <f t="array" ref="D173">IFERROR(INDEX('Work Items'!$D$6:$D$5000,SMALL(IF('Work Items'!$A$6:$A$5000="CR",ROW('Work Items'!$A$6:$A$5000)-ROW('Work Items'!$A$6)+1),169)),"")</f>
        <v/>
      </c>
      <c r="E173">
        <f t="array" ref="E173">IFERROR(INDEX('Work Items'!$E$6:$E$5000,SMALL(IF('Work Items'!$A$6:$A$5000="CR",ROW('Work Items'!$A$6:$A$5000)-ROW('Work Items'!$A$6)+1),169)),"")</f>
        <v/>
      </c>
      <c r="F173">
        <f t="array" ref="F173">IFERROR(INDEX('Work Items'!$F$6:$F$5000,SMALL(IF('Work Items'!$A$6:$A$5000="CR",ROW('Work Items'!$A$6:$A$5000)-ROW('Work Items'!$A$6)+1),169)),"")</f>
        <v/>
      </c>
      <c r="G173">
        <f t="array" ref="G173">IFERROR(INDEX('Work Items'!$J$6:$J$5000,SMALL(IF('Work Items'!$A$6:$A$5000="CR",ROW('Work Items'!$A$6:$A$5000)-ROW('Work Items'!$A$6)+1),169)),"")</f>
        <v/>
      </c>
      <c r="H173">
        <f t="array" ref="H173">IFERROR(INDEX('Work Items'!$K$6:$K$5000,SMALL(IF('Work Items'!$A$6:$A$5000="CR",ROW('Work Items'!$A$6:$A$5000)-ROW('Work Items'!$A$6)+1),169)),"")</f>
        <v/>
      </c>
      <c r="I173">
        <f t="array" ref="I173">IFERROR(INDEX('Work Items'!$L$6:$L$5000,SMALL(IF('Work Items'!$A$6:$A$5000="CR",ROW('Work Items'!$A$6:$A$5000)-ROW('Work Items'!$A$6)+1),169)),"")</f>
        <v/>
      </c>
      <c r="J173" s="217">
        <f t="array" ref="J173">IFERROR(INDEX('Work Items'!$M$6:$M$5000,SMALL(IF('Work Items'!$A$6:$A$5000="CR",ROW('Work Items'!$A$6:$A$5000)-ROW('Work Items'!$A$6)+1),169)),"")</f>
        <v/>
      </c>
      <c r="K173" s="217">
        <f t="array" ref="K173">IFERROR(INDEX('Work Items'!$Q$6:$Q$5000,SMALL(IF('Work Items'!$A$6:$A$5000="CR",ROW('Work Items'!$A$6:$A$5000)-ROW('Work Items'!$A$6)+1),169)),"")</f>
        <v/>
      </c>
      <c r="L173">
        <f t="array" ref="L173">IFERROR(INDEX('Work Items'!$N$6:$N$5000,SMALL(IF('Work Items'!$A$6:$A$5000="CR",ROW('Work Items'!$A$6:$A$5000)-ROW('Work Items'!$A$6)+1),169)),"")</f>
        <v/>
      </c>
      <c r="M173">
        <f t="array" ref="M173">IFERROR(INDEX('Work Items'!$O$6:$O$5000,SMALL(IF('Work Items'!$A$6:$A$5000="CR",ROW('Work Items'!$A$6:$A$5000)-ROW('Work Items'!$A$6)+1),169)),"")</f>
        <v/>
      </c>
    </row>
    <row r="174">
      <c r="A174">
        <f t="array" ref="A174">IFERROR(INDEX('Work Items'!$A$6:$A$5000,SMALL(IF('Work Items'!$A$6:$A$5000="CR",ROW('Work Items'!$A$6:$A$5000)-ROW('Work Items'!$A$6)+1),170)),"")</f>
        <v/>
      </c>
      <c r="B174">
        <f t="array" ref="B174">IFERROR(INDEX('Work Items'!$B$6:$B$5000,SMALL(IF('Work Items'!$A$6:$A$5000="CR",ROW('Work Items'!$A$6:$A$5000)-ROW('Work Items'!$A$6)+1),170)),"")</f>
        <v/>
      </c>
      <c r="C174">
        <f t="array" ref="C174">IFERROR(INDEX('Work Items'!$C$6:$C$5000,SMALL(IF('Work Items'!$A$6:$A$5000="CR",ROW('Work Items'!$A$6:$A$5000)-ROW('Work Items'!$A$6)+1),170)),"")</f>
        <v/>
      </c>
      <c r="D174">
        <f t="array" ref="D174">IFERROR(INDEX('Work Items'!$D$6:$D$5000,SMALL(IF('Work Items'!$A$6:$A$5000="CR",ROW('Work Items'!$A$6:$A$5000)-ROW('Work Items'!$A$6)+1),170)),"")</f>
        <v/>
      </c>
      <c r="E174">
        <f t="array" ref="E174">IFERROR(INDEX('Work Items'!$E$6:$E$5000,SMALL(IF('Work Items'!$A$6:$A$5000="CR",ROW('Work Items'!$A$6:$A$5000)-ROW('Work Items'!$A$6)+1),170)),"")</f>
        <v/>
      </c>
      <c r="F174">
        <f t="array" ref="F174">IFERROR(INDEX('Work Items'!$F$6:$F$5000,SMALL(IF('Work Items'!$A$6:$A$5000="CR",ROW('Work Items'!$A$6:$A$5000)-ROW('Work Items'!$A$6)+1),170)),"")</f>
        <v/>
      </c>
      <c r="G174">
        <f t="array" ref="G174">IFERROR(INDEX('Work Items'!$J$6:$J$5000,SMALL(IF('Work Items'!$A$6:$A$5000="CR",ROW('Work Items'!$A$6:$A$5000)-ROW('Work Items'!$A$6)+1),170)),"")</f>
        <v/>
      </c>
      <c r="H174">
        <f t="array" ref="H174">IFERROR(INDEX('Work Items'!$K$6:$K$5000,SMALL(IF('Work Items'!$A$6:$A$5000="CR",ROW('Work Items'!$A$6:$A$5000)-ROW('Work Items'!$A$6)+1),170)),"")</f>
        <v/>
      </c>
      <c r="I174">
        <f t="array" ref="I174">IFERROR(INDEX('Work Items'!$L$6:$L$5000,SMALL(IF('Work Items'!$A$6:$A$5000="CR",ROW('Work Items'!$A$6:$A$5000)-ROW('Work Items'!$A$6)+1),170)),"")</f>
        <v/>
      </c>
      <c r="J174" s="217">
        <f t="array" ref="J174">IFERROR(INDEX('Work Items'!$M$6:$M$5000,SMALL(IF('Work Items'!$A$6:$A$5000="CR",ROW('Work Items'!$A$6:$A$5000)-ROW('Work Items'!$A$6)+1),170)),"")</f>
        <v/>
      </c>
      <c r="K174" s="217">
        <f t="array" ref="K174">IFERROR(INDEX('Work Items'!$Q$6:$Q$5000,SMALL(IF('Work Items'!$A$6:$A$5000="CR",ROW('Work Items'!$A$6:$A$5000)-ROW('Work Items'!$A$6)+1),170)),"")</f>
        <v/>
      </c>
      <c r="L174">
        <f t="array" ref="L174">IFERROR(INDEX('Work Items'!$N$6:$N$5000,SMALL(IF('Work Items'!$A$6:$A$5000="CR",ROW('Work Items'!$A$6:$A$5000)-ROW('Work Items'!$A$6)+1),170)),"")</f>
        <v/>
      </c>
      <c r="M174">
        <f t="array" ref="M174">IFERROR(INDEX('Work Items'!$O$6:$O$5000,SMALL(IF('Work Items'!$A$6:$A$5000="CR",ROW('Work Items'!$A$6:$A$5000)-ROW('Work Items'!$A$6)+1),170)),"")</f>
        <v/>
      </c>
    </row>
    <row r="175">
      <c r="A175">
        <f t="array" ref="A175">IFERROR(INDEX('Work Items'!$A$6:$A$5000,SMALL(IF('Work Items'!$A$6:$A$5000="CR",ROW('Work Items'!$A$6:$A$5000)-ROW('Work Items'!$A$6)+1),171)),"")</f>
        <v/>
      </c>
      <c r="B175">
        <f t="array" ref="B175">IFERROR(INDEX('Work Items'!$B$6:$B$5000,SMALL(IF('Work Items'!$A$6:$A$5000="CR",ROW('Work Items'!$A$6:$A$5000)-ROW('Work Items'!$A$6)+1),171)),"")</f>
        <v/>
      </c>
      <c r="C175">
        <f t="array" ref="C175">IFERROR(INDEX('Work Items'!$C$6:$C$5000,SMALL(IF('Work Items'!$A$6:$A$5000="CR",ROW('Work Items'!$A$6:$A$5000)-ROW('Work Items'!$A$6)+1),171)),"")</f>
        <v/>
      </c>
      <c r="D175">
        <f t="array" ref="D175">IFERROR(INDEX('Work Items'!$D$6:$D$5000,SMALL(IF('Work Items'!$A$6:$A$5000="CR",ROW('Work Items'!$A$6:$A$5000)-ROW('Work Items'!$A$6)+1),171)),"")</f>
        <v/>
      </c>
      <c r="E175">
        <f t="array" ref="E175">IFERROR(INDEX('Work Items'!$E$6:$E$5000,SMALL(IF('Work Items'!$A$6:$A$5000="CR",ROW('Work Items'!$A$6:$A$5000)-ROW('Work Items'!$A$6)+1),171)),"")</f>
        <v/>
      </c>
      <c r="F175">
        <f t="array" ref="F175">IFERROR(INDEX('Work Items'!$F$6:$F$5000,SMALL(IF('Work Items'!$A$6:$A$5000="CR",ROW('Work Items'!$A$6:$A$5000)-ROW('Work Items'!$A$6)+1),171)),"")</f>
        <v/>
      </c>
      <c r="G175">
        <f t="array" ref="G175">IFERROR(INDEX('Work Items'!$J$6:$J$5000,SMALL(IF('Work Items'!$A$6:$A$5000="CR",ROW('Work Items'!$A$6:$A$5000)-ROW('Work Items'!$A$6)+1),171)),"")</f>
        <v/>
      </c>
      <c r="H175">
        <f t="array" ref="H175">IFERROR(INDEX('Work Items'!$K$6:$K$5000,SMALL(IF('Work Items'!$A$6:$A$5000="CR",ROW('Work Items'!$A$6:$A$5000)-ROW('Work Items'!$A$6)+1),171)),"")</f>
        <v/>
      </c>
      <c r="I175">
        <f t="array" ref="I175">IFERROR(INDEX('Work Items'!$L$6:$L$5000,SMALL(IF('Work Items'!$A$6:$A$5000="CR",ROW('Work Items'!$A$6:$A$5000)-ROW('Work Items'!$A$6)+1),171)),"")</f>
        <v/>
      </c>
      <c r="J175" s="217">
        <f t="array" ref="J175">IFERROR(INDEX('Work Items'!$M$6:$M$5000,SMALL(IF('Work Items'!$A$6:$A$5000="CR",ROW('Work Items'!$A$6:$A$5000)-ROW('Work Items'!$A$6)+1),171)),"")</f>
        <v/>
      </c>
      <c r="K175" s="217">
        <f t="array" ref="K175">IFERROR(INDEX('Work Items'!$Q$6:$Q$5000,SMALL(IF('Work Items'!$A$6:$A$5000="CR",ROW('Work Items'!$A$6:$A$5000)-ROW('Work Items'!$A$6)+1),171)),"")</f>
        <v/>
      </c>
      <c r="L175">
        <f t="array" ref="L175">IFERROR(INDEX('Work Items'!$N$6:$N$5000,SMALL(IF('Work Items'!$A$6:$A$5000="CR",ROW('Work Items'!$A$6:$A$5000)-ROW('Work Items'!$A$6)+1),171)),"")</f>
        <v/>
      </c>
      <c r="M175">
        <f t="array" ref="M175">IFERROR(INDEX('Work Items'!$O$6:$O$5000,SMALL(IF('Work Items'!$A$6:$A$5000="CR",ROW('Work Items'!$A$6:$A$5000)-ROW('Work Items'!$A$6)+1),171)),"")</f>
        <v/>
      </c>
    </row>
    <row r="176">
      <c r="A176">
        <f t="array" ref="A176">IFERROR(INDEX('Work Items'!$A$6:$A$5000,SMALL(IF('Work Items'!$A$6:$A$5000="CR",ROW('Work Items'!$A$6:$A$5000)-ROW('Work Items'!$A$6)+1),172)),"")</f>
        <v/>
      </c>
      <c r="B176">
        <f t="array" ref="B176">IFERROR(INDEX('Work Items'!$B$6:$B$5000,SMALL(IF('Work Items'!$A$6:$A$5000="CR",ROW('Work Items'!$A$6:$A$5000)-ROW('Work Items'!$A$6)+1),172)),"")</f>
        <v/>
      </c>
      <c r="C176">
        <f t="array" ref="C176">IFERROR(INDEX('Work Items'!$C$6:$C$5000,SMALL(IF('Work Items'!$A$6:$A$5000="CR",ROW('Work Items'!$A$6:$A$5000)-ROW('Work Items'!$A$6)+1),172)),"")</f>
        <v/>
      </c>
      <c r="D176">
        <f t="array" ref="D176">IFERROR(INDEX('Work Items'!$D$6:$D$5000,SMALL(IF('Work Items'!$A$6:$A$5000="CR",ROW('Work Items'!$A$6:$A$5000)-ROW('Work Items'!$A$6)+1),172)),"")</f>
        <v/>
      </c>
      <c r="E176">
        <f t="array" ref="E176">IFERROR(INDEX('Work Items'!$E$6:$E$5000,SMALL(IF('Work Items'!$A$6:$A$5000="CR",ROW('Work Items'!$A$6:$A$5000)-ROW('Work Items'!$A$6)+1),172)),"")</f>
        <v/>
      </c>
      <c r="F176">
        <f t="array" ref="F176">IFERROR(INDEX('Work Items'!$F$6:$F$5000,SMALL(IF('Work Items'!$A$6:$A$5000="CR",ROW('Work Items'!$A$6:$A$5000)-ROW('Work Items'!$A$6)+1),172)),"")</f>
        <v/>
      </c>
      <c r="G176">
        <f t="array" ref="G176">IFERROR(INDEX('Work Items'!$J$6:$J$5000,SMALL(IF('Work Items'!$A$6:$A$5000="CR",ROW('Work Items'!$A$6:$A$5000)-ROW('Work Items'!$A$6)+1),172)),"")</f>
        <v/>
      </c>
      <c r="H176">
        <f t="array" ref="H176">IFERROR(INDEX('Work Items'!$K$6:$K$5000,SMALL(IF('Work Items'!$A$6:$A$5000="CR",ROW('Work Items'!$A$6:$A$5000)-ROW('Work Items'!$A$6)+1),172)),"")</f>
        <v/>
      </c>
      <c r="I176">
        <f t="array" ref="I176">IFERROR(INDEX('Work Items'!$L$6:$L$5000,SMALL(IF('Work Items'!$A$6:$A$5000="CR",ROW('Work Items'!$A$6:$A$5000)-ROW('Work Items'!$A$6)+1),172)),"")</f>
        <v/>
      </c>
      <c r="J176" s="217">
        <f t="array" ref="J176">IFERROR(INDEX('Work Items'!$M$6:$M$5000,SMALL(IF('Work Items'!$A$6:$A$5000="CR",ROW('Work Items'!$A$6:$A$5000)-ROW('Work Items'!$A$6)+1),172)),"")</f>
        <v/>
      </c>
      <c r="K176" s="217">
        <f t="array" ref="K176">IFERROR(INDEX('Work Items'!$Q$6:$Q$5000,SMALL(IF('Work Items'!$A$6:$A$5000="CR",ROW('Work Items'!$A$6:$A$5000)-ROW('Work Items'!$A$6)+1),172)),"")</f>
        <v/>
      </c>
      <c r="L176">
        <f t="array" ref="L176">IFERROR(INDEX('Work Items'!$N$6:$N$5000,SMALL(IF('Work Items'!$A$6:$A$5000="CR",ROW('Work Items'!$A$6:$A$5000)-ROW('Work Items'!$A$6)+1),172)),"")</f>
        <v/>
      </c>
      <c r="M176">
        <f t="array" ref="M176">IFERROR(INDEX('Work Items'!$O$6:$O$5000,SMALL(IF('Work Items'!$A$6:$A$5000="CR",ROW('Work Items'!$A$6:$A$5000)-ROW('Work Items'!$A$6)+1),172)),"")</f>
        <v/>
      </c>
    </row>
    <row r="177">
      <c r="A177">
        <f t="array" ref="A177">IFERROR(INDEX('Work Items'!$A$6:$A$5000,SMALL(IF('Work Items'!$A$6:$A$5000="CR",ROW('Work Items'!$A$6:$A$5000)-ROW('Work Items'!$A$6)+1),173)),"")</f>
        <v/>
      </c>
      <c r="B177">
        <f t="array" ref="B177">IFERROR(INDEX('Work Items'!$B$6:$B$5000,SMALL(IF('Work Items'!$A$6:$A$5000="CR",ROW('Work Items'!$A$6:$A$5000)-ROW('Work Items'!$A$6)+1),173)),"")</f>
        <v/>
      </c>
      <c r="C177">
        <f t="array" ref="C177">IFERROR(INDEX('Work Items'!$C$6:$C$5000,SMALL(IF('Work Items'!$A$6:$A$5000="CR",ROW('Work Items'!$A$6:$A$5000)-ROW('Work Items'!$A$6)+1),173)),"")</f>
        <v/>
      </c>
      <c r="D177">
        <f t="array" ref="D177">IFERROR(INDEX('Work Items'!$D$6:$D$5000,SMALL(IF('Work Items'!$A$6:$A$5000="CR",ROW('Work Items'!$A$6:$A$5000)-ROW('Work Items'!$A$6)+1),173)),"")</f>
        <v/>
      </c>
      <c r="E177">
        <f t="array" ref="E177">IFERROR(INDEX('Work Items'!$E$6:$E$5000,SMALL(IF('Work Items'!$A$6:$A$5000="CR",ROW('Work Items'!$A$6:$A$5000)-ROW('Work Items'!$A$6)+1),173)),"")</f>
        <v/>
      </c>
      <c r="F177">
        <f t="array" ref="F177">IFERROR(INDEX('Work Items'!$F$6:$F$5000,SMALL(IF('Work Items'!$A$6:$A$5000="CR",ROW('Work Items'!$A$6:$A$5000)-ROW('Work Items'!$A$6)+1),173)),"")</f>
        <v/>
      </c>
      <c r="G177">
        <f t="array" ref="G177">IFERROR(INDEX('Work Items'!$J$6:$J$5000,SMALL(IF('Work Items'!$A$6:$A$5000="CR",ROW('Work Items'!$A$6:$A$5000)-ROW('Work Items'!$A$6)+1),173)),"")</f>
        <v/>
      </c>
      <c r="H177">
        <f t="array" ref="H177">IFERROR(INDEX('Work Items'!$K$6:$K$5000,SMALL(IF('Work Items'!$A$6:$A$5000="CR",ROW('Work Items'!$A$6:$A$5000)-ROW('Work Items'!$A$6)+1),173)),"")</f>
        <v/>
      </c>
      <c r="I177">
        <f t="array" ref="I177">IFERROR(INDEX('Work Items'!$L$6:$L$5000,SMALL(IF('Work Items'!$A$6:$A$5000="CR",ROW('Work Items'!$A$6:$A$5000)-ROW('Work Items'!$A$6)+1),173)),"")</f>
        <v/>
      </c>
      <c r="J177" s="217">
        <f t="array" ref="J177">IFERROR(INDEX('Work Items'!$M$6:$M$5000,SMALL(IF('Work Items'!$A$6:$A$5000="CR",ROW('Work Items'!$A$6:$A$5000)-ROW('Work Items'!$A$6)+1),173)),"")</f>
        <v/>
      </c>
      <c r="K177" s="217">
        <f t="array" ref="K177">IFERROR(INDEX('Work Items'!$Q$6:$Q$5000,SMALL(IF('Work Items'!$A$6:$A$5000="CR",ROW('Work Items'!$A$6:$A$5000)-ROW('Work Items'!$A$6)+1),173)),"")</f>
        <v/>
      </c>
      <c r="L177">
        <f t="array" ref="L177">IFERROR(INDEX('Work Items'!$N$6:$N$5000,SMALL(IF('Work Items'!$A$6:$A$5000="CR",ROW('Work Items'!$A$6:$A$5000)-ROW('Work Items'!$A$6)+1),173)),"")</f>
        <v/>
      </c>
      <c r="M177">
        <f t="array" ref="M177">IFERROR(INDEX('Work Items'!$O$6:$O$5000,SMALL(IF('Work Items'!$A$6:$A$5000="CR",ROW('Work Items'!$A$6:$A$5000)-ROW('Work Items'!$A$6)+1),173)),"")</f>
        <v/>
      </c>
    </row>
    <row r="178">
      <c r="A178">
        <f t="array" ref="A178">IFERROR(INDEX('Work Items'!$A$6:$A$5000,SMALL(IF('Work Items'!$A$6:$A$5000="CR",ROW('Work Items'!$A$6:$A$5000)-ROW('Work Items'!$A$6)+1),174)),"")</f>
        <v/>
      </c>
      <c r="B178">
        <f t="array" ref="B178">IFERROR(INDEX('Work Items'!$B$6:$B$5000,SMALL(IF('Work Items'!$A$6:$A$5000="CR",ROW('Work Items'!$A$6:$A$5000)-ROW('Work Items'!$A$6)+1),174)),"")</f>
        <v/>
      </c>
      <c r="C178">
        <f t="array" ref="C178">IFERROR(INDEX('Work Items'!$C$6:$C$5000,SMALL(IF('Work Items'!$A$6:$A$5000="CR",ROW('Work Items'!$A$6:$A$5000)-ROW('Work Items'!$A$6)+1),174)),"")</f>
        <v/>
      </c>
      <c r="D178">
        <f t="array" ref="D178">IFERROR(INDEX('Work Items'!$D$6:$D$5000,SMALL(IF('Work Items'!$A$6:$A$5000="CR",ROW('Work Items'!$A$6:$A$5000)-ROW('Work Items'!$A$6)+1),174)),"")</f>
        <v/>
      </c>
      <c r="E178">
        <f t="array" ref="E178">IFERROR(INDEX('Work Items'!$E$6:$E$5000,SMALL(IF('Work Items'!$A$6:$A$5000="CR",ROW('Work Items'!$A$6:$A$5000)-ROW('Work Items'!$A$6)+1),174)),"")</f>
        <v/>
      </c>
      <c r="F178">
        <f t="array" ref="F178">IFERROR(INDEX('Work Items'!$F$6:$F$5000,SMALL(IF('Work Items'!$A$6:$A$5000="CR",ROW('Work Items'!$A$6:$A$5000)-ROW('Work Items'!$A$6)+1),174)),"")</f>
        <v/>
      </c>
      <c r="G178">
        <f t="array" ref="G178">IFERROR(INDEX('Work Items'!$J$6:$J$5000,SMALL(IF('Work Items'!$A$6:$A$5000="CR",ROW('Work Items'!$A$6:$A$5000)-ROW('Work Items'!$A$6)+1),174)),"")</f>
        <v/>
      </c>
      <c r="H178">
        <f t="array" ref="H178">IFERROR(INDEX('Work Items'!$K$6:$K$5000,SMALL(IF('Work Items'!$A$6:$A$5000="CR",ROW('Work Items'!$A$6:$A$5000)-ROW('Work Items'!$A$6)+1),174)),"")</f>
        <v/>
      </c>
      <c r="I178">
        <f t="array" ref="I178">IFERROR(INDEX('Work Items'!$L$6:$L$5000,SMALL(IF('Work Items'!$A$6:$A$5000="CR",ROW('Work Items'!$A$6:$A$5000)-ROW('Work Items'!$A$6)+1),174)),"")</f>
        <v/>
      </c>
      <c r="J178" s="217">
        <f t="array" ref="J178">IFERROR(INDEX('Work Items'!$M$6:$M$5000,SMALL(IF('Work Items'!$A$6:$A$5000="CR",ROW('Work Items'!$A$6:$A$5000)-ROW('Work Items'!$A$6)+1),174)),"")</f>
        <v/>
      </c>
      <c r="K178" s="217">
        <f t="array" ref="K178">IFERROR(INDEX('Work Items'!$Q$6:$Q$5000,SMALL(IF('Work Items'!$A$6:$A$5000="CR",ROW('Work Items'!$A$6:$A$5000)-ROW('Work Items'!$A$6)+1),174)),"")</f>
        <v/>
      </c>
      <c r="L178">
        <f t="array" ref="L178">IFERROR(INDEX('Work Items'!$N$6:$N$5000,SMALL(IF('Work Items'!$A$6:$A$5000="CR",ROW('Work Items'!$A$6:$A$5000)-ROW('Work Items'!$A$6)+1),174)),"")</f>
        <v/>
      </c>
      <c r="M178">
        <f t="array" ref="M178">IFERROR(INDEX('Work Items'!$O$6:$O$5000,SMALL(IF('Work Items'!$A$6:$A$5000="CR",ROW('Work Items'!$A$6:$A$5000)-ROW('Work Items'!$A$6)+1),174)),"")</f>
        <v/>
      </c>
    </row>
    <row r="179">
      <c r="A179">
        <f t="array" ref="A179">IFERROR(INDEX('Work Items'!$A$6:$A$5000,SMALL(IF('Work Items'!$A$6:$A$5000="CR",ROW('Work Items'!$A$6:$A$5000)-ROW('Work Items'!$A$6)+1),175)),"")</f>
        <v/>
      </c>
      <c r="B179">
        <f t="array" ref="B179">IFERROR(INDEX('Work Items'!$B$6:$B$5000,SMALL(IF('Work Items'!$A$6:$A$5000="CR",ROW('Work Items'!$A$6:$A$5000)-ROW('Work Items'!$A$6)+1),175)),"")</f>
        <v/>
      </c>
      <c r="C179">
        <f t="array" ref="C179">IFERROR(INDEX('Work Items'!$C$6:$C$5000,SMALL(IF('Work Items'!$A$6:$A$5000="CR",ROW('Work Items'!$A$6:$A$5000)-ROW('Work Items'!$A$6)+1),175)),"")</f>
        <v/>
      </c>
      <c r="D179">
        <f t="array" ref="D179">IFERROR(INDEX('Work Items'!$D$6:$D$5000,SMALL(IF('Work Items'!$A$6:$A$5000="CR",ROW('Work Items'!$A$6:$A$5000)-ROW('Work Items'!$A$6)+1),175)),"")</f>
        <v/>
      </c>
      <c r="E179">
        <f t="array" ref="E179">IFERROR(INDEX('Work Items'!$E$6:$E$5000,SMALL(IF('Work Items'!$A$6:$A$5000="CR",ROW('Work Items'!$A$6:$A$5000)-ROW('Work Items'!$A$6)+1),175)),"")</f>
        <v/>
      </c>
      <c r="F179">
        <f t="array" ref="F179">IFERROR(INDEX('Work Items'!$F$6:$F$5000,SMALL(IF('Work Items'!$A$6:$A$5000="CR",ROW('Work Items'!$A$6:$A$5000)-ROW('Work Items'!$A$6)+1),175)),"")</f>
        <v/>
      </c>
      <c r="G179">
        <f t="array" ref="G179">IFERROR(INDEX('Work Items'!$J$6:$J$5000,SMALL(IF('Work Items'!$A$6:$A$5000="CR",ROW('Work Items'!$A$6:$A$5000)-ROW('Work Items'!$A$6)+1),175)),"")</f>
        <v/>
      </c>
      <c r="H179">
        <f t="array" ref="H179">IFERROR(INDEX('Work Items'!$K$6:$K$5000,SMALL(IF('Work Items'!$A$6:$A$5000="CR",ROW('Work Items'!$A$6:$A$5000)-ROW('Work Items'!$A$6)+1),175)),"")</f>
        <v/>
      </c>
      <c r="I179">
        <f t="array" ref="I179">IFERROR(INDEX('Work Items'!$L$6:$L$5000,SMALL(IF('Work Items'!$A$6:$A$5000="CR",ROW('Work Items'!$A$6:$A$5000)-ROW('Work Items'!$A$6)+1),175)),"")</f>
        <v/>
      </c>
      <c r="J179" s="217">
        <f t="array" ref="J179">IFERROR(INDEX('Work Items'!$M$6:$M$5000,SMALL(IF('Work Items'!$A$6:$A$5000="CR",ROW('Work Items'!$A$6:$A$5000)-ROW('Work Items'!$A$6)+1),175)),"")</f>
        <v/>
      </c>
      <c r="K179" s="217">
        <f t="array" ref="K179">IFERROR(INDEX('Work Items'!$Q$6:$Q$5000,SMALL(IF('Work Items'!$A$6:$A$5000="CR",ROW('Work Items'!$A$6:$A$5000)-ROW('Work Items'!$A$6)+1),175)),"")</f>
        <v/>
      </c>
      <c r="L179">
        <f t="array" ref="L179">IFERROR(INDEX('Work Items'!$N$6:$N$5000,SMALL(IF('Work Items'!$A$6:$A$5000="CR",ROW('Work Items'!$A$6:$A$5000)-ROW('Work Items'!$A$6)+1),175)),"")</f>
        <v/>
      </c>
      <c r="M179">
        <f t="array" ref="M179">IFERROR(INDEX('Work Items'!$O$6:$O$5000,SMALL(IF('Work Items'!$A$6:$A$5000="CR",ROW('Work Items'!$A$6:$A$5000)-ROW('Work Items'!$A$6)+1),175)),"")</f>
        <v/>
      </c>
    </row>
    <row r="180">
      <c r="A180">
        <f t="array" ref="A180">IFERROR(INDEX('Work Items'!$A$6:$A$5000,SMALL(IF('Work Items'!$A$6:$A$5000="CR",ROW('Work Items'!$A$6:$A$5000)-ROW('Work Items'!$A$6)+1),176)),"")</f>
        <v/>
      </c>
      <c r="B180">
        <f t="array" ref="B180">IFERROR(INDEX('Work Items'!$B$6:$B$5000,SMALL(IF('Work Items'!$A$6:$A$5000="CR",ROW('Work Items'!$A$6:$A$5000)-ROW('Work Items'!$A$6)+1),176)),"")</f>
        <v/>
      </c>
      <c r="C180">
        <f t="array" ref="C180">IFERROR(INDEX('Work Items'!$C$6:$C$5000,SMALL(IF('Work Items'!$A$6:$A$5000="CR",ROW('Work Items'!$A$6:$A$5000)-ROW('Work Items'!$A$6)+1),176)),"")</f>
        <v/>
      </c>
      <c r="D180">
        <f t="array" ref="D180">IFERROR(INDEX('Work Items'!$D$6:$D$5000,SMALL(IF('Work Items'!$A$6:$A$5000="CR",ROW('Work Items'!$A$6:$A$5000)-ROW('Work Items'!$A$6)+1),176)),"")</f>
        <v/>
      </c>
      <c r="E180">
        <f t="array" ref="E180">IFERROR(INDEX('Work Items'!$E$6:$E$5000,SMALL(IF('Work Items'!$A$6:$A$5000="CR",ROW('Work Items'!$A$6:$A$5000)-ROW('Work Items'!$A$6)+1),176)),"")</f>
        <v/>
      </c>
      <c r="F180">
        <f t="array" ref="F180">IFERROR(INDEX('Work Items'!$F$6:$F$5000,SMALL(IF('Work Items'!$A$6:$A$5000="CR",ROW('Work Items'!$A$6:$A$5000)-ROW('Work Items'!$A$6)+1),176)),"")</f>
        <v/>
      </c>
      <c r="G180">
        <f t="array" ref="G180">IFERROR(INDEX('Work Items'!$J$6:$J$5000,SMALL(IF('Work Items'!$A$6:$A$5000="CR",ROW('Work Items'!$A$6:$A$5000)-ROW('Work Items'!$A$6)+1),176)),"")</f>
        <v/>
      </c>
      <c r="H180">
        <f t="array" ref="H180">IFERROR(INDEX('Work Items'!$K$6:$K$5000,SMALL(IF('Work Items'!$A$6:$A$5000="CR",ROW('Work Items'!$A$6:$A$5000)-ROW('Work Items'!$A$6)+1),176)),"")</f>
        <v/>
      </c>
      <c r="I180">
        <f t="array" ref="I180">IFERROR(INDEX('Work Items'!$L$6:$L$5000,SMALL(IF('Work Items'!$A$6:$A$5000="CR",ROW('Work Items'!$A$6:$A$5000)-ROW('Work Items'!$A$6)+1),176)),"")</f>
        <v/>
      </c>
      <c r="J180" s="217">
        <f t="array" ref="J180">IFERROR(INDEX('Work Items'!$M$6:$M$5000,SMALL(IF('Work Items'!$A$6:$A$5000="CR",ROW('Work Items'!$A$6:$A$5000)-ROW('Work Items'!$A$6)+1),176)),"")</f>
        <v/>
      </c>
      <c r="K180" s="217">
        <f t="array" ref="K180">IFERROR(INDEX('Work Items'!$Q$6:$Q$5000,SMALL(IF('Work Items'!$A$6:$A$5000="CR",ROW('Work Items'!$A$6:$A$5000)-ROW('Work Items'!$A$6)+1),176)),"")</f>
        <v/>
      </c>
      <c r="L180">
        <f t="array" ref="L180">IFERROR(INDEX('Work Items'!$N$6:$N$5000,SMALL(IF('Work Items'!$A$6:$A$5000="CR",ROW('Work Items'!$A$6:$A$5000)-ROW('Work Items'!$A$6)+1),176)),"")</f>
        <v/>
      </c>
      <c r="M180">
        <f t="array" ref="M180">IFERROR(INDEX('Work Items'!$O$6:$O$5000,SMALL(IF('Work Items'!$A$6:$A$5000="CR",ROW('Work Items'!$A$6:$A$5000)-ROW('Work Items'!$A$6)+1),176)),"")</f>
        <v/>
      </c>
    </row>
    <row r="181">
      <c r="A181">
        <f t="array" ref="A181">IFERROR(INDEX('Work Items'!$A$6:$A$5000,SMALL(IF('Work Items'!$A$6:$A$5000="CR",ROW('Work Items'!$A$6:$A$5000)-ROW('Work Items'!$A$6)+1),177)),"")</f>
        <v/>
      </c>
      <c r="B181">
        <f t="array" ref="B181">IFERROR(INDEX('Work Items'!$B$6:$B$5000,SMALL(IF('Work Items'!$A$6:$A$5000="CR",ROW('Work Items'!$A$6:$A$5000)-ROW('Work Items'!$A$6)+1),177)),"")</f>
        <v/>
      </c>
      <c r="C181">
        <f t="array" ref="C181">IFERROR(INDEX('Work Items'!$C$6:$C$5000,SMALL(IF('Work Items'!$A$6:$A$5000="CR",ROW('Work Items'!$A$6:$A$5000)-ROW('Work Items'!$A$6)+1),177)),"")</f>
        <v/>
      </c>
      <c r="D181">
        <f t="array" ref="D181">IFERROR(INDEX('Work Items'!$D$6:$D$5000,SMALL(IF('Work Items'!$A$6:$A$5000="CR",ROW('Work Items'!$A$6:$A$5000)-ROW('Work Items'!$A$6)+1),177)),"")</f>
        <v/>
      </c>
      <c r="E181">
        <f t="array" ref="E181">IFERROR(INDEX('Work Items'!$E$6:$E$5000,SMALL(IF('Work Items'!$A$6:$A$5000="CR",ROW('Work Items'!$A$6:$A$5000)-ROW('Work Items'!$A$6)+1),177)),"")</f>
        <v/>
      </c>
      <c r="F181">
        <f t="array" ref="F181">IFERROR(INDEX('Work Items'!$F$6:$F$5000,SMALL(IF('Work Items'!$A$6:$A$5000="CR",ROW('Work Items'!$A$6:$A$5000)-ROW('Work Items'!$A$6)+1),177)),"")</f>
        <v/>
      </c>
      <c r="G181">
        <f t="array" ref="G181">IFERROR(INDEX('Work Items'!$J$6:$J$5000,SMALL(IF('Work Items'!$A$6:$A$5000="CR",ROW('Work Items'!$A$6:$A$5000)-ROW('Work Items'!$A$6)+1),177)),"")</f>
        <v/>
      </c>
      <c r="H181">
        <f t="array" ref="H181">IFERROR(INDEX('Work Items'!$K$6:$K$5000,SMALL(IF('Work Items'!$A$6:$A$5000="CR",ROW('Work Items'!$A$6:$A$5000)-ROW('Work Items'!$A$6)+1),177)),"")</f>
        <v/>
      </c>
      <c r="I181">
        <f t="array" ref="I181">IFERROR(INDEX('Work Items'!$L$6:$L$5000,SMALL(IF('Work Items'!$A$6:$A$5000="CR",ROW('Work Items'!$A$6:$A$5000)-ROW('Work Items'!$A$6)+1),177)),"")</f>
        <v/>
      </c>
      <c r="J181" s="217">
        <f t="array" ref="J181">IFERROR(INDEX('Work Items'!$M$6:$M$5000,SMALL(IF('Work Items'!$A$6:$A$5000="CR",ROW('Work Items'!$A$6:$A$5000)-ROW('Work Items'!$A$6)+1),177)),"")</f>
        <v/>
      </c>
      <c r="K181" s="217">
        <f t="array" ref="K181">IFERROR(INDEX('Work Items'!$Q$6:$Q$5000,SMALL(IF('Work Items'!$A$6:$A$5000="CR",ROW('Work Items'!$A$6:$A$5000)-ROW('Work Items'!$A$6)+1),177)),"")</f>
        <v/>
      </c>
      <c r="L181">
        <f t="array" ref="L181">IFERROR(INDEX('Work Items'!$N$6:$N$5000,SMALL(IF('Work Items'!$A$6:$A$5000="CR",ROW('Work Items'!$A$6:$A$5000)-ROW('Work Items'!$A$6)+1),177)),"")</f>
        <v/>
      </c>
      <c r="M181">
        <f t="array" ref="M181">IFERROR(INDEX('Work Items'!$O$6:$O$5000,SMALL(IF('Work Items'!$A$6:$A$5000="CR",ROW('Work Items'!$A$6:$A$5000)-ROW('Work Items'!$A$6)+1),177)),"")</f>
        <v/>
      </c>
    </row>
    <row r="182">
      <c r="A182">
        <f t="array" ref="A182">IFERROR(INDEX('Work Items'!$A$6:$A$5000,SMALL(IF('Work Items'!$A$6:$A$5000="CR",ROW('Work Items'!$A$6:$A$5000)-ROW('Work Items'!$A$6)+1),178)),"")</f>
        <v/>
      </c>
      <c r="B182">
        <f t="array" ref="B182">IFERROR(INDEX('Work Items'!$B$6:$B$5000,SMALL(IF('Work Items'!$A$6:$A$5000="CR",ROW('Work Items'!$A$6:$A$5000)-ROW('Work Items'!$A$6)+1),178)),"")</f>
        <v/>
      </c>
      <c r="C182">
        <f t="array" ref="C182">IFERROR(INDEX('Work Items'!$C$6:$C$5000,SMALL(IF('Work Items'!$A$6:$A$5000="CR",ROW('Work Items'!$A$6:$A$5000)-ROW('Work Items'!$A$6)+1),178)),"")</f>
        <v/>
      </c>
      <c r="D182">
        <f t="array" ref="D182">IFERROR(INDEX('Work Items'!$D$6:$D$5000,SMALL(IF('Work Items'!$A$6:$A$5000="CR",ROW('Work Items'!$A$6:$A$5000)-ROW('Work Items'!$A$6)+1),178)),"")</f>
        <v/>
      </c>
      <c r="E182">
        <f t="array" ref="E182">IFERROR(INDEX('Work Items'!$E$6:$E$5000,SMALL(IF('Work Items'!$A$6:$A$5000="CR",ROW('Work Items'!$A$6:$A$5000)-ROW('Work Items'!$A$6)+1),178)),"")</f>
        <v/>
      </c>
      <c r="F182">
        <f t="array" ref="F182">IFERROR(INDEX('Work Items'!$F$6:$F$5000,SMALL(IF('Work Items'!$A$6:$A$5000="CR",ROW('Work Items'!$A$6:$A$5000)-ROW('Work Items'!$A$6)+1),178)),"")</f>
        <v/>
      </c>
      <c r="G182">
        <f t="array" ref="G182">IFERROR(INDEX('Work Items'!$J$6:$J$5000,SMALL(IF('Work Items'!$A$6:$A$5000="CR",ROW('Work Items'!$A$6:$A$5000)-ROW('Work Items'!$A$6)+1),178)),"")</f>
        <v/>
      </c>
      <c r="H182">
        <f t="array" ref="H182">IFERROR(INDEX('Work Items'!$K$6:$K$5000,SMALL(IF('Work Items'!$A$6:$A$5000="CR",ROW('Work Items'!$A$6:$A$5000)-ROW('Work Items'!$A$6)+1),178)),"")</f>
        <v/>
      </c>
      <c r="I182">
        <f t="array" ref="I182">IFERROR(INDEX('Work Items'!$L$6:$L$5000,SMALL(IF('Work Items'!$A$6:$A$5000="CR",ROW('Work Items'!$A$6:$A$5000)-ROW('Work Items'!$A$6)+1),178)),"")</f>
        <v/>
      </c>
      <c r="J182" s="217">
        <f t="array" ref="J182">IFERROR(INDEX('Work Items'!$M$6:$M$5000,SMALL(IF('Work Items'!$A$6:$A$5000="CR",ROW('Work Items'!$A$6:$A$5000)-ROW('Work Items'!$A$6)+1),178)),"")</f>
        <v/>
      </c>
      <c r="K182" s="217">
        <f t="array" ref="K182">IFERROR(INDEX('Work Items'!$Q$6:$Q$5000,SMALL(IF('Work Items'!$A$6:$A$5000="CR",ROW('Work Items'!$A$6:$A$5000)-ROW('Work Items'!$A$6)+1),178)),"")</f>
        <v/>
      </c>
      <c r="L182">
        <f t="array" ref="L182">IFERROR(INDEX('Work Items'!$N$6:$N$5000,SMALL(IF('Work Items'!$A$6:$A$5000="CR",ROW('Work Items'!$A$6:$A$5000)-ROW('Work Items'!$A$6)+1),178)),"")</f>
        <v/>
      </c>
      <c r="M182">
        <f t="array" ref="M182">IFERROR(INDEX('Work Items'!$O$6:$O$5000,SMALL(IF('Work Items'!$A$6:$A$5000="CR",ROW('Work Items'!$A$6:$A$5000)-ROW('Work Items'!$A$6)+1),178)),"")</f>
        <v/>
      </c>
    </row>
    <row r="183">
      <c r="A183">
        <f t="array" ref="A183">IFERROR(INDEX('Work Items'!$A$6:$A$5000,SMALL(IF('Work Items'!$A$6:$A$5000="CR",ROW('Work Items'!$A$6:$A$5000)-ROW('Work Items'!$A$6)+1),179)),"")</f>
        <v/>
      </c>
      <c r="B183">
        <f t="array" ref="B183">IFERROR(INDEX('Work Items'!$B$6:$B$5000,SMALL(IF('Work Items'!$A$6:$A$5000="CR",ROW('Work Items'!$A$6:$A$5000)-ROW('Work Items'!$A$6)+1),179)),"")</f>
        <v/>
      </c>
      <c r="C183">
        <f t="array" ref="C183">IFERROR(INDEX('Work Items'!$C$6:$C$5000,SMALL(IF('Work Items'!$A$6:$A$5000="CR",ROW('Work Items'!$A$6:$A$5000)-ROW('Work Items'!$A$6)+1),179)),"")</f>
        <v/>
      </c>
      <c r="D183">
        <f t="array" ref="D183">IFERROR(INDEX('Work Items'!$D$6:$D$5000,SMALL(IF('Work Items'!$A$6:$A$5000="CR",ROW('Work Items'!$A$6:$A$5000)-ROW('Work Items'!$A$6)+1),179)),"")</f>
        <v/>
      </c>
      <c r="E183">
        <f t="array" ref="E183">IFERROR(INDEX('Work Items'!$E$6:$E$5000,SMALL(IF('Work Items'!$A$6:$A$5000="CR",ROW('Work Items'!$A$6:$A$5000)-ROW('Work Items'!$A$6)+1),179)),"")</f>
        <v/>
      </c>
      <c r="F183">
        <f t="array" ref="F183">IFERROR(INDEX('Work Items'!$F$6:$F$5000,SMALL(IF('Work Items'!$A$6:$A$5000="CR",ROW('Work Items'!$A$6:$A$5000)-ROW('Work Items'!$A$6)+1),179)),"")</f>
        <v/>
      </c>
      <c r="G183">
        <f t="array" ref="G183">IFERROR(INDEX('Work Items'!$J$6:$J$5000,SMALL(IF('Work Items'!$A$6:$A$5000="CR",ROW('Work Items'!$A$6:$A$5000)-ROW('Work Items'!$A$6)+1),179)),"")</f>
        <v/>
      </c>
      <c r="H183">
        <f t="array" ref="H183">IFERROR(INDEX('Work Items'!$K$6:$K$5000,SMALL(IF('Work Items'!$A$6:$A$5000="CR",ROW('Work Items'!$A$6:$A$5000)-ROW('Work Items'!$A$6)+1),179)),"")</f>
        <v/>
      </c>
      <c r="I183">
        <f t="array" ref="I183">IFERROR(INDEX('Work Items'!$L$6:$L$5000,SMALL(IF('Work Items'!$A$6:$A$5000="CR",ROW('Work Items'!$A$6:$A$5000)-ROW('Work Items'!$A$6)+1),179)),"")</f>
        <v/>
      </c>
      <c r="J183" s="217">
        <f t="array" ref="J183">IFERROR(INDEX('Work Items'!$M$6:$M$5000,SMALL(IF('Work Items'!$A$6:$A$5000="CR",ROW('Work Items'!$A$6:$A$5000)-ROW('Work Items'!$A$6)+1),179)),"")</f>
        <v/>
      </c>
      <c r="K183" s="217">
        <f t="array" ref="K183">IFERROR(INDEX('Work Items'!$Q$6:$Q$5000,SMALL(IF('Work Items'!$A$6:$A$5000="CR",ROW('Work Items'!$A$6:$A$5000)-ROW('Work Items'!$A$6)+1),179)),"")</f>
        <v/>
      </c>
      <c r="L183">
        <f t="array" ref="L183">IFERROR(INDEX('Work Items'!$N$6:$N$5000,SMALL(IF('Work Items'!$A$6:$A$5000="CR",ROW('Work Items'!$A$6:$A$5000)-ROW('Work Items'!$A$6)+1),179)),"")</f>
        <v/>
      </c>
      <c r="M183">
        <f t="array" ref="M183">IFERROR(INDEX('Work Items'!$O$6:$O$5000,SMALL(IF('Work Items'!$A$6:$A$5000="CR",ROW('Work Items'!$A$6:$A$5000)-ROW('Work Items'!$A$6)+1),179)),"")</f>
        <v/>
      </c>
    </row>
    <row r="184">
      <c r="A184">
        <f t="array" ref="A184">IFERROR(INDEX('Work Items'!$A$6:$A$5000,SMALL(IF('Work Items'!$A$6:$A$5000="CR",ROW('Work Items'!$A$6:$A$5000)-ROW('Work Items'!$A$6)+1),180)),"")</f>
        <v/>
      </c>
      <c r="B184">
        <f t="array" ref="B184">IFERROR(INDEX('Work Items'!$B$6:$B$5000,SMALL(IF('Work Items'!$A$6:$A$5000="CR",ROW('Work Items'!$A$6:$A$5000)-ROW('Work Items'!$A$6)+1),180)),"")</f>
        <v/>
      </c>
      <c r="C184">
        <f t="array" ref="C184">IFERROR(INDEX('Work Items'!$C$6:$C$5000,SMALL(IF('Work Items'!$A$6:$A$5000="CR",ROW('Work Items'!$A$6:$A$5000)-ROW('Work Items'!$A$6)+1),180)),"")</f>
        <v/>
      </c>
      <c r="D184">
        <f t="array" ref="D184">IFERROR(INDEX('Work Items'!$D$6:$D$5000,SMALL(IF('Work Items'!$A$6:$A$5000="CR",ROW('Work Items'!$A$6:$A$5000)-ROW('Work Items'!$A$6)+1),180)),"")</f>
        <v/>
      </c>
      <c r="E184">
        <f t="array" ref="E184">IFERROR(INDEX('Work Items'!$E$6:$E$5000,SMALL(IF('Work Items'!$A$6:$A$5000="CR",ROW('Work Items'!$A$6:$A$5000)-ROW('Work Items'!$A$6)+1),180)),"")</f>
        <v/>
      </c>
      <c r="F184">
        <f t="array" ref="F184">IFERROR(INDEX('Work Items'!$F$6:$F$5000,SMALL(IF('Work Items'!$A$6:$A$5000="CR",ROW('Work Items'!$A$6:$A$5000)-ROW('Work Items'!$A$6)+1),180)),"")</f>
        <v/>
      </c>
      <c r="G184">
        <f t="array" ref="G184">IFERROR(INDEX('Work Items'!$J$6:$J$5000,SMALL(IF('Work Items'!$A$6:$A$5000="CR",ROW('Work Items'!$A$6:$A$5000)-ROW('Work Items'!$A$6)+1),180)),"")</f>
        <v/>
      </c>
      <c r="H184">
        <f t="array" ref="H184">IFERROR(INDEX('Work Items'!$K$6:$K$5000,SMALL(IF('Work Items'!$A$6:$A$5000="CR",ROW('Work Items'!$A$6:$A$5000)-ROW('Work Items'!$A$6)+1),180)),"")</f>
        <v/>
      </c>
      <c r="I184">
        <f t="array" ref="I184">IFERROR(INDEX('Work Items'!$L$6:$L$5000,SMALL(IF('Work Items'!$A$6:$A$5000="CR",ROW('Work Items'!$A$6:$A$5000)-ROW('Work Items'!$A$6)+1),180)),"")</f>
        <v/>
      </c>
      <c r="J184" s="217">
        <f t="array" ref="J184">IFERROR(INDEX('Work Items'!$M$6:$M$5000,SMALL(IF('Work Items'!$A$6:$A$5000="CR",ROW('Work Items'!$A$6:$A$5000)-ROW('Work Items'!$A$6)+1),180)),"")</f>
        <v/>
      </c>
      <c r="K184" s="217">
        <f t="array" ref="K184">IFERROR(INDEX('Work Items'!$Q$6:$Q$5000,SMALL(IF('Work Items'!$A$6:$A$5000="CR",ROW('Work Items'!$A$6:$A$5000)-ROW('Work Items'!$A$6)+1),180)),"")</f>
        <v/>
      </c>
      <c r="L184">
        <f t="array" ref="L184">IFERROR(INDEX('Work Items'!$N$6:$N$5000,SMALL(IF('Work Items'!$A$6:$A$5000="CR",ROW('Work Items'!$A$6:$A$5000)-ROW('Work Items'!$A$6)+1),180)),"")</f>
        <v/>
      </c>
      <c r="M184">
        <f t="array" ref="M184">IFERROR(INDEX('Work Items'!$O$6:$O$5000,SMALL(IF('Work Items'!$A$6:$A$5000="CR",ROW('Work Items'!$A$6:$A$5000)-ROW('Work Items'!$A$6)+1),180)),"")</f>
        <v/>
      </c>
    </row>
    <row r="185">
      <c r="A185">
        <f t="array" ref="A185">IFERROR(INDEX('Work Items'!$A$6:$A$5000,SMALL(IF('Work Items'!$A$6:$A$5000="CR",ROW('Work Items'!$A$6:$A$5000)-ROW('Work Items'!$A$6)+1),181)),"")</f>
        <v/>
      </c>
      <c r="B185">
        <f t="array" ref="B185">IFERROR(INDEX('Work Items'!$B$6:$B$5000,SMALL(IF('Work Items'!$A$6:$A$5000="CR",ROW('Work Items'!$A$6:$A$5000)-ROW('Work Items'!$A$6)+1),181)),"")</f>
        <v/>
      </c>
      <c r="C185">
        <f t="array" ref="C185">IFERROR(INDEX('Work Items'!$C$6:$C$5000,SMALL(IF('Work Items'!$A$6:$A$5000="CR",ROW('Work Items'!$A$6:$A$5000)-ROW('Work Items'!$A$6)+1),181)),"")</f>
        <v/>
      </c>
      <c r="D185">
        <f t="array" ref="D185">IFERROR(INDEX('Work Items'!$D$6:$D$5000,SMALL(IF('Work Items'!$A$6:$A$5000="CR",ROW('Work Items'!$A$6:$A$5000)-ROW('Work Items'!$A$6)+1),181)),"")</f>
        <v/>
      </c>
      <c r="E185">
        <f t="array" ref="E185">IFERROR(INDEX('Work Items'!$E$6:$E$5000,SMALL(IF('Work Items'!$A$6:$A$5000="CR",ROW('Work Items'!$A$6:$A$5000)-ROW('Work Items'!$A$6)+1),181)),"")</f>
        <v/>
      </c>
      <c r="F185">
        <f t="array" ref="F185">IFERROR(INDEX('Work Items'!$F$6:$F$5000,SMALL(IF('Work Items'!$A$6:$A$5000="CR",ROW('Work Items'!$A$6:$A$5000)-ROW('Work Items'!$A$6)+1),181)),"")</f>
        <v/>
      </c>
      <c r="G185">
        <f t="array" ref="G185">IFERROR(INDEX('Work Items'!$J$6:$J$5000,SMALL(IF('Work Items'!$A$6:$A$5000="CR",ROW('Work Items'!$A$6:$A$5000)-ROW('Work Items'!$A$6)+1),181)),"")</f>
        <v/>
      </c>
      <c r="H185">
        <f t="array" ref="H185">IFERROR(INDEX('Work Items'!$K$6:$K$5000,SMALL(IF('Work Items'!$A$6:$A$5000="CR",ROW('Work Items'!$A$6:$A$5000)-ROW('Work Items'!$A$6)+1),181)),"")</f>
        <v/>
      </c>
      <c r="I185">
        <f t="array" ref="I185">IFERROR(INDEX('Work Items'!$L$6:$L$5000,SMALL(IF('Work Items'!$A$6:$A$5000="CR",ROW('Work Items'!$A$6:$A$5000)-ROW('Work Items'!$A$6)+1),181)),"")</f>
        <v/>
      </c>
      <c r="J185" s="217">
        <f t="array" ref="J185">IFERROR(INDEX('Work Items'!$M$6:$M$5000,SMALL(IF('Work Items'!$A$6:$A$5000="CR",ROW('Work Items'!$A$6:$A$5000)-ROW('Work Items'!$A$6)+1),181)),"")</f>
        <v/>
      </c>
      <c r="K185" s="217">
        <f t="array" ref="K185">IFERROR(INDEX('Work Items'!$Q$6:$Q$5000,SMALL(IF('Work Items'!$A$6:$A$5000="CR",ROW('Work Items'!$A$6:$A$5000)-ROW('Work Items'!$A$6)+1),181)),"")</f>
        <v/>
      </c>
      <c r="L185">
        <f t="array" ref="L185">IFERROR(INDEX('Work Items'!$N$6:$N$5000,SMALL(IF('Work Items'!$A$6:$A$5000="CR",ROW('Work Items'!$A$6:$A$5000)-ROW('Work Items'!$A$6)+1),181)),"")</f>
        <v/>
      </c>
      <c r="M185">
        <f t="array" ref="M185">IFERROR(INDEX('Work Items'!$O$6:$O$5000,SMALL(IF('Work Items'!$A$6:$A$5000="CR",ROW('Work Items'!$A$6:$A$5000)-ROW('Work Items'!$A$6)+1),181)),"")</f>
        <v/>
      </c>
    </row>
    <row r="186">
      <c r="A186">
        <f t="array" ref="A186">IFERROR(INDEX('Work Items'!$A$6:$A$5000,SMALL(IF('Work Items'!$A$6:$A$5000="CR",ROW('Work Items'!$A$6:$A$5000)-ROW('Work Items'!$A$6)+1),182)),"")</f>
        <v/>
      </c>
      <c r="B186">
        <f t="array" ref="B186">IFERROR(INDEX('Work Items'!$B$6:$B$5000,SMALL(IF('Work Items'!$A$6:$A$5000="CR",ROW('Work Items'!$A$6:$A$5000)-ROW('Work Items'!$A$6)+1),182)),"")</f>
        <v/>
      </c>
      <c r="C186">
        <f t="array" ref="C186">IFERROR(INDEX('Work Items'!$C$6:$C$5000,SMALL(IF('Work Items'!$A$6:$A$5000="CR",ROW('Work Items'!$A$6:$A$5000)-ROW('Work Items'!$A$6)+1),182)),"")</f>
        <v/>
      </c>
      <c r="D186">
        <f t="array" ref="D186">IFERROR(INDEX('Work Items'!$D$6:$D$5000,SMALL(IF('Work Items'!$A$6:$A$5000="CR",ROW('Work Items'!$A$6:$A$5000)-ROW('Work Items'!$A$6)+1),182)),"")</f>
        <v/>
      </c>
      <c r="E186">
        <f t="array" ref="E186">IFERROR(INDEX('Work Items'!$E$6:$E$5000,SMALL(IF('Work Items'!$A$6:$A$5000="CR",ROW('Work Items'!$A$6:$A$5000)-ROW('Work Items'!$A$6)+1),182)),"")</f>
        <v/>
      </c>
      <c r="F186">
        <f t="array" ref="F186">IFERROR(INDEX('Work Items'!$F$6:$F$5000,SMALL(IF('Work Items'!$A$6:$A$5000="CR",ROW('Work Items'!$A$6:$A$5000)-ROW('Work Items'!$A$6)+1),182)),"")</f>
        <v/>
      </c>
      <c r="G186">
        <f t="array" ref="G186">IFERROR(INDEX('Work Items'!$J$6:$J$5000,SMALL(IF('Work Items'!$A$6:$A$5000="CR",ROW('Work Items'!$A$6:$A$5000)-ROW('Work Items'!$A$6)+1),182)),"")</f>
        <v/>
      </c>
      <c r="H186">
        <f t="array" ref="H186">IFERROR(INDEX('Work Items'!$K$6:$K$5000,SMALL(IF('Work Items'!$A$6:$A$5000="CR",ROW('Work Items'!$A$6:$A$5000)-ROW('Work Items'!$A$6)+1),182)),"")</f>
        <v/>
      </c>
      <c r="I186">
        <f t="array" ref="I186">IFERROR(INDEX('Work Items'!$L$6:$L$5000,SMALL(IF('Work Items'!$A$6:$A$5000="CR",ROW('Work Items'!$A$6:$A$5000)-ROW('Work Items'!$A$6)+1),182)),"")</f>
        <v/>
      </c>
      <c r="J186" s="217">
        <f t="array" ref="J186">IFERROR(INDEX('Work Items'!$M$6:$M$5000,SMALL(IF('Work Items'!$A$6:$A$5000="CR",ROW('Work Items'!$A$6:$A$5000)-ROW('Work Items'!$A$6)+1),182)),"")</f>
        <v/>
      </c>
      <c r="K186" s="217">
        <f t="array" ref="K186">IFERROR(INDEX('Work Items'!$Q$6:$Q$5000,SMALL(IF('Work Items'!$A$6:$A$5000="CR",ROW('Work Items'!$A$6:$A$5000)-ROW('Work Items'!$A$6)+1),182)),"")</f>
        <v/>
      </c>
      <c r="L186">
        <f t="array" ref="L186">IFERROR(INDEX('Work Items'!$N$6:$N$5000,SMALL(IF('Work Items'!$A$6:$A$5000="CR",ROW('Work Items'!$A$6:$A$5000)-ROW('Work Items'!$A$6)+1),182)),"")</f>
        <v/>
      </c>
      <c r="M186">
        <f t="array" ref="M186">IFERROR(INDEX('Work Items'!$O$6:$O$5000,SMALL(IF('Work Items'!$A$6:$A$5000="CR",ROW('Work Items'!$A$6:$A$5000)-ROW('Work Items'!$A$6)+1),182)),"")</f>
        <v/>
      </c>
    </row>
    <row r="187">
      <c r="A187">
        <f t="array" ref="A187">IFERROR(INDEX('Work Items'!$A$6:$A$5000,SMALL(IF('Work Items'!$A$6:$A$5000="CR",ROW('Work Items'!$A$6:$A$5000)-ROW('Work Items'!$A$6)+1),183)),"")</f>
        <v/>
      </c>
      <c r="B187">
        <f t="array" ref="B187">IFERROR(INDEX('Work Items'!$B$6:$B$5000,SMALL(IF('Work Items'!$A$6:$A$5000="CR",ROW('Work Items'!$A$6:$A$5000)-ROW('Work Items'!$A$6)+1),183)),"")</f>
        <v/>
      </c>
      <c r="C187">
        <f t="array" ref="C187">IFERROR(INDEX('Work Items'!$C$6:$C$5000,SMALL(IF('Work Items'!$A$6:$A$5000="CR",ROW('Work Items'!$A$6:$A$5000)-ROW('Work Items'!$A$6)+1),183)),"")</f>
        <v/>
      </c>
      <c r="D187">
        <f t="array" ref="D187">IFERROR(INDEX('Work Items'!$D$6:$D$5000,SMALL(IF('Work Items'!$A$6:$A$5000="CR",ROW('Work Items'!$A$6:$A$5000)-ROW('Work Items'!$A$6)+1),183)),"")</f>
        <v/>
      </c>
      <c r="E187">
        <f t="array" ref="E187">IFERROR(INDEX('Work Items'!$E$6:$E$5000,SMALL(IF('Work Items'!$A$6:$A$5000="CR",ROW('Work Items'!$A$6:$A$5000)-ROW('Work Items'!$A$6)+1),183)),"")</f>
        <v/>
      </c>
      <c r="F187">
        <f t="array" ref="F187">IFERROR(INDEX('Work Items'!$F$6:$F$5000,SMALL(IF('Work Items'!$A$6:$A$5000="CR",ROW('Work Items'!$A$6:$A$5000)-ROW('Work Items'!$A$6)+1),183)),"")</f>
        <v/>
      </c>
      <c r="G187">
        <f t="array" ref="G187">IFERROR(INDEX('Work Items'!$J$6:$J$5000,SMALL(IF('Work Items'!$A$6:$A$5000="CR",ROW('Work Items'!$A$6:$A$5000)-ROW('Work Items'!$A$6)+1),183)),"")</f>
        <v/>
      </c>
      <c r="H187">
        <f t="array" ref="H187">IFERROR(INDEX('Work Items'!$K$6:$K$5000,SMALL(IF('Work Items'!$A$6:$A$5000="CR",ROW('Work Items'!$A$6:$A$5000)-ROW('Work Items'!$A$6)+1),183)),"")</f>
        <v/>
      </c>
      <c r="I187">
        <f t="array" ref="I187">IFERROR(INDEX('Work Items'!$L$6:$L$5000,SMALL(IF('Work Items'!$A$6:$A$5000="CR",ROW('Work Items'!$A$6:$A$5000)-ROW('Work Items'!$A$6)+1),183)),"")</f>
        <v/>
      </c>
      <c r="J187" s="217">
        <f t="array" ref="J187">IFERROR(INDEX('Work Items'!$M$6:$M$5000,SMALL(IF('Work Items'!$A$6:$A$5000="CR",ROW('Work Items'!$A$6:$A$5000)-ROW('Work Items'!$A$6)+1),183)),"")</f>
        <v/>
      </c>
      <c r="K187" s="217">
        <f t="array" ref="K187">IFERROR(INDEX('Work Items'!$Q$6:$Q$5000,SMALL(IF('Work Items'!$A$6:$A$5000="CR",ROW('Work Items'!$A$6:$A$5000)-ROW('Work Items'!$A$6)+1),183)),"")</f>
        <v/>
      </c>
      <c r="L187">
        <f t="array" ref="L187">IFERROR(INDEX('Work Items'!$N$6:$N$5000,SMALL(IF('Work Items'!$A$6:$A$5000="CR",ROW('Work Items'!$A$6:$A$5000)-ROW('Work Items'!$A$6)+1),183)),"")</f>
        <v/>
      </c>
      <c r="M187">
        <f t="array" ref="M187">IFERROR(INDEX('Work Items'!$O$6:$O$5000,SMALL(IF('Work Items'!$A$6:$A$5000="CR",ROW('Work Items'!$A$6:$A$5000)-ROW('Work Items'!$A$6)+1),183)),"")</f>
        <v/>
      </c>
    </row>
    <row r="188">
      <c r="A188">
        <f t="array" ref="A188">IFERROR(INDEX('Work Items'!$A$6:$A$5000,SMALL(IF('Work Items'!$A$6:$A$5000="CR",ROW('Work Items'!$A$6:$A$5000)-ROW('Work Items'!$A$6)+1),184)),"")</f>
        <v/>
      </c>
      <c r="B188">
        <f t="array" ref="B188">IFERROR(INDEX('Work Items'!$B$6:$B$5000,SMALL(IF('Work Items'!$A$6:$A$5000="CR",ROW('Work Items'!$A$6:$A$5000)-ROW('Work Items'!$A$6)+1),184)),"")</f>
        <v/>
      </c>
      <c r="C188">
        <f t="array" ref="C188">IFERROR(INDEX('Work Items'!$C$6:$C$5000,SMALL(IF('Work Items'!$A$6:$A$5000="CR",ROW('Work Items'!$A$6:$A$5000)-ROW('Work Items'!$A$6)+1),184)),"")</f>
        <v/>
      </c>
      <c r="D188">
        <f t="array" ref="D188">IFERROR(INDEX('Work Items'!$D$6:$D$5000,SMALL(IF('Work Items'!$A$6:$A$5000="CR",ROW('Work Items'!$A$6:$A$5000)-ROW('Work Items'!$A$6)+1),184)),"")</f>
        <v/>
      </c>
      <c r="E188">
        <f t="array" ref="E188">IFERROR(INDEX('Work Items'!$E$6:$E$5000,SMALL(IF('Work Items'!$A$6:$A$5000="CR",ROW('Work Items'!$A$6:$A$5000)-ROW('Work Items'!$A$6)+1),184)),"")</f>
        <v/>
      </c>
      <c r="F188">
        <f t="array" ref="F188">IFERROR(INDEX('Work Items'!$F$6:$F$5000,SMALL(IF('Work Items'!$A$6:$A$5000="CR",ROW('Work Items'!$A$6:$A$5000)-ROW('Work Items'!$A$6)+1),184)),"")</f>
        <v/>
      </c>
      <c r="G188">
        <f t="array" ref="G188">IFERROR(INDEX('Work Items'!$J$6:$J$5000,SMALL(IF('Work Items'!$A$6:$A$5000="CR",ROW('Work Items'!$A$6:$A$5000)-ROW('Work Items'!$A$6)+1),184)),"")</f>
        <v/>
      </c>
      <c r="H188">
        <f t="array" ref="H188">IFERROR(INDEX('Work Items'!$K$6:$K$5000,SMALL(IF('Work Items'!$A$6:$A$5000="CR",ROW('Work Items'!$A$6:$A$5000)-ROW('Work Items'!$A$6)+1),184)),"")</f>
        <v/>
      </c>
      <c r="I188">
        <f t="array" ref="I188">IFERROR(INDEX('Work Items'!$L$6:$L$5000,SMALL(IF('Work Items'!$A$6:$A$5000="CR",ROW('Work Items'!$A$6:$A$5000)-ROW('Work Items'!$A$6)+1),184)),"")</f>
        <v/>
      </c>
      <c r="J188" s="217">
        <f t="array" ref="J188">IFERROR(INDEX('Work Items'!$M$6:$M$5000,SMALL(IF('Work Items'!$A$6:$A$5000="CR",ROW('Work Items'!$A$6:$A$5000)-ROW('Work Items'!$A$6)+1),184)),"")</f>
        <v/>
      </c>
      <c r="K188" s="217">
        <f t="array" ref="K188">IFERROR(INDEX('Work Items'!$Q$6:$Q$5000,SMALL(IF('Work Items'!$A$6:$A$5000="CR",ROW('Work Items'!$A$6:$A$5000)-ROW('Work Items'!$A$6)+1),184)),"")</f>
        <v/>
      </c>
      <c r="L188">
        <f t="array" ref="L188">IFERROR(INDEX('Work Items'!$N$6:$N$5000,SMALL(IF('Work Items'!$A$6:$A$5000="CR",ROW('Work Items'!$A$6:$A$5000)-ROW('Work Items'!$A$6)+1),184)),"")</f>
        <v/>
      </c>
      <c r="M188">
        <f t="array" ref="M188">IFERROR(INDEX('Work Items'!$O$6:$O$5000,SMALL(IF('Work Items'!$A$6:$A$5000="CR",ROW('Work Items'!$A$6:$A$5000)-ROW('Work Items'!$A$6)+1),184)),"")</f>
        <v/>
      </c>
    </row>
    <row r="189">
      <c r="A189">
        <f t="array" ref="A189">IFERROR(INDEX('Work Items'!$A$6:$A$5000,SMALL(IF('Work Items'!$A$6:$A$5000="CR",ROW('Work Items'!$A$6:$A$5000)-ROW('Work Items'!$A$6)+1),185)),"")</f>
        <v/>
      </c>
      <c r="B189">
        <f t="array" ref="B189">IFERROR(INDEX('Work Items'!$B$6:$B$5000,SMALL(IF('Work Items'!$A$6:$A$5000="CR",ROW('Work Items'!$A$6:$A$5000)-ROW('Work Items'!$A$6)+1),185)),"")</f>
        <v/>
      </c>
      <c r="C189">
        <f t="array" ref="C189">IFERROR(INDEX('Work Items'!$C$6:$C$5000,SMALL(IF('Work Items'!$A$6:$A$5000="CR",ROW('Work Items'!$A$6:$A$5000)-ROW('Work Items'!$A$6)+1),185)),"")</f>
        <v/>
      </c>
      <c r="D189">
        <f t="array" ref="D189">IFERROR(INDEX('Work Items'!$D$6:$D$5000,SMALL(IF('Work Items'!$A$6:$A$5000="CR",ROW('Work Items'!$A$6:$A$5000)-ROW('Work Items'!$A$6)+1),185)),"")</f>
        <v/>
      </c>
      <c r="E189">
        <f t="array" ref="E189">IFERROR(INDEX('Work Items'!$E$6:$E$5000,SMALL(IF('Work Items'!$A$6:$A$5000="CR",ROW('Work Items'!$A$6:$A$5000)-ROW('Work Items'!$A$6)+1),185)),"")</f>
        <v/>
      </c>
      <c r="F189">
        <f t="array" ref="F189">IFERROR(INDEX('Work Items'!$F$6:$F$5000,SMALL(IF('Work Items'!$A$6:$A$5000="CR",ROW('Work Items'!$A$6:$A$5000)-ROW('Work Items'!$A$6)+1),185)),"")</f>
        <v/>
      </c>
      <c r="G189">
        <f t="array" ref="G189">IFERROR(INDEX('Work Items'!$J$6:$J$5000,SMALL(IF('Work Items'!$A$6:$A$5000="CR",ROW('Work Items'!$A$6:$A$5000)-ROW('Work Items'!$A$6)+1),185)),"")</f>
        <v/>
      </c>
      <c r="H189">
        <f t="array" ref="H189">IFERROR(INDEX('Work Items'!$K$6:$K$5000,SMALL(IF('Work Items'!$A$6:$A$5000="CR",ROW('Work Items'!$A$6:$A$5000)-ROW('Work Items'!$A$6)+1),185)),"")</f>
        <v/>
      </c>
      <c r="I189">
        <f t="array" ref="I189">IFERROR(INDEX('Work Items'!$L$6:$L$5000,SMALL(IF('Work Items'!$A$6:$A$5000="CR",ROW('Work Items'!$A$6:$A$5000)-ROW('Work Items'!$A$6)+1),185)),"")</f>
        <v/>
      </c>
      <c r="J189" s="217">
        <f t="array" ref="J189">IFERROR(INDEX('Work Items'!$M$6:$M$5000,SMALL(IF('Work Items'!$A$6:$A$5000="CR",ROW('Work Items'!$A$6:$A$5000)-ROW('Work Items'!$A$6)+1),185)),"")</f>
        <v/>
      </c>
      <c r="K189" s="217">
        <f t="array" ref="K189">IFERROR(INDEX('Work Items'!$Q$6:$Q$5000,SMALL(IF('Work Items'!$A$6:$A$5000="CR",ROW('Work Items'!$A$6:$A$5000)-ROW('Work Items'!$A$6)+1),185)),"")</f>
        <v/>
      </c>
      <c r="L189">
        <f t="array" ref="L189">IFERROR(INDEX('Work Items'!$N$6:$N$5000,SMALL(IF('Work Items'!$A$6:$A$5000="CR",ROW('Work Items'!$A$6:$A$5000)-ROW('Work Items'!$A$6)+1),185)),"")</f>
        <v/>
      </c>
      <c r="M189">
        <f t="array" ref="M189">IFERROR(INDEX('Work Items'!$O$6:$O$5000,SMALL(IF('Work Items'!$A$6:$A$5000="CR",ROW('Work Items'!$A$6:$A$5000)-ROW('Work Items'!$A$6)+1),185)),"")</f>
        <v/>
      </c>
    </row>
    <row r="190">
      <c r="A190">
        <f t="array" ref="A190">IFERROR(INDEX('Work Items'!$A$6:$A$5000,SMALL(IF('Work Items'!$A$6:$A$5000="CR",ROW('Work Items'!$A$6:$A$5000)-ROW('Work Items'!$A$6)+1),186)),"")</f>
        <v/>
      </c>
      <c r="B190">
        <f t="array" ref="B190">IFERROR(INDEX('Work Items'!$B$6:$B$5000,SMALL(IF('Work Items'!$A$6:$A$5000="CR",ROW('Work Items'!$A$6:$A$5000)-ROW('Work Items'!$A$6)+1),186)),"")</f>
        <v/>
      </c>
      <c r="C190">
        <f t="array" ref="C190">IFERROR(INDEX('Work Items'!$C$6:$C$5000,SMALL(IF('Work Items'!$A$6:$A$5000="CR",ROW('Work Items'!$A$6:$A$5000)-ROW('Work Items'!$A$6)+1),186)),"")</f>
        <v/>
      </c>
      <c r="D190">
        <f t="array" ref="D190">IFERROR(INDEX('Work Items'!$D$6:$D$5000,SMALL(IF('Work Items'!$A$6:$A$5000="CR",ROW('Work Items'!$A$6:$A$5000)-ROW('Work Items'!$A$6)+1),186)),"")</f>
        <v/>
      </c>
      <c r="E190">
        <f t="array" ref="E190">IFERROR(INDEX('Work Items'!$E$6:$E$5000,SMALL(IF('Work Items'!$A$6:$A$5000="CR",ROW('Work Items'!$A$6:$A$5000)-ROW('Work Items'!$A$6)+1),186)),"")</f>
        <v/>
      </c>
      <c r="F190">
        <f t="array" ref="F190">IFERROR(INDEX('Work Items'!$F$6:$F$5000,SMALL(IF('Work Items'!$A$6:$A$5000="CR",ROW('Work Items'!$A$6:$A$5000)-ROW('Work Items'!$A$6)+1),186)),"")</f>
        <v/>
      </c>
      <c r="G190">
        <f t="array" ref="G190">IFERROR(INDEX('Work Items'!$J$6:$J$5000,SMALL(IF('Work Items'!$A$6:$A$5000="CR",ROW('Work Items'!$A$6:$A$5000)-ROW('Work Items'!$A$6)+1),186)),"")</f>
        <v/>
      </c>
      <c r="H190">
        <f t="array" ref="H190">IFERROR(INDEX('Work Items'!$K$6:$K$5000,SMALL(IF('Work Items'!$A$6:$A$5000="CR",ROW('Work Items'!$A$6:$A$5000)-ROW('Work Items'!$A$6)+1),186)),"")</f>
        <v/>
      </c>
      <c r="I190">
        <f t="array" ref="I190">IFERROR(INDEX('Work Items'!$L$6:$L$5000,SMALL(IF('Work Items'!$A$6:$A$5000="CR",ROW('Work Items'!$A$6:$A$5000)-ROW('Work Items'!$A$6)+1),186)),"")</f>
        <v/>
      </c>
      <c r="J190" s="217">
        <f t="array" ref="J190">IFERROR(INDEX('Work Items'!$M$6:$M$5000,SMALL(IF('Work Items'!$A$6:$A$5000="CR",ROW('Work Items'!$A$6:$A$5000)-ROW('Work Items'!$A$6)+1),186)),"")</f>
        <v/>
      </c>
      <c r="K190" s="217">
        <f t="array" ref="K190">IFERROR(INDEX('Work Items'!$Q$6:$Q$5000,SMALL(IF('Work Items'!$A$6:$A$5000="CR",ROW('Work Items'!$A$6:$A$5000)-ROW('Work Items'!$A$6)+1),186)),"")</f>
        <v/>
      </c>
      <c r="L190">
        <f t="array" ref="L190">IFERROR(INDEX('Work Items'!$N$6:$N$5000,SMALL(IF('Work Items'!$A$6:$A$5000="CR",ROW('Work Items'!$A$6:$A$5000)-ROW('Work Items'!$A$6)+1),186)),"")</f>
        <v/>
      </c>
      <c r="M190">
        <f t="array" ref="M190">IFERROR(INDEX('Work Items'!$O$6:$O$5000,SMALL(IF('Work Items'!$A$6:$A$5000="CR",ROW('Work Items'!$A$6:$A$5000)-ROW('Work Items'!$A$6)+1),186)),"")</f>
        <v/>
      </c>
    </row>
    <row r="191">
      <c r="A191">
        <f t="array" ref="A191">IFERROR(INDEX('Work Items'!$A$6:$A$5000,SMALL(IF('Work Items'!$A$6:$A$5000="CR",ROW('Work Items'!$A$6:$A$5000)-ROW('Work Items'!$A$6)+1),187)),"")</f>
        <v/>
      </c>
      <c r="B191">
        <f t="array" ref="B191">IFERROR(INDEX('Work Items'!$B$6:$B$5000,SMALL(IF('Work Items'!$A$6:$A$5000="CR",ROW('Work Items'!$A$6:$A$5000)-ROW('Work Items'!$A$6)+1),187)),"")</f>
        <v/>
      </c>
      <c r="C191">
        <f t="array" ref="C191">IFERROR(INDEX('Work Items'!$C$6:$C$5000,SMALL(IF('Work Items'!$A$6:$A$5000="CR",ROW('Work Items'!$A$6:$A$5000)-ROW('Work Items'!$A$6)+1),187)),"")</f>
        <v/>
      </c>
      <c r="D191">
        <f t="array" ref="D191">IFERROR(INDEX('Work Items'!$D$6:$D$5000,SMALL(IF('Work Items'!$A$6:$A$5000="CR",ROW('Work Items'!$A$6:$A$5000)-ROW('Work Items'!$A$6)+1),187)),"")</f>
        <v/>
      </c>
      <c r="E191">
        <f t="array" ref="E191">IFERROR(INDEX('Work Items'!$E$6:$E$5000,SMALL(IF('Work Items'!$A$6:$A$5000="CR",ROW('Work Items'!$A$6:$A$5000)-ROW('Work Items'!$A$6)+1),187)),"")</f>
        <v/>
      </c>
      <c r="F191">
        <f t="array" ref="F191">IFERROR(INDEX('Work Items'!$F$6:$F$5000,SMALL(IF('Work Items'!$A$6:$A$5000="CR",ROW('Work Items'!$A$6:$A$5000)-ROW('Work Items'!$A$6)+1),187)),"")</f>
        <v/>
      </c>
      <c r="G191">
        <f t="array" ref="G191">IFERROR(INDEX('Work Items'!$J$6:$J$5000,SMALL(IF('Work Items'!$A$6:$A$5000="CR",ROW('Work Items'!$A$6:$A$5000)-ROW('Work Items'!$A$6)+1),187)),"")</f>
        <v/>
      </c>
      <c r="H191">
        <f t="array" ref="H191">IFERROR(INDEX('Work Items'!$K$6:$K$5000,SMALL(IF('Work Items'!$A$6:$A$5000="CR",ROW('Work Items'!$A$6:$A$5000)-ROW('Work Items'!$A$6)+1),187)),"")</f>
        <v/>
      </c>
      <c r="I191">
        <f t="array" ref="I191">IFERROR(INDEX('Work Items'!$L$6:$L$5000,SMALL(IF('Work Items'!$A$6:$A$5000="CR",ROW('Work Items'!$A$6:$A$5000)-ROW('Work Items'!$A$6)+1),187)),"")</f>
        <v/>
      </c>
      <c r="J191" s="217">
        <f t="array" ref="J191">IFERROR(INDEX('Work Items'!$M$6:$M$5000,SMALL(IF('Work Items'!$A$6:$A$5000="CR",ROW('Work Items'!$A$6:$A$5000)-ROW('Work Items'!$A$6)+1),187)),"")</f>
        <v/>
      </c>
      <c r="K191" s="217">
        <f t="array" ref="K191">IFERROR(INDEX('Work Items'!$Q$6:$Q$5000,SMALL(IF('Work Items'!$A$6:$A$5000="CR",ROW('Work Items'!$A$6:$A$5000)-ROW('Work Items'!$A$6)+1),187)),"")</f>
        <v/>
      </c>
      <c r="L191">
        <f t="array" ref="L191">IFERROR(INDEX('Work Items'!$N$6:$N$5000,SMALL(IF('Work Items'!$A$6:$A$5000="CR",ROW('Work Items'!$A$6:$A$5000)-ROW('Work Items'!$A$6)+1),187)),"")</f>
        <v/>
      </c>
      <c r="M191">
        <f t="array" ref="M191">IFERROR(INDEX('Work Items'!$O$6:$O$5000,SMALL(IF('Work Items'!$A$6:$A$5000="CR",ROW('Work Items'!$A$6:$A$5000)-ROW('Work Items'!$A$6)+1),187)),"")</f>
        <v/>
      </c>
    </row>
    <row r="192">
      <c r="A192">
        <f t="array" ref="A192">IFERROR(INDEX('Work Items'!$A$6:$A$5000,SMALL(IF('Work Items'!$A$6:$A$5000="CR",ROW('Work Items'!$A$6:$A$5000)-ROW('Work Items'!$A$6)+1),188)),"")</f>
        <v/>
      </c>
      <c r="B192">
        <f t="array" ref="B192">IFERROR(INDEX('Work Items'!$B$6:$B$5000,SMALL(IF('Work Items'!$A$6:$A$5000="CR",ROW('Work Items'!$A$6:$A$5000)-ROW('Work Items'!$A$6)+1),188)),"")</f>
        <v/>
      </c>
      <c r="C192">
        <f t="array" ref="C192">IFERROR(INDEX('Work Items'!$C$6:$C$5000,SMALL(IF('Work Items'!$A$6:$A$5000="CR",ROW('Work Items'!$A$6:$A$5000)-ROW('Work Items'!$A$6)+1),188)),"")</f>
        <v/>
      </c>
      <c r="D192">
        <f t="array" ref="D192">IFERROR(INDEX('Work Items'!$D$6:$D$5000,SMALL(IF('Work Items'!$A$6:$A$5000="CR",ROW('Work Items'!$A$6:$A$5000)-ROW('Work Items'!$A$6)+1),188)),"")</f>
        <v/>
      </c>
      <c r="E192">
        <f t="array" ref="E192">IFERROR(INDEX('Work Items'!$E$6:$E$5000,SMALL(IF('Work Items'!$A$6:$A$5000="CR",ROW('Work Items'!$A$6:$A$5000)-ROW('Work Items'!$A$6)+1),188)),"")</f>
        <v/>
      </c>
      <c r="F192">
        <f t="array" ref="F192">IFERROR(INDEX('Work Items'!$F$6:$F$5000,SMALL(IF('Work Items'!$A$6:$A$5000="CR",ROW('Work Items'!$A$6:$A$5000)-ROW('Work Items'!$A$6)+1),188)),"")</f>
        <v/>
      </c>
      <c r="G192">
        <f t="array" ref="G192">IFERROR(INDEX('Work Items'!$J$6:$J$5000,SMALL(IF('Work Items'!$A$6:$A$5000="CR",ROW('Work Items'!$A$6:$A$5000)-ROW('Work Items'!$A$6)+1),188)),"")</f>
        <v/>
      </c>
      <c r="H192">
        <f t="array" ref="H192">IFERROR(INDEX('Work Items'!$K$6:$K$5000,SMALL(IF('Work Items'!$A$6:$A$5000="CR",ROW('Work Items'!$A$6:$A$5000)-ROW('Work Items'!$A$6)+1),188)),"")</f>
        <v/>
      </c>
      <c r="I192">
        <f t="array" ref="I192">IFERROR(INDEX('Work Items'!$L$6:$L$5000,SMALL(IF('Work Items'!$A$6:$A$5000="CR",ROW('Work Items'!$A$6:$A$5000)-ROW('Work Items'!$A$6)+1),188)),"")</f>
        <v/>
      </c>
      <c r="J192" s="217">
        <f t="array" ref="J192">IFERROR(INDEX('Work Items'!$M$6:$M$5000,SMALL(IF('Work Items'!$A$6:$A$5000="CR",ROW('Work Items'!$A$6:$A$5000)-ROW('Work Items'!$A$6)+1),188)),"")</f>
        <v/>
      </c>
      <c r="K192" s="217">
        <f t="array" ref="K192">IFERROR(INDEX('Work Items'!$Q$6:$Q$5000,SMALL(IF('Work Items'!$A$6:$A$5000="CR",ROW('Work Items'!$A$6:$A$5000)-ROW('Work Items'!$A$6)+1),188)),"")</f>
        <v/>
      </c>
      <c r="L192">
        <f t="array" ref="L192">IFERROR(INDEX('Work Items'!$N$6:$N$5000,SMALL(IF('Work Items'!$A$6:$A$5000="CR",ROW('Work Items'!$A$6:$A$5000)-ROW('Work Items'!$A$6)+1),188)),"")</f>
        <v/>
      </c>
      <c r="M192">
        <f t="array" ref="M192">IFERROR(INDEX('Work Items'!$O$6:$O$5000,SMALL(IF('Work Items'!$A$6:$A$5000="CR",ROW('Work Items'!$A$6:$A$5000)-ROW('Work Items'!$A$6)+1),188)),"")</f>
        <v/>
      </c>
    </row>
    <row r="193">
      <c r="A193">
        <f t="array" ref="A193">IFERROR(INDEX('Work Items'!$A$6:$A$5000,SMALL(IF('Work Items'!$A$6:$A$5000="CR",ROW('Work Items'!$A$6:$A$5000)-ROW('Work Items'!$A$6)+1),189)),"")</f>
        <v/>
      </c>
      <c r="B193">
        <f t="array" ref="B193">IFERROR(INDEX('Work Items'!$B$6:$B$5000,SMALL(IF('Work Items'!$A$6:$A$5000="CR",ROW('Work Items'!$A$6:$A$5000)-ROW('Work Items'!$A$6)+1),189)),"")</f>
        <v/>
      </c>
      <c r="C193">
        <f t="array" ref="C193">IFERROR(INDEX('Work Items'!$C$6:$C$5000,SMALL(IF('Work Items'!$A$6:$A$5000="CR",ROW('Work Items'!$A$6:$A$5000)-ROW('Work Items'!$A$6)+1),189)),"")</f>
        <v/>
      </c>
      <c r="D193">
        <f t="array" ref="D193">IFERROR(INDEX('Work Items'!$D$6:$D$5000,SMALL(IF('Work Items'!$A$6:$A$5000="CR",ROW('Work Items'!$A$6:$A$5000)-ROW('Work Items'!$A$6)+1),189)),"")</f>
        <v/>
      </c>
      <c r="E193">
        <f t="array" ref="E193">IFERROR(INDEX('Work Items'!$E$6:$E$5000,SMALL(IF('Work Items'!$A$6:$A$5000="CR",ROW('Work Items'!$A$6:$A$5000)-ROW('Work Items'!$A$6)+1),189)),"")</f>
        <v/>
      </c>
      <c r="F193">
        <f t="array" ref="F193">IFERROR(INDEX('Work Items'!$F$6:$F$5000,SMALL(IF('Work Items'!$A$6:$A$5000="CR",ROW('Work Items'!$A$6:$A$5000)-ROW('Work Items'!$A$6)+1),189)),"")</f>
        <v/>
      </c>
      <c r="G193">
        <f t="array" ref="G193">IFERROR(INDEX('Work Items'!$J$6:$J$5000,SMALL(IF('Work Items'!$A$6:$A$5000="CR",ROW('Work Items'!$A$6:$A$5000)-ROW('Work Items'!$A$6)+1),189)),"")</f>
        <v/>
      </c>
      <c r="H193">
        <f t="array" ref="H193">IFERROR(INDEX('Work Items'!$K$6:$K$5000,SMALL(IF('Work Items'!$A$6:$A$5000="CR",ROW('Work Items'!$A$6:$A$5000)-ROW('Work Items'!$A$6)+1),189)),"")</f>
        <v/>
      </c>
      <c r="I193">
        <f t="array" ref="I193">IFERROR(INDEX('Work Items'!$L$6:$L$5000,SMALL(IF('Work Items'!$A$6:$A$5000="CR",ROW('Work Items'!$A$6:$A$5000)-ROW('Work Items'!$A$6)+1),189)),"")</f>
        <v/>
      </c>
      <c r="J193" s="217">
        <f t="array" ref="J193">IFERROR(INDEX('Work Items'!$M$6:$M$5000,SMALL(IF('Work Items'!$A$6:$A$5000="CR",ROW('Work Items'!$A$6:$A$5000)-ROW('Work Items'!$A$6)+1),189)),"")</f>
        <v/>
      </c>
      <c r="K193" s="217">
        <f t="array" ref="K193">IFERROR(INDEX('Work Items'!$Q$6:$Q$5000,SMALL(IF('Work Items'!$A$6:$A$5000="CR",ROW('Work Items'!$A$6:$A$5000)-ROW('Work Items'!$A$6)+1),189)),"")</f>
        <v/>
      </c>
      <c r="L193">
        <f t="array" ref="L193">IFERROR(INDEX('Work Items'!$N$6:$N$5000,SMALL(IF('Work Items'!$A$6:$A$5000="CR",ROW('Work Items'!$A$6:$A$5000)-ROW('Work Items'!$A$6)+1),189)),"")</f>
        <v/>
      </c>
      <c r="M193">
        <f t="array" ref="M193">IFERROR(INDEX('Work Items'!$O$6:$O$5000,SMALL(IF('Work Items'!$A$6:$A$5000="CR",ROW('Work Items'!$A$6:$A$5000)-ROW('Work Items'!$A$6)+1),189)),"")</f>
        <v/>
      </c>
    </row>
    <row r="194">
      <c r="A194">
        <f t="array" ref="A194">IFERROR(INDEX('Work Items'!$A$6:$A$5000,SMALL(IF('Work Items'!$A$6:$A$5000="CR",ROW('Work Items'!$A$6:$A$5000)-ROW('Work Items'!$A$6)+1),190)),"")</f>
        <v/>
      </c>
      <c r="B194">
        <f t="array" ref="B194">IFERROR(INDEX('Work Items'!$B$6:$B$5000,SMALL(IF('Work Items'!$A$6:$A$5000="CR",ROW('Work Items'!$A$6:$A$5000)-ROW('Work Items'!$A$6)+1),190)),"")</f>
        <v/>
      </c>
      <c r="C194">
        <f t="array" ref="C194">IFERROR(INDEX('Work Items'!$C$6:$C$5000,SMALL(IF('Work Items'!$A$6:$A$5000="CR",ROW('Work Items'!$A$6:$A$5000)-ROW('Work Items'!$A$6)+1),190)),"")</f>
        <v/>
      </c>
      <c r="D194">
        <f t="array" ref="D194">IFERROR(INDEX('Work Items'!$D$6:$D$5000,SMALL(IF('Work Items'!$A$6:$A$5000="CR",ROW('Work Items'!$A$6:$A$5000)-ROW('Work Items'!$A$6)+1),190)),"")</f>
        <v/>
      </c>
      <c r="E194">
        <f t="array" ref="E194">IFERROR(INDEX('Work Items'!$E$6:$E$5000,SMALL(IF('Work Items'!$A$6:$A$5000="CR",ROW('Work Items'!$A$6:$A$5000)-ROW('Work Items'!$A$6)+1),190)),"")</f>
        <v/>
      </c>
      <c r="F194">
        <f t="array" ref="F194">IFERROR(INDEX('Work Items'!$F$6:$F$5000,SMALL(IF('Work Items'!$A$6:$A$5000="CR",ROW('Work Items'!$A$6:$A$5000)-ROW('Work Items'!$A$6)+1),190)),"")</f>
        <v/>
      </c>
      <c r="G194">
        <f t="array" ref="G194">IFERROR(INDEX('Work Items'!$J$6:$J$5000,SMALL(IF('Work Items'!$A$6:$A$5000="CR",ROW('Work Items'!$A$6:$A$5000)-ROW('Work Items'!$A$6)+1),190)),"")</f>
        <v/>
      </c>
      <c r="H194">
        <f t="array" ref="H194">IFERROR(INDEX('Work Items'!$K$6:$K$5000,SMALL(IF('Work Items'!$A$6:$A$5000="CR",ROW('Work Items'!$A$6:$A$5000)-ROW('Work Items'!$A$6)+1),190)),"")</f>
        <v/>
      </c>
      <c r="I194">
        <f t="array" ref="I194">IFERROR(INDEX('Work Items'!$L$6:$L$5000,SMALL(IF('Work Items'!$A$6:$A$5000="CR",ROW('Work Items'!$A$6:$A$5000)-ROW('Work Items'!$A$6)+1),190)),"")</f>
        <v/>
      </c>
      <c r="J194" s="217">
        <f t="array" ref="J194">IFERROR(INDEX('Work Items'!$M$6:$M$5000,SMALL(IF('Work Items'!$A$6:$A$5000="CR",ROW('Work Items'!$A$6:$A$5000)-ROW('Work Items'!$A$6)+1),190)),"")</f>
        <v/>
      </c>
      <c r="K194" s="217">
        <f t="array" ref="K194">IFERROR(INDEX('Work Items'!$Q$6:$Q$5000,SMALL(IF('Work Items'!$A$6:$A$5000="CR",ROW('Work Items'!$A$6:$A$5000)-ROW('Work Items'!$A$6)+1),190)),"")</f>
        <v/>
      </c>
      <c r="L194">
        <f t="array" ref="L194">IFERROR(INDEX('Work Items'!$N$6:$N$5000,SMALL(IF('Work Items'!$A$6:$A$5000="CR",ROW('Work Items'!$A$6:$A$5000)-ROW('Work Items'!$A$6)+1),190)),"")</f>
        <v/>
      </c>
      <c r="M194">
        <f t="array" ref="M194">IFERROR(INDEX('Work Items'!$O$6:$O$5000,SMALL(IF('Work Items'!$A$6:$A$5000="CR",ROW('Work Items'!$A$6:$A$5000)-ROW('Work Items'!$A$6)+1),190)),"")</f>
        <v/>
      </c>
    </row>
    <row r="195">
      <c r="A195">
        <f t="array" ref="A195">IFERROR(INDEX('Work Items'!$A$6:$A$5000,SMALL(IF('Work Items'!$A$6:$A$5000="CR",ROW('Work Items'!$A$6:$A$5000)-ROW('Work Items'!$A$6)+1),191)),"")</f>
        <v/>
      </c>
      <c r="B195">
        <f t="array" ref="B195">IFERROR(INDEX('Work Items'!$B$6:$B$5000,SMALL(IF('Work Items'!$A$6:$A$5000="CR",ROW('Work Items'!$A$6:$A$5000)-ROW('Work Items'!$A$6)+1),191)),"")</f>
        <v/>
      </c>
      <c r="C195">
        <f t="array" ref="C195">IFERROR(INDEX('Work Items'!$C$6:$C$5000,SMALL(IF('Work Items'!$A$6:$A$5000="CR",ROW('Work Items'!$A$6:$A$5000)-ROW('Work Items'!$A$6)+1),191)),"")</f>
        <v/>
      </c>
      <c r="D195">
        <f t="array" ref="D195">IFERROR(INDEX('Work Items'!$D$6:$D$5000,SMALL(IF('Work Items'!$A$6:$A$5000="CR",ROW('Work Items'!$A$6:$A$5000)-ROW('Work Items'!$A$6)+1),191)),"")</f>
        <v/>
      </c>
      <c r="E195">
        <f t="array" ref="E195">IFERROR(INDEX('Work Items'!$E$6:$E$5000,SMALL(IF('Work Items'!$A$6:$A$5000="CR",ROW('Work Items'!$A$6:$A$5000)-ROW('Work Items'!$A$6)+1),191)),"")</f>
        <v/>
      </c>
      <c r="F195">
        <f t="array" ref="F195">IFERROR(INDEX('Work Items'!$F$6:$F$5000,SMALL(IF('Work Items'!$A$6:$A$5000="CR",ROW('Work Items'!$A$6:$A$5000)-ROW('Work Items'!$A$6)+1),191)),"")</f>
        <v/>
      </c>
      <c r="G195">
        <f t="array" ref="G195">IFERROR(INDEX('Work Items'!$J$6:$J$5000,SMALL(IF('Work Items'!$A$6:$A$5000="CR",ROW('Work Items'!$A$6:$A$5000)-ROW('Work Items'!$A$6)+1),191)),"")</f>
        <v/>
      </c>
      <c r="H195">
        <f t="array" ref="H195">IFERROR(INDEX('Work Items'!$K$6:$K$5000,SMALL(IF('Work Items'!$A$6:$A$5000="CR",ROW('Work Items'!$A$6:$A$5000)-ROW('Work Items'!$A$6)+1),191)),"")</f>
        <v/>
      </c>
      <c r="I195">
        <f t="array" ref="I195">IFERROR(INDEX('Work Items'!$L$6:$L$5000,SMALL(IF('Work Items'!$A$6:$A$5000="CR",ROW('Work Items'!$A$6:$A$5000)-ROW('Work Items'!$A$6)+1),191)),"")</f>
        <v/>
      </c>
      <c r="J195" s="217">
        <f t="array" ref="J195">IFERROR(INDEX('Work Items'!$M$6:$M$5000,SMALL(IF('Work Items'!$A$6:$A$5000="CR",ROW('Work Items'!$A$6:$A$5000)-ROW('Work Items'!$A$6)+1),191)),"")</f>
        <v/>
      </c>
      <c r="K195" s="217">
        <f t="array" ref="K195">IFERROR(INDEX('Work Items'!$Q$6:$Q$5000,SMALL(IF('Work Items'!$A$6:$A$5000="CR",ROW('Work Items'!$A$6:$A$5000)-ROW('Work Items'!$A$6)+1),191)),"")</f>
        <v/>
      </c>
      <c r="L195">
        <f t="array" ref="L195">IFERROR(INDEX('Work Items'!$N$6:$N$5000,SMALL(IF('Work Items'!$A$6:$A$5000="CR",ROW('Work Items'!$A$6:$A$5000)-ROW('Work Items'!$A$6)+1),191)),"")</f>
        <v/>
      </c>
      <c r="M195">
        <f t="array" ref="M195">IFERROR(INDEX('Work Items'!$O$6:$O$5000,SMALL(IF('Work Items'!$A$6:$A$5000="CR",ROW('Work Items'!$A$6:$A$5000)-ROW('Work Items'!$A$6)+1),191)),"")</f>
        <v/>
      </c>
    </row>
    <row r="196">
      <c r="A196">
        <f t="array" ref="A196">IFERROR(INDEX('Work Items'!$A$6:$A$5000,SMALL(IF('Work Items'!$A$6:$A$5000="CR",ROW('Work Items'!$A$6:$A$5000)-ROW('Work Items'!$A$6)+1),192)),"")</f>
        <v/>
      </c>
      <c r="B196">
        <f t="array" ref="B196">IFERROR(INDEX('Work Items'!$B$6:$B$5000,SMALL(IF('Work Items'!$A$6:$A$5000="CR",ROW('Work Items'!$A$6:$A$5000)-ROW('Work Items'!$A$6)+1),192)),"")</f>
        <v/>
      </c>
      <c r="C196">
        <f t="array" ref="C196">IFERROR(INDEX('Work Items'!$C$6:$C$5000,SMALL(IF('Work Items'!$A$6:$A$5000="CR",ROW('Work Items'!$A$6:$A$5000)-ROW('Work Items'!$A$6)+1),192)),"")</f>
        <v/>
      </c>
      <c r="D196">
        <f t="array" ref="D196">IFERROR(INDEX('Work Items'!$D$6:$D$5000,SMALL(IF('Work Items'!$A$6:$A$5000="CR",ROW('Work Items'!$A$6:$A$5000)-ROW('Work Items'!$A$6)+1),192)),"")</f>
        <v/>
      </c>
      <c r="E196">
        <f t="array" ref="E196">IFERROR(INDEX('Work Items'!$E$6:$E$5000,SMALL(IF('Work Items'!$A$6:$A$5000="CR",ROW('Work Items'!$A$6:$A$5000)-ROW('Work Items'!$A$6)+1),192)),"")</f>
        <v/>
      </c>
      <c r="F196">
        <f t="array" ref="F196">IFERROR(INDEX('Work Items'!$F$6:$F$5000,SMALL(IF('Work Items'!$A$6:$A$5000="CR",ROW('Work Items'!$A$6:$A$5000)-ROW('Work Items'!$A$6)+1),192)),"")</f>
        <v/>
      </c>
      <c r="G196">
        <f t="array" ref="G196">IFERROR(INDEX('Work Items'!$J$6:$J$5000,SMALL(IF('Work Items'!$A$6:$A$5000="CR",ROW('Work Items'!$A$6:$A$5000)-ROW('Work Items'!$A$6)+1),192)),"")</f>
        <v/>
      </c>
      <c r="H196">
        <f t="array" ref="H196">IFERROR(INDEX('Work Items'!$K$6:$K$5000,SMALL(IF('Work Items'!$A$6:$A$5000="CR",ROW('Work Items'!$A$6:$A$5000)-ROW('Work Items'!$A$6)+1),192)),"")</f>
        <v/>
      </c>
      <c r="I196">
        <f t="array" ref="I196">IFERROR(INDEX('Work Items'!$L$6:$L$5000,SMALL(IF('Work Items'!$A$6:$A$5000="CR",ROW('Work Items'!$A$6:$A$5000)-ROW('Work Items'!$A$6)+1),192)),"")</f>
        <v/>
      </c>
      <c r="J196" s="217">
        <f t="array" ref="J196">IFERROR(INDEX('Work Items'!$M$6:$M$5000,SMALL(IF('Work Items'!$A$6:$A$5000="CR",ROW('Work Items'!$A$6:$A$5000)-ROW('Work Items'!$A$6)+1),192)),"")</f>
        <v/>
      </c>
      <c r="K196" s="217">
        <f t="array" ref="K196">IFERROR(INDEX('Work Items'!$Q$6:$Q$5000,SMALL(IF('Work Items'!$A$6:$A$5000="CR",ROW('Work Items'!$A$6:$A$5000)-ROW('Work Items'!$A$6)+1),192)),"")</f>
        <v/>
      </c>
      <c r="L196">
        <f t="array" ref="L196">IFERROR(INDEX('Work Items'!$N$6:$N$5000,SMALL(IF('Work Items'!$A$6:$A$5000="CR",ROW('Work Items'!$A$6:$A$5000)-ROW('Work Items'!$A$6)+1),192)),"")</f>
        <v/>
      </c>
      <c r="M196">
        <f t="array" ref="M196">IFERROR(INDEX('Work Items'!$O$6:$O$5000,SMALL(IF('Work Items'!$A$6:$A$5000="CR",ROW('Work Items'!$A$6:$A$5000)-ROW('Work Items'!$A$6)+1),192)),"")</f>
        <v/>
      </c>
    </row>
    <row r="197">
      <c r="A197">
        <f t="array" ref="A197">IFERROR(INDEX('Work Items'!$A$6:$A$5000,SMALL(IF('Work Items'!$A$6:$A$5000="CR",ROW('Work Items'!$A$6:$A$5000)-ROW('Work Items'!$A$6)+1),193)),"")</f>
        <v/>
      </c>
      <c r="B197">
        <f t="array" ref="B197">IFERROR(INDEX('Work Items'!$B$6:$B$5000,SMALL(IF('Work Items'!$A$6:$A$5000="CR",ROW('Work Items'!$A$6:$A$5000)-ROW('Work Items'!$A$6)+1),193)),"")</f>
        <v/>
      </c>
      <c r="C197">
        <f t="array" ref="C197">IFERROR(INDEX('Work Items'!$C$6:$C$5000,SMALL(IF('Work Items'!$A$6:$A$5000="CR",ROW('Work Items'!$A$6:$A$5000)-ROW('Work Items'!$A$6)+1),193)),"")</f>
        <v/>
      </c>
      <c r="D197">
        <f t="array" ref="D197">IFERROR(INDEX('Work Items'!$D$6:$D$5000,SMALL(IF('Work Items'!$A$6:$A$5000="CR",ROW('Work Items'!$A$6:$A$5000)-ROW('Work Items'!$A$6)+1),193)),"")</f>
        <v/>
      </c>
      <c r="E197">
        <f t="array" ref="E197">IFERROR(INDEX('Work Items'!$E$6:$E$5000,SMALL(IF('Work Items'!$A$6:$A$5000="CR",ROW('Work Items'!$A$6:$A$5000)-ROW('Work Items'!$A$6)+1),193)),"")</f>
        <v/>
      </c>
      <c r="F197">
        <f t="array" ref="F197">IFERROR(INDEX('Work Items'!$F$6:$F$5000,SMALL(IF('Work Items'!$A$6:$A$5000="CR",ROW('Work Items'!$A$6:$A$5000)-ROW('Work Items'!$A$6)+1),193)),"")</f>
        <v/>
      </c>
      <c r="G197">
        <f t="array" ref="G197">IFERROR(INDEX('Work Items'!$J$6:$J$5000,SMALL(IF('Work Items'!$A$6:$A$5000="CR",ROW('Work Items'!$A$6:$A$5000)-ROW('Work Items'!$A$6)+1),193)),"")</f>
        <v/>
      </c>
      <c r="H197">
        <f t="array" ref="H197">IFERROR(INDEX('Work Items'!$K$6:$K$5000,SMALL(IF('Work Items'!$A$6:$A$5000="CR",ROW('Work Items'!$A$6:$A$5000)-ROW('Work Items'!$A$6)+1),193)),"")</f>
        <v/>
      </c>
      <c r="I197">
        <f t="array" ref="I197">IFERROR(INDEX('Work Items'!$L$6:$L$5000,SMALL(IF('Work Items'!$A$6:$A$5000="CR",ROW('Work Items'!$A$6:$A$5000)-ROW('Work Items'!$A$6)+1),193)),"")</f>
        <v/>
      </c>
      <c r="J197" s="217">
        <f t="array" ref="J197">IFERROR(INDEX('Work Items'!$M$6:$M$5000,SMALL(IF('Work Items'!$A$6:$A$5000="CR",ROW('Work Items'!$A$6:$A$5000)-ROW('Work Items'!$A$6)+1),193)),"")</f>
        <v/>
      </c>
      <c r="K197" s="217">
        <f t="array" ref="K197">IFERROR(INDEX('Work Items'!$Q$6:$Q$5000,SMALL(IF('Work Items'!$A$6:$A$5000="CR",ROW('Work Items'!$A$6:$A$5000)-ROW('Work Items'!$A$6)+1),193)),"")</f>
        <v/>
      </c>
      <c r="L197">
        <f t="array" ref="L197">IFERROR(INDEX('Work Items'!$N$6:$N$5000,SMALL(IF('Work Items'!$A$6:$A$5000="CR",ROW('Work Items'!$A$6:$A$5000)-ROW('Work Items'!$A$6)+1),193)),"")</f>
        <v/>
      </c>
      <c r="M197">
        <f t="array" ref="M197">IFERROR(INDEX('Work Items'!$O$6:$O$5000,SMALL(IF('Work Items'!$A$6:$A$5000="CR",ROW('Work Items'!$A$6:$A$5000)-ROW('Work Items'!$A$6)+1),193)),"")</f>
        <v/>
      </c>
    </row>
    <row r="198">
      <c r="A198">
        <f t="array" ref="A198">IFERROR(INDEX('Work Items'!$A$6:$A$5000,SMALL(IF('Work Items'!$A$6:$A$5000="CR",ROW('Work Items'!$A$6:$A$5000)-ROW('Work Items'!$A$6)+1),194)),"")</f>
        <v/>
      </c>
      <c r="B198">
        <f t="array" ref="B198">IFERROR(INDEX('Work Items'!$B$6:$B$5000,SMALL(IF('Work Items'!$A$6:$A$5000="CR",ROW('Work Items'!$A$6:$A$5000)-ROW('Work Items'!$A$6)+1),194)),"")</f>
        <v/>
      </c>
      <c r="C198">
        <f t="array" ref="C198">IFERROR(INDEX('Work Items'!$C$6:$C$5000,SMALL(IF('Work Items'!$A$6:$A$5000="CR",ROW('Work Items'!$A$6:$A$5000)-ROW('Work Items'!$A$6)+1),194)),"")</f>
        <v/>
      </c>
      <c r="D198">
        <f t="array" ref="D198">IFERROR(INDEX('Work Items'!$D$6:$D$5000,SMALL(IF('Work Items'!$A$6:$A$5000="CR",ROW('Work Items'!$A$6:$A$5000)-ROW('Work Items'!$A$6)+1),194)),"")</f>
        <v/>
      </c>
      <c r="E198">
        <f t="array" ref="E198">IFERROR(INDEX('Work Items'!$E$6:$E$5000,SMALL(IF('Work Items'!$A$6:$A$5000="CR",ROW('Work Items'!$A$6:$A$5000)-ROW('Work Items'!$A$6)+1),194)),"")</f>
        <v/>
      </c>
      <c r="F198">
        <f t="array" ref="F198">IFERROR(INDEX('Work Items'!$F$6:$F$5000,SMALL(IF('Work Items'!$A$6:$A$5000="CR",ROW('Work Items'!$A$6:$A$5000)-ROW('Work Items'!$A$6)+1),194)),"")</f>
        <v/>
      </c>
      <c r="G198">
        <f t="array" ref="G198">IFERROR(INDEX('Work Items'!$J$6:$J$5000,SMALL(IF('Work Items'!$A$6:$A$5000="CR",ROW('Work Items'!$A$6:$A$5000)-ROW('Work Items'!$A$6)+1),194)),"")</f>
        <v/>
      </c>
      <c r="H198">
        <f t="array" ref="H198">IFERROR(INDEX('Work Items'!$K$6:$K$5000,SMALL(IF('Work Items'!$A$6:$A$5000="CR",ROW('Work Items'!$A$6:$A$5000)-ROW('Work Items'!$A$6)+1),194)),"")</f>
        <v/>
      </c>
      <c r="I198">
        <f t="array" ref="I198">IFERROR(INDEX('Work Items'!$L$6:$L$5000,SMALL(IF('Work Items'!$A$6:$A$5000="CR",ROW('Work Items'!$A$6:$A$5000)-ROW('Work Items'!$A$6)+1),194)),"")</f>
        <v/>
      </c>
      <c r="J198" s="217">
        <f t="array" ref="J198">IFERROR(INDEX('Work Items'!$M$6:$M$5000,SMALL(IF('Work Items'!$A$6:$A$5000="CR",ROW('Work Items'!$A$6:$A$5000)-ROW('Work Items'!$A$6)+1),194)),"")</f>
        <v/>
      </c>
      <c r="K198" s="217">
        <f t="array" ref="K198">IFERROR(INDEX('Work Items'!$Q$6:$Q$5000,SMALL(IF('Work Items'!$A$6:$A$5000="CR",ROW('Work Items'!$A$6:$A$5000)-ROW('Work Items'!$A$6)+1),194)),"")</f>
        <v/>
      </c>
      <c r="L198">
        <f t="array" ref="L198">IFERROR(INDEX('Work Items'!$N$6:$N$5000,SMALL(IF('Work Items'!$A$6:$A$5000="CR",ROW('Work Items'!$A$6:$A$5000)-ROW('Work Items'!$A$6)+1),194)),"")</f>
        <v/>
      </c>
      <c r="M198">
        <f t="array" ref="M198">IFERROR(INDEX('Work Items'!$O$6:$O$5000,SMALL(IF('Work Items'!$A$6:$A$5000="CR",ROW('Work Items'!$A$6:$A$5000)-ROW('Work Items'!$A$6)+1),194)),"")</f>
        <v/>
      </c>
    </row>
    <row r="199">
      <c r="A199">
        <f t="array" ref="A199">IFERROR(INDEX('Work Items'!$A$6:$A$5000,SMALL(IF('Work Items'!$A$6:$A$5000="CR",ROW('Work Items'!$A$6:$A$5000)-ROW('Work Items'!$A$6)+1),195)),"")</f>
        <v/>
      </c>
      <c r="B199">
        <f t="array" ref="B199">IFERROR(INDEX('Work Items'!$B$6:$B$5000,SMALL(IF('Work Items'!$A$6:$A$5000="CR",ROW('Work Items'!$A$6:$A$5000)-ROW('Work Items'!$A$6)+1),195)),"")</f>
        <v/>
      </c>
      <c r="C199">
        <f t="array" ref="C199">IFERROR(INDEX('Work Items'!$C$6:$C$5000,SMALL(IF('Work Items'!$A$6:$A$5000="CR",ROW('Work Items'!$A$6:$A$5000)-ROW('Work Items'!$A$6)+1),195)),"")</f>
        <v/>
      </c>
      <c r="D199">
        <f t="array" ref="D199">IFERROR(INDEX('Work Items'!$D$6:$D$5000,SMALL(IF('Work Items'!$A$6:$A$5000="CR",ROW('Work Items'!$A$6:$A$5000)-ROW('Work Items'!$A$6)+1),195)),"")</f>
        <v/>
      </c>
      <c r="E199">
        <f t="array" ref="E199">IFERROR(INDEX('Work Items'!$E$6:$E$5000,SMALL(IF('Work Items'!$A$6:$A$5000="CR",ROW('Work Items'!$A$6:$A$5000)-ROW('Work Items'!$A$6)+1),195)),"")</f>
        <v/>
      </c>
      <c r="F199">
        <f t="array" ref="F199">IFERROR(INDEX('Work Items'!$F$6:$F$5000,SMALL(IF('Work Items'!$A$6:$A$5000="CR",ROW('Work Items'!$A$6:$A$5000)-ROW('Work Items'!$A$6)+1),195)),"")</f>
        <v/>
      </c>
      <c r="G199">
        <f t="array" ref="G199">IFERROR(INDEX('Work Items'!$J$6:$J$5000,SMALL(IF('Work Items'!$A$6:$A$5000="CR",ROW('Work Items'!$A$6:$A$5000)-ROW('Work Items'!$A$6)+1),195)),"")</f>
        <v/>
      </c>
      <c r="H199">
        <f t="array" ref="H199">IFERROR(INDEX('Work Items'!$K$6:$K$5000,SMALL(IF('Work Items'!$A$6:$A$5000="CR",ROW('Work Items'!$A$6:$A$5000)-ROW('Work Items'!$A$6)+1),195)),"")</f>
        <v/>
      </c>
      <c r="I199">
        <f t="array" ref="I199">IFERROR(INDEX('Work Items'!$L$6:$L$5000,SMALL(IF('Work Items'!$A$6:$A$5000="CR",ROW('Work Items'!$A$6:$A$5000)-ROW('Work Items'!$A$6)+1),195)),"")</f>
        <v/>
      </c>
      <c r="J199" s="217">
        <f t="array" ref="J199">IFERROR(INDEX('Work Items'!$M$6:$M$5000,SMALL(IF('Work Items'!$A$6:$A$5000="CR",ROW('Work Items'!$A$6:$A$5000)-ROW('Work Items'!$A$6)+1),195)),"")</f>
        <v/>
      </c>
      <c r="K199" s="217">
        <f t="array" ref="K199">IFERROR(INDEX('Work Items'!$Q$6:$Q$5000,SMALL(IF('Work Items'!$A$6:$A$5000="CR",ROW('Work Items'!$A$6:$A$5000)-ROW('Work Items'!$A$6)+1),195)),"")</f>
        <v/>
      </c>
      <c r="L199">
        <f t="array" ref="L199">IFERROR(INDEX('Work Items'!$N$6:$N$5000,SMALL(IF('Work Items'!$A$6:$A$5000="CR",ROW('Work Items'!$A$6:$A$5000)-ROW('Work Items'!$A$6)+1),195)),"")</f>
        <v/>
      </c>
      <c r="M199">
        <f t="array" ref="M199">IFERROR(INDEX('Work Items'!$O$6:$O$5000,SMALL(IF('Work Items'!$A$6:$A$5000="CR",ROW('Work Items'!$A$6:$A$5000)-ROW('Work Items'!$A$6)+1),195)),"")</f>
        <v/>
      </c>
    </row>
    <row r="200">
      <c r="A200">
        <f t="array" ref="A200">IFERROR(INDEX('Work Items'!$A$6:$A$5000,SMALL(IF('Work Items'!$A$6:$A$5000="CR",ROW('Work Items'!$A$6:$A$5000)-ROW('Work Items'!$A$6)+1),196)),"")</f>
        <v/>
      </c>
      <c r="B200">
        <f t="array" ref="B200">IFERROR(INDEX('Work Items'!$B$6:$B$5000,SMALL(IF('Work Items'!$A$6:$A$5000="CR",ROW('Work Items'!$A$6:$A$5000)-ROW('Work Items'!$A$6)+1),196)),"")</f>
        <v/>
      </c>
      <c r="C200">
        <f t="array" ref="C200">IFERROR(INDEX('Work Items'!$C$6:$C$5000,SMALL(IF('Work Items'!$A$6:$A$5000="CR",ROW('Work Items'!$A$6:$A$5000)-ROW('Work Items'!$A$6)+1),196)),"")</f>
        <v/>
      </c>
      <c r="D200">
        <f t="array" ref="D200">IFERROR(INDEX('Work Items'!$D$6:$D$5000,SMALL(IF('Work Items'!$A$6:$A$5000="CR",ROW('Work Items'!$A$6:$A$5000)-ROW('Work Items'!$A$6)+1),196)),"")</f>
        <v/>
      </c>
      <c r="E200">
        <f t="array" ref="E200">IFERROR(INDEX('Work Items'!$E$6:$E$5000,SMALL(IF('Work Items'!$A$6:$A$5000="CR",ROW('Work Items'!$A$6:$A$5000)-ROW('Work Items'!$A$6)+1),196)),"")</f>
        <v/>
      </c>
      <c r="F200">
        <f t="array" ref="F200">IFERROR(INDEX('Work Items'!$F$6:$F$5000,SMALL(IF('Work Items'!$A$6:$A$5000="CR",ROW('Work Items'!$A$6:$A$5000)-ROW('Work Items'!$A$6)+1),196)),"")</f>
        <v/>
      </c>
      <c r="G200">
        <f t="array" ref="G200">IFERROR(INDEX('Work Items'!$J$6:$J$5000,SMALL(IF('Work Items'!$A$6:$A$5000="CR",ROW('Work Items'!$A$6:$A$5000)-ROW('Work Items'!$A$6)+1),196)),"")</f>
        <v/>
      </c>
      <c r="H200">
        <f t="array" ref="H200">IFERROR(INDEX('Work Items'!$K$6:$K$5000,SMALL(IF('Work Items'!$A$6:$A$5000="CR",ROW('Work Items'!$A$6:$A$5000)-ROW('Work Items'!$A$6)+1),196)),"")</f>
        <v/>
      </c>
      <c r="I200">
        <f t="array" ref="I200">IFERROR(INDEX('Work Items'!$L$6:$L$5000,SMALL(IF('Work Items'!$A$6:$A$5000="CR",ROW('Work Items'!$A$6:$A$5000)-ROW('Work Items'!$A$6)+1),196)),"")</f>
        <v/>
      </c>
      <c r="J200" s="217">
        <f t="array" ref="J200">IFERROR(INDEX('Work Items'!$M$6:$M$5000,SMALL(IF('Work Items'!$A$6:$A$5000="CR",ROW('Work Items'!$A$6:$A$5000)-ROW('Work Items'!$A$6)+1),196)),"")</f>
        <v/>
      </c>
      <c r="K200" s="217">
        <f t="array" ref="K200">IFERROR(INDEX('Work Items'!$Q$6:$Q$5000,SMALL(IF('Work Items'!$A$6:$A$5000="CR",ROW('Work Items'!$A$6:$A$5000)-ROW('Work Items'!$A$6)+1),196)),"")</f>
        <v/>
      </c>
      <c r="L200">
        <f t="array" ref="L200">IFERROR(INDEX('Work Items'!$N$6:$N$5000,SMALL(IF('Work Items'!$A$6:$A$5000="CR",ROW('Work Items'!$A$6:$A$5000)-ROW('Work Items'!$A$6)+1),196)),"")</f>
        <v/>
      </c>
      <c r="M200">
        <f t="array" ref="M200">IFERROR(INDEX('Work Items'!$O$6:$O$5000,SMALL(IF('Work Items'!$A$6:$A$5000="CR",ROW('Work Items'!$A$6:$A$5000)-ROW('Work Items'!$A$6)+1),196)),"")</f>
        <v/>
      </c>
    </row>
    <row r="201">
      <c r="A201">
        <f t="array" ref="A201">IFERROR(INDEX('Work Items'!$A$6:$A$5000,SMALL(IF('Work Items'!$A$6:$A$5000="CR",ROW('Work Items'!$A$6:$A$5000)-ROW('Work Items'!$A$6)+1),197)),"")</f>
        <v/>
      </c>
      <c r="B201">
        <f t="array" ref="B201">IFERROR(INDEX('Work Items'!$B$6:$B$5000,SMALL(IF('Work Items'!$A$6:$A$5000="CR",ROW('Work Items'!$A$6:$A$5000)-ROW('Work Items'!$A$6)+1),197)),"")</f>
        <v/>
      </c>
      <c r="C201">
        <f t="array" ref="C201">IFERROR(INDEX('Work Items'!$C$6:$C$5000,SMALL(IF('Work Items'!$A$6:$A$5000="CR",ROW('Work Items'!$A$6:$A$5000)-ROW('Work Items'!$A$6)+1),197)),"")</f>
        <v/>
      </c>
      <c r="D201">
        <f t="array" ref="D201">IFERROR(INDEX('Work Items'!$D$6:$D$5000,SMALL(IF('Work Items'!$A$6:$A$5000="CR",ROW('Work Items'!$A$6:$A$5000)-ROW('Work Items'!$A$6)+1),197)),"")</f>
        <v/>
      </c>
      <c r="E201">
        <f t="array" ref="E201">IFERROR(INDEX('Work Items'!$E$6:$E$5000,SMALL(IF('Work Items'!$A$6:$A$5000="CR",ROW('Work Items'!$A$6:$A$5000)-ROW('Work Items'!$A$6)+1),197)),"")</f>
        <v/>
      </c>
      <c r="F201">
        <f t="array" ref="F201">IFERROR(INDEX('Work Items'!$F$6:$F$5000,SMALL(IF('Work Items'!$A$6:$A$5000="CR",ROW('Work Items'!$A$6:$A$5000)-ROW('Work Items'!$A$6)+1),197)),"")</f>
        <v/>
      </c>
      <c r="G201">
        <f t="array" ref="G201">IFERROR(INDEX('Work Items'!$J$6:$J$5000,SMALL(IF('Work Items'!$A$6:$A$5000="CR",ROW('Work Items'!$A$6:$A$5000)-ROW('Work Items'!$A$6)+1),197)),"")</f>
        <v/>
      </c>
      <c r="H201">
        <f t="array" ref="H201">IFERROR(INDEX('Work Items'!$K$6:$K$5000,SMALL(IF('Work Items'!$A$6:$A$5000="CR",ROW('Work Items'!$A$6:$A$5000)-ROW('Work Items'!$A$6)+1),197)),"")</f>
        <v/>
      </c>
      <c r="I201">
        <f t="array" ref="I201">IFERROR(INDEX('Work Items'!$L$6:$L$5000,SMALL(IF('Work Items'!$A$6:$A$5000="CR",ROW('Work Items'!$A$6:$A$5000)-ROW('Work Items'!$A$6)+1),197)),"")</f>
        <v/>
      </c>
      <c r="J201" s="217">
        <f t="array" ref="J201">IFERROR(INDEX('Work Items'!$M$6:$M$5000,SMALL(IF('Work Items'!$A$6:$A$5000="CR",ROW('Work Items'!$A$6:$A$5000)-ROW('Work Items'!$A$6)+1),197)),"")</f>
        <v/>
      </c>
      <c r="K201" s="217">
        <f t="array" ref="K201">IFERROR(INDEX('Work Items'!$Q$6:$Q$5000,SMALL(IF('Work Items'!$A$6:$A$5000="CR",ROW('Work Items'!$A$6:$A$5000)-ROW('Work Items'!$A$6)+1),197)),"")</f>
        <v/>
      </c>
      <c r="L201">
        <f t="array" ref="L201">IFERROR(INDEX('Work Items'!$N$6:$N$5000,SMALL(IF('Work Items'!$A$6:$A$5000="CR",ROW('Work Items'!$A$6:$A$5000)-ROW('Work Items'!$A$6)+1),197)),"")</f>
        <v/>
      </c>
      <c r="M201">
        <f t="array" ref="M201">IFERROR(INDEX('Work Items'!$O$6:$O$5000,SMALL(IF('Work Items'!$A$6:$A$5000="CR",ROW('Work Items'!$A$6:$A$5000)-ROW('Work Items'!$A$6)+1),197)),"")</f>
        <v/>
      </c>
    </row>
    <row r="202">
      <c r="A202">
        <f t="array" ref="A202">IFERROR(INDEX('Work Items'!$A$6:$A$5000,SMALL(IF('Work Items'!$A$6:$A$5000="CR",ROW('Work Items'!$A$6:$A$5000)-ROW('Work Items'!$A$6)+1),198)),"")</f>
        <v/>
      </c>
      <c r="B202">
        <f t="array" ref="B202">IFERROR(INDEX('Work Items'!$B$6:$B$5000,SMALL(IF('Work Items'!$A$6:$A$5000="CR",ROW('Work Items'!$A$6:$A$5000)-ROW('Work Items'!$A$6)+1),198)),"")</f>
        <v/>
      </c>
      <c r="C202">
        <f t="array" ref="C202">IFERROR(INDEX('Work Items'!$C$6:$C$5000,SMALL(IF('Work Items'!$A$6:$A$5000="CR",ROW('Work Items'!$A$6:$A$5000)-ROW('Work Items'!$A$6)+1),198)),"")</f>
        <v/>
      </c>
      <c r="D202">
        <f t="array" ref="D202">IFERROR(INDEX('Work Items'!$D$6:$D$5000,SMALL(IF('Work Items'!$A$6:$A$5000="CR",ROW('Work Items'!$A$6:$A$5000)-ROW('Work Items'!$A$6)+1),198)),"")</f>
        <v/>
      </c>
      <c r="E202">
        <f t="array" ref="E202">IFERROR(INDEX('Work Items'!$E$6:$E$5000,SMALL(IF('Work Items'!$A$6:$A$5000="CR",ROW('Work Items'!$A$6:$A$5000)-ROW('Work Items'!$A$6)+1),198)),"")</f>
        <v/>
      </c>
      <c r="F202">
        <f t="array" ref="F202">IFERROR(INDEX('Work Items'!$F$6:$F$5000,SMALL(IF('Work Items'!$A$6:$A$5000="CR",ROW('Work Items'!$A$6:$A$5000)-ROW('Work Items'!$A$6)+1),198)),"")</f>
        <v/>
      </c>
      <c r="G202">
        <f t="array" ref="G202">IFERROR(INDEX('Work Items'!$J$6:$J$5000,SMALL(IF('Work Items'!$A$6:$A$5000="CR",ROW('Work Items'!$A$6:$A$5000)-ROW('Work Items'!$A$6)+1),198)),"")</f>
        <v/>
      </c>
      <c r="H202">
        <f t="array" ref="H202">IFERROR(INDEX('Work Items'!$K$6:$K$5000,SMALL(IF('Work Items'!$A$6:$A$5000="CR",ROW('Work Items'!$A$6:$A$5000)-ROW('Work Items'!$A$6)+1),198)),"")</f>
        <v/>
      </c>
      <c r="I202">
        <f t="array" ref="I202">IFERROR(INDEX('Work Items'!$L$6:$L$5000,SMALL(IF('Work Items'!$A$6:$A$5000="CR",ROW('Work Items'!$A$6:$A$5000)-ROW('Work Items'!$A$6)+1),198)),"")</f>
        <v/>
      </c>
      <c r="J202" s="217">
        <f t="array" ref="J202">IFERROR(INDEX('Work Items'!$M$6:$M$5000,SMALL(IF('Work Items'!$A$6:$A$5000="CR",ROW('Work Items'!$A$6:$A$5000)-ROW('Work Items'!$A$6)+1),198)),"")</f>
        <v/>
      </c>
      <c r="K202" s="217">
        <f t="array" ref="K202">IFERROR(INDEX('Work Items'!$Q$6:$Q$5000,SMALL(IF('Work Items'!$A$6:$A$5000="CR",ROW('Work Items'!$A$6:$A$5000)-ROW('Work Items'!$A$6)+1),198)),"")</f>
        <v/>
      </c>
      <c r="L202">
        <f t="array" ref="L202">IFERROR(INDEX('Work Items'!$N$6:$N$5000,SMALL(IF('Work Items'!$A$6:$A$5000="CR",ROW('Work Items'!$A$6:$A$5000)-ROW('Work Items'!$A$6)+1),198)),"")</f>
        <v/>
      </c>
      <c r="M202">
        <f t="array" ref="M202">IFERROR(INDEX('Work Items'!$O$6:$O$5000,SMALL(IF('Work Items'!$A$6:$A$5000="CR",ROW('Work Items'!$A$6:$A$5000)-ROW('Work Items'!$A$6)+1),198)),"")</f>
        <v/>
      </c>
    </row>
    <row r="203">
      <c r="A203">
        <f t="array" ref="A203">IFERROR(INDEX('Work Items'!$A$6:$A$5000,SMALL(IF('Work Items'!$A$6:$A$5000="CR",ROW('Work Items'!$A$6:$A$5000)-ROW('Work Items'!$A$6)+1),199)),"")</f>
        <v/>
      </c>
      <c r="B203">
        <f t="array" ref="B203">IFERROR(INDEX('Work Items'!$B$6:$B$5000,SMALL(IF('Work Items'!$A$6:$A$5000="CR",ROW('Work Items'!$A$6:$A$5000)-ROW('Work Items'!$A$6)+1),199)),"")</f>
        <v/>
      </c>
      <c r="C203">
        <f t="array" ref="C203">IFERROR(INDEX('Work Items'!$C$6:$C$5000,SMALL(IF('Work Items'!$A$6:$A$5000="CR",ROW('Work Items'!$A$6:$A$5000)-ROW('Work Items'!$A$6)+1),199)),"")</f>
        <v/>
      </c>
      <c r="D203">
        <f t="array" ref="D203">IFERROR(INDEX('Work Items'!$D$6:$D$5000,SMALL(IF('Work Items'!$A$6:$A$5000="CR",ROW('Work Items'!$A$6:$A$5000)-ROW('Work Items'!$A$6)+1),199)),"")</f>
        <v/>
      </c>
      <c r="E203">
        <f t="array" ref="E203">IFERROR(INDEX('Work Items'!$E$6:$E$5000,SMALL(IF('Work Items'!$A$6:$A$5000="CR",ROW('Work Items'!$A$6:$A$5000)-ROW('Work Items'!$A$6)+1),199)),"")</f>
        <v/>
      </c>
      <c r="F203">
        <f t="array" ref="F203">IFERROR(INDEX('Work Items'!$F$6:$F$5000,SMALL(IF('Work Items'!$A$6:$A$5000="CR",ROW('Work Items'!$A$6:$A$5000)-ROW('Work Items'!$A$6)+1),199)),"")</f>
        <v/>
      </c>
      <c r="G203">
        <f t="array" ref="G203">IFERROR(INDEX('Work Items'!$J$6:$J$5000,SMALL(IF('Work Items'!$A$6:$A$5000="CR",ROW('Work Items'!$A$6:$A$5000)-ROW('Work Items'!$A$6)+1),199)),"")</f>
        <v/>
      </c>
      <c r="H203">
        <f t="array" ref="H203">IFERROR(INDEX('Work Items'!$K$6:$K$5000,SMALL(IF('Work Items'!$A$6:$A$5000="CR",ROW('Work Items'!$A$6:$A$5000)-ROW('Work Items'!$A$6)+1),199)),"")</f>
        <v/>
      </c>
      <c r="I203">
        <f t="array" ref="I203">IFERROR(INDEX('Work Items'!$L$6:$L$5000,SMALL(IF('Work Items'!$A$6:$A$5000="CR",ROW('Work Items'!$A$6:$A$5000)-ROW('Work Items'!$A$6)+1),199)),"")</f>
        <v/>
      </c>
      <c r="J203" s="217">
        <f t="array" ref="J203">IFERROR(INDEX('Work Items'!$M$6:$M$5000,SMALL(IF('Work Items'!$A$6:$A$5000="CR",ROW('Work Items'!$A$6:$A$5000)-ROW('Work Items'!$A$6)+1),199)),"")</f>
        <v/>
      </c>
      <c r="K203" s="217">
        <f t="array" ref="K203">IFERROR(INDEX('Work Items'!$Q$6:$Q$5000,SMALL(IF('Work Items'!$A$6:$A$5000="CR",ROW('Work Items'!$A$6:$A$5000)-ROW('Work Items'!$A$6)+1),199)),"")</f>
        <v/>
      </c>
      <c r="L203">
        <f t="array" ref="L203">IFERROR(INDEX('Work Items'!$N$6:$N$5000,SMALL(IF('Work Items'!$A$6:$A$5000="CR",ROW('Work Items'!$A$6:$A$5000)-ROW('Work Items'!$A$6)+1),199)),"")</f>
        <v/>
      </c>
      <c r="M203">
        <f t="array" ref="M203">IFERROR(INDEX('Work Items'!$O$6:$O$5000,SMALL(IF('Work Items'!$A$6:$A$5000="CR",ROW('Work Items'!$A$6:$A$5000)-ROW('Work Items'!$A$6)+1),199)),"")</f>
        <v/>
      </c>
    </row>
    <row r="204">
      <c r="A204">
        <f t="array" ref="A204">IFERROR(INDEX('Work Items'!$A$6:$A$5000,SMALL(IF('Work Items'!$A$6:$A$5000="CR",ROW('Work Items'!$A$6:$A$5000)-ROW('Work Items'!$A$6)+1),200)),"")</f>
        <v/>
      </c>
      <c r="B204">
        <f t="array" ref="B204">IFERROR(INDEX('Work Items'!$B$6:$B$5000,SMALL(IF('Work Items'!$A$6:$A$5000="CR",ROW('Work Items'!$A$6:$A$5000)-ROW('Work Items'!$A$6)+1),200)),"")</f>
        <v/>
      </c>
      <c r="C204">
        <f t="array" ref="C204">IFERROR(INDEX('Work Items'!$C$6:$C$5000,SMALL(IF('Work Items'!$A$6:$A$5000="CR",ROW('Work Items'!$A$6:$A$5000)-ROW('Work Items'!$A$6)+1),200)),"")</f>
        <v/>
      </c>
      <c r="D204">
        <f t="array" ref="D204">IFERROR(INDEX('Work Items'!$D$6:$D$5000,SMALL(IF('Work Items'!$A$6:$A$5000="CR",ROW('Work Items'!$A$6:$A$5000)-ROW('Work Items'!$A$6)+1),200)),"")</f>
        <v/>
      </c>
      <c r="E204">
        <f t="array" ref="E204">IFERROR(INDEX('Work Items'!$E$6:$E$5000,SMALL(IF('Work Items'!$A$6:$A$5000="CR",ROW('Work Items'!$A$6:$A$5000)-ROW('Work Items'!$A$6)+1),200)),"")</f>
        <v/>
      </c>
      <c r="F204">
        <f t="array" ref="F204">IFERROR(INDEX('Work Items'!$F$6:$F$5000,SMALL(IF('Work Items'!$A$6:$A$5000="CR",ROW('Work Items'!$A$6:$A$5000)-ROW('Work Items'!$A$6)+1),200)),"")</f>
        <v/>
      </c>
      <c r="G204">
        <f t="array" ref="G204">IFERROR(INDEX('Work Items'!$J$6:$J$5000,SMALL(IF('Work Items'!$A$6:$A$5000="CR",ROW('Work Items'!$A$6:$A$5000)-ROW('Work Items'!$A$6)+1),200)),"")</f>
        <v/>
      </c>
      <c r="H204">
        <f t="array" ref="H204">IFERROR(INDEX('Work Items'!$K$6:$K$5000,SMALL(IF('Work Items'!$A$6:$A$5000="CR",ROW('Work Items'!$A$6:$A$5000)-ROW('Work Items'!$A$6)+1),200)),"")</f>
        <v/>
      </c>
      <c r="I204">
        <f t="array" ref="I204">IFERROR(INDEX('Work Items'!$L$6:$L$5000,SMALL(IF('Work Items'!$A$6:$A$5000="CR",ROW('Work Items'!$A$6:$A$5000)-ROW('Work Items'!$A$6)+1),200)),"")</f>
        <v/>
      </c>
      <c r="J204" s="217">
        <f t="array" ref="J204">IFERROR(INDEX('Work Items'!$M$6:$M$5000,SMALL(IF('Work Items'!$A$6:$A$5000="CR",ROW('Work Items'!$A$6:$A$5000)-ROW('Work Items'!$A$6)+1),200)),"")</f>
        <v/>
      </c>
      <c r="K204" s="217">
        <f t="array" ref="K204">IFERROR(INDEX('Work Items'!$Q$6:$Q$5000,SMALL(IF('Work Items'!$A$6:$A$5000="CR",ROW('Work Items'!$A$6:$A$5000)-ROW('Work Items'!$A$6)+1),200)),"")</f>
        <v/>
      </c>
      <c r="L204">
        <f t="array" ref="L204">IFERROR(INDEX('Work Items'!$N$6:$N$5000,SMALL(IF('Work Items'!$A$6:$A$5000="CR",ROW('Work Items'!$A$6:$A$5000)-ROW('Work Items'!$A$6)+1),200)),"")</f>
        <v/>
      </c>
      <c r="M204">
        <f t="array" ref="M204">IFERROR(INDEX('Work Items'!$O$6:$O$5000,SMALL(IF('Work Items'!$A$6:$A$5000="CR",ROW('Work Items'!$A$6:$A$5000)-ROW('Work Items'!$A$6)+1),200)),"")</f>
        <v/>
      </c>
    </row>
    <row r="205">
      <c r="A205">
        <f t="array" ref="A205">IFERROR(INDEX('Work Items'!$A$6:$A$5000,SMALL(IF('Work Items'!$A$6:$A$5000="CR",ROW('Work Items'!$A$6:$A$5000)-ROW('Work Items'!$A$6)+1),201)),"")</f>
        <v/>
      </c>
      <c r="B205">
        <f t="array" ref="B205">IFERROR(INDEX('Work Items'!$B$6:$B$5000,SMALL(IF('Work Items'!$A$6:$A$5000="CR",ROW('Work Items'!$A$6:$A$5000)-ROW('Work Items'!$A$6)+1),201)),"")</f>
        <v/>
      </c>
      <c r="C205">
        <f t="array" ref="C205">IFERROR(INDEX('Work Items'!$C$6:$C$5000,SMALL(IF('Work Items'!$A$6:$A$5000="CR",ROW('Work Items'!$A$6:$A$5000)-ROW('Work Items'!$A$6)+1),201)),"")</f>
        <v/>
      </c>
      <c r="D205">
        <f t="array" ref="D205">IFERROR(INDEX('Work Items'!$D$6:$D$5000,SMALL(IF('Work Items'!$A$6:$A$5000="CR",ROW('Work Items'!$A$6:$A$5000)-ROW('Work Items'!$A$6)+1),201)),"")</f>
        <v/>
      </c>
      <c r="E205">
        <f t="array" ref="E205">IFERROR(INDEX('Work Items'!$E$6:$E$5000,SMALL(IF('Work Items'!$A$6:$A$5000="CR",ROW('Work Items'!$A$6:$A$5000)-ROW('Work Items'!$A$6)+1),201)),"")</f>
        <v/>
      </c>
      <c r="F205">
        <f t="array" ref="F205">IFERROR(INDEX('Work Items'!$F$6:$F$5000,SMALL(IF('Work Items'!$A$6:$A$5000="CR",ROW('Work Items'!$A$6:$A$5000)-ROW('Work Items'!$A$6)+1),201)),"")</f>
        <v/>
      </c>
      <c r="G205">
        <f t="array" ref="G205">IFERROR(INDEX('Work Items'!$J$6:$J$5000,SMALL(IF('Work Items'!$A$6:$A$5000="CR",ROW('Work Items'!$A$6:$A$5000)-ROW('Work Items'!$A$6)+1),201)),"")</f>
        <v/>
      </c>
      <c r="H205">
        <f t="array" ref="H205">IFERROR(INDEX('Work Items'!$K$6:$K$5000,SMALL(IF('Work Items'!$A$6:$A$5000="CR",ROW('Work Items'!$A$6:$A$5000)-ROW('Work Items'!$A$6)+1),201)),"")</f>
        <v/>
      </c>
      <c r="I205">
        <f t="array" ref="I205">IFERROR(INDEX('Work Items'!$L$6:$L$5000,SMALL(IF('Work Items'!$A$6:$A$5000="CR",ROW('Work Items'!$A$6:$A$5000)-ROW('Work Items'!$A$6)+1),201)),"")</f>
        <v/>
      </c>
      <c r="J205" s="217">
        <f t="array" ref="J205">IFERROR(INDEX('Work Items'!$M$6:$M$5000,SMALL(IF('Work Items'!$A$6:$A$5000="CR",ROW('Work Items'!$A$6:$A$5000)-ROW('Work Items'!$A$6)+1),201)),"")</f>
        <v/>
      </c>
      <c r="K205" s="217">
        <f t="array" ref="K205">IFERROR(INDEX('Work Items'!$Q$6:$Q$5000,SMALL(IF('Work Items'!$A$6:$A$5000="CR",ROW('Work Items'!$A$6:$A$5000)-ROW('Work Items'!$A$6)+1),201)),"")</f>
        <v/>
      </c>
      <c r="L205">
        <f t="array" ref="L205">IFERROR(INDEX('Work Items'!$N$6:$N$5000,SMALL(IF('Work Items'!$A$6:$A$5000="CR",ROW('Work Items'!$A$6:$A$5000)-ROW('Work Items'!$A$6)+1),201)),"")</f>
        <v/>
      </c>
      <c r="M205">
        <f t="array" ref="M205">IFERROR(INDEX('Work Items'!$O$6:$O$5000,SMALL(IF('Work Items'!$A$6:$A$5000="CR",ROW('Work Items'!$A$6:$A$5000)-ROW('Work Items'!$A$6)+1),201)),"")</f>
        <v/>
      </c>
    </row>
    <row r="206">
      <c r="A206">
        <f t="array" ref="A206">IFERROR(INDEX('Work Items'!$A$6:$A$5000,SMALL(IF('Work Items'!$A$6:$A$5000="CR",ROW('Work Items'!$A$6:$A$5000)-ROW('Work Items'!$A$6)+1),202)),"")</f>
        <v/>
      </c>
      <c r="B206">
        <f t="array" ref="B206">IFERROR(INDEX('Work Items'!$B$6:$B$5000,SMALL(IF('Work Items'!$A$6:$A$5000="CR",ROW('Work Items'!$A$6:$A$5000)-ROW('Work Items'!$A$6)+1),202)),"")</f>
        <v/>
      </c>
      <c r="C206">
        <f t="array" ref="C206">IFERROR(INDEX('Work Items'!$C$6:$C$5000,SMALL(IF('Work Items'!$A$6:$A$5000="CR",ROW('Work Items'!$A$6:$A$5000)-ROW('Work Items'!$A$6)+1),202)),"")</f>
        <v/>
      </c>
      <c r="D206">
        <f t="array" ref="D206">IFERROR(INDEX('Work Items'!$D$6:$D$5000,SMALL(IF('Work Items'!$A$6:$A$5000="CR",ROW('Work Items'!$A$6:$A$5000)-ROW('Work Items'!$A$6)+1),202)),"")</f>
        <v/>
      </c>
      <c r="E206">
        <f t="array" ref="E206">IFERROR(INDEX('Work Items'!$E$6:$E$5000,SMALL(IF('Work Items'!$A$6:$A$5000="CR",ROW('Work Items'!$A$6:$A$5000)-ROW('Work Items'!$A$6)+1),202)),"")</f>
        <v/>
      </c>
      <c r="F206">
        <f t="array" ref="F206">IFERROR(INDEX('Work Items'!$F$6:$F$5000,SMALL(IF('Work Items'!$A$6:$A$5000="CR",ROW('Work Items'!$A$6:$A$5000)-ROW('Work Items'!$A$6)+1),202)),"")</f>
        <v/>
      </c>
      <c r="G206">
        <f t="array" ref="G206">IFERROR(INDEX('Work Items'!$J$6:$J$5000,SMALL(IF('Work Items'!$A$6:$A$5000="CR",ROW('Work Items'!$A$6:$A$5000)-ROW('Work Items'!$A$6)+1),202)),"")</f>
        <v/>
      </c>
      <c r="H206">
        <f t="array" ref="H206">IFERROR(INDEX('Work Items'!$K$6:$K$5000,SMALL(IF('Work Items'!$A$6:$A$5000="CR",ROW('Work Items'!$A$6:$A$5000)-ROW('Work Items'!$A$6)+1),202)),"")</f>
        <v/>
      </c>
      <c r="I206">
        <f t="array" ref="I206">IFERROR(INDEX('Work Items'!$L$6:$L$5000,SMALL(IF('Work Items'!$A$6:$A$5000="CR",ROW('Work Items'!$A$6:$A$5000)-ROW('Work Items'!$A$6)+1),202)),"")</f>
        <v/>
      </c>
      <c r="J206" s="217">
        <f t="array" ref="J206">IFERROR(INDEX('Work Items'!$M$6:$M$5000,SMALL(IF('Work Items'!$A$6:$A$5000="CR",ROW('Work Items'!$A$6:$A$5000)-ROW('Work Items'!$A$6)+1),202)),"")</f>
        <v/>
      </c>
      <c r="K206" s="217">
        <f t="array" ref="K206">IFERROR(INDEX('Work Items'!$Q$6:$Q$5000,SMALL(IF('Work Items'!$A$6:$A$5000="CR",ROW('Work Items'!$A$6:$A$5000)-ROW('Work Items'!$A$6)+1),202)),"")</f>
        <v/>
      </c>
      <c r="L206">
        <f t="array" ref="L206">IFERROR(INDEX('Work Items'!$N$6:$N$5000,SMALL(IF('Work Items'!$A$6:$A$5000="CR",ROW('Work Items'!$A$6:$A$5000)-ROW('Work Items'!$A$6)+1),202)),"")</f>
        <v/>
      </c>
      <c r="M206">
        <f t="array" ref="M206">IFERROR(INDEX('Work Items'!$O$6:$O$5000,SMALL(IF('Work Items'!$A$6:$A$5000="CR",ROW('Work Items'!$A$6:$A$5000)-ROW('Work Items'!$A$6)+1),202)),"")</f>
        <v/>
      </c>
    </row>
    <row r="207">
      <c r="A207">
        <f t="array" ref="A207">IFERROR(INDEX('Work Items'!$A$6:$A$5000,SMALL(IF('Work Items'!$A$6:$A$5000="CR",ROW('Work Items'!$A$6:$A$5000)-ROW('Work Items'!$A$6)+1),203)),"")</f>
        <v/>
      </c>
      <c r="B207">
        <f t="array" ref="B207">IFERROR(INDEX('Work Items'!$B$6:$B$5000,SMALL(IF('Work Items'!$A$6:$A$5000="CR",ROW('Work Items'!$A$6:$A$5000)-ROW('Work Items'!$A$6)+1),203)),"")</f>
        <v/>
      </c>
      <c r="C207">
        <f t="array" ref="C207">IFERROR(INDEX('Work Items'!$C$6:$C$5000,SMALL(IF('Work Items'!$A$6:$A$5000="CR",ROW('Work Items'!$A$6:$A$5000)-ROW('Work Items'!$A$6)+1),203)),"")</f>
        <v/>
      </c>
      <c r="D207">
        <f t="array" ref="D207">IFERROR(INDEX('Work Items'!$D$6:$D$5000,SMALL(IF('Work Items'!$A$6:$A$5000="CR",ROW('Work Items'!$A$6:$A$5000)-ROW('Work Items'!$A$6)+1),203)),"")</f>
        <v/>
      </c>
      <c r="E207">
        <f t="array" ref="E207">IFERROR(INDEX('Work Items'!$E$6:$E$5000,SMALL(IF('Work Items'!$A$6:$A$5000="CR",ROW('Work Items'!$A$6:$A$5000)-ROW('Work Items'!$A$6)+1),203)),"")</f>
        <v/>
      </c>
      <c r="F207">
        <f t="array" ref="F207">IFERROR(INDEX('Work Items'!$F$6:$F$5000,SMALL(IF('Work Items'!$A$6:$A$5000="CR",ROW('Work Items'!$A$6:$A$5000)-ROW('Work Items'!$A$6)+1),203)),"")</f>
        <v/>
      </c>
      <c r="G207">
        <f t="array" ref="G207">IFERROR(INDEX('Work Items'!$J$6:$J$5000,SMALL(IF('Work Items'!$A$6:$A$5000="CR",ROW('Work Items'!$A$6:$A$5000)-ROW('Work Items'!$A$6)+1),203)),"")</f>
        <v/>
      </c>
      <c r="H207">
        <f t="array" ref="H207">IFERROR(INDEX('Work Items'!$K$6:$K$5000,SMALL(IF('Work Items'!$A$6:$A$5000="CR",ROW('Work Items'!$A$6:$A$5000)-ROW('Work Items'!$A$6)+1),203)),"")</f>
        <v/>
      </c>
      <c r="I207">
        <f t="array" ref="I207">IFERROR(INDEX('Work Items'!$L$6:$L$5000,SMALL(IF('Work Items'!$A$6:$A$5000="CR",ROW('Work Items'!$A$6:$A$5000)-ROW('Work Items'!$A$6)+1),203)),"")</f>
        <v/>
      </c>
      <c r="J207" s="217">
        <f t="array" ref="J207">IFERROR(INDEX('Work Items'!$M$6:$M$5000,SMALL(IF('Work Items'!$A$6:$A$5000="CR",ROW('Work Items'!$A$6:$A$5000)-ROW('Work Items'!$A$6)+1),203)),"")</f>
        <v/>
      </c>
      <c r="K207" s="217">
        <f t="array" ref="K207">IFERROR(INDEX('Work Items'!$Q$6:$Q$5000,SMALL(IF('Work Items'!$A$6:$A$5000="CR",ROW('Work Items'!$A$6:$A$5000)-ROW('Work Items'!$A$6)+1),203)),"")</f>
        <v/>
      </c>
      <c r="L207">
        <f t="array" ref="L207">IFERROR(INDEX('Work Items'!$N$6:$N$5000,SMALL(IF('Work Items'!$A$6:$A$5000="CR",ROW('Work Items'!$A$6:$A$5000)-ROW('Work Items'!$A$6)+1),203)),"")</f>
        <v/>
      </c>
      <c r="M207">
        <f t="array" ref="M207">IFERROR(INDEX('Work Items'!$O$6:$O$5000,SMALL(IF('Work Items'!$A$6:$A$5000="CR",ROW('Work Items'!$A$6:$A$5000)-ROW('Work Items'!$A$6)+1),203)),"")</f>
        <v/>
      </c>
    </row>
    <row r="208">
      <c r="A208">
        <f t="array" ref="A208">IFERROR(INDEX('Work Items'!$A$6:$A$5000,SMALL(IF('Work Items'!$A$6:$A$5000="CR",ROW('Work Items'!$A$6:$A$5000)-ROW('Work Items'!$A$6)+1),204)),"")</f>
        <v/>
      </c>
      <c r="B208">
        <f t="array" ref="B208">IFERROR(INDEX('Work Items'!$B$6:$B$5000,SMALL(IF('Work Items'!$A$6:$A$5000="CR",ROW('Work Items'!$A$6:$A$5000)-ROW('Work Items'!$A$6)+1),204)),"")</f>
        <v/>
      </c>
      <c r="C208">
        <f t="array" ref="C208">IFERROR(INDEX('Work Items'!$C$6:$C$5000,SMALL(IF('Work Items'!$A$6:$A$5000="CR",ROW('Work Items'!$A$6:$A$5000)-ROW('Work Items'!$A$6)+1),204)),"")</f>
        <v/>
      </c>
      <c r="D208">
        <f t="array" ref="D208">IFERROR(INDEX('Work Items'!$D$6:$D$5000,SMALL(IF('Work Items'!$A$6:$A$5000="CR",ROW('Work Items'!$A$6:$A$5000)-ROW('Work Items'!$A$6)+1),204)),"")</f>
        <v/>
      </c>
      <c r="E208">
        <f t="array" ref="E208">IFERROR(INDEX('Work Items'!$E$6:$E$5000,SMALL(IF('Work Items'!$A$6:$A$5000="CR",ROW('Work Items'!$A$6:$A$5000)-ROW('Work Items'!$A$6)+1),204)),"")</f>
        <v/>
      </c>
      <c r="F208">
        <f t="array" ref="F208">IFERROR(INDEX('Work Items'!$F$6:$F$5000,SMALL(IF('Work Items'!$A$6:$A$5000="CR",ROW('Work Items'!$A$6:$A$5000)-ROW('Work Items'!$A$6)+1),204)),"")</f>
        <v/>
      </c>
      <c r="G208">
        <f t="array" ref="G208">IFERROR(INDEX('Work Items'!$J$6:$J$5000,SMALL(IF('Work Items'!$A$6:$A$5000="CR",ROW('Work Items'!$A$6:$A$5000)-ROW('Work Items'!$A$6)+1),204)),"")</f>
        <v/>
      </c>
      <c r="H208">
        <f t="array" ref="H208">IFERROR(INDEX('Work Items'!$K$6:$K$5000,SMALL(IF('Work Items'!$A$6:$A$5000="CR",ROW('Work Items'!$A$6:$A$5000)-ROW('Work Items'!$A$6)+1),204)),"")</f>
        <v/>
      </c>
      <c r="I208">
        <f t="array" ref="I208">IFERROR(INDEX('Work Items'!$L$6:$L$5000,SMALL(IF('Work Items'!$A$6:$A$5000="CR",ROW('Work Items'!$A$6:$A$5000)-ROW('Work Items'!$A$6)+1),204)),"")</f>
        <v/>
      </c>
      <c r="J208" s="217">
        <f t="array" ref="J208">IFERROR(INDEX('Work Items'!$M$6:$M$5000,SMALL(IF('Work Items'!$A$6:$A$5000="CR",ROW('Work Items'!$A$6:$A$5000)-ROW('Work Items'!$A$6)+1),204)),"")</f>
        <v/>
      </c>
      <c r="K208" s="217">
        <f t="array" ref="K208">IFERROR(INDEX('Work Items'!$Q$6:$Q$5000,SMALL(IF('Work Items'!$A$6:$A$5000="CR",ROW('Work Items'!$A$6:$A$5000)-ROW('Work Items'!$A$6)+1),204)),"")</f>
        <v/>
      </c>
      <c r="L208">
        <f t="array" ref="L208">IFERROR(INDEX('Work Items'!$N$6:$N$5000,SMALL(IF('Work Items'!$A$6:$A$5000="CR",ROW('Work Items'!$A$6:$A$5000)-ROW('Work Items'!$A$6)+1),204)),"")</f>
        <v/>
      </c>
      <c r="M208">
        <f t="array" ref="M208">IFERROR(INDEX('Work Items'!$O$6:$O$5000,SMALL(IF('Work Items'!$A$6:$A$5000="CR",ROW('Work Items'!$A$6:$A$5000)-ROW('Work Items'!$A$6)+1),204)),"")</f>
        <v/>
      </c>
    </row>
    <row r="209">
      <c r="A209">
        <f t="array" ref="A209">IFERROR(INDEX('Work Items'!$A$6:$A$5000,SMALL(IF('Work Items'!$A$6:$A$5000="CR",ROW('Work Items'!$A$6:$A$5000)-ROW('Work Items'!$A$6)+1),205)),"")</f>
        <v/>
      </c>
      <c r="B209">
        <f t="array" ref="B209">IFERROR(INDEX('Work Items'!$B$6:$B$5000,SMALL(IF('Work Items'!$A$6:$A$5000="CR",ROW('Work Items'!$A$6:$A$5000)-ROW('Work Items'!$A$6)+1),205)),"")</f>
        <v/>
      </c>
      <c r="C209">
        <f t="array" ref="C209">IFERROR(INDEX('Work Items'!$C$6:$C$5000,SMALL(IF('Work Items'!$A$6:$A$5000="CR",ROW('Work Items'!$A$6:$A$5000)-ROW('Work Items'!$A$6)+1),205)),"")</f>
        <v/>
      </c>
      <c r="D209">
        <f t="array" ref="D209">IFERROR(INDEX('Work Items'!$D$6:$D$5000,SMALL(IF('Work Items'!$A$6:$A$5000="CR",ROW('Work Items'!$A$6:$A$5000)-ROW('Work Items'!$A$6)+1),205)),"")</f>
        <v/>
      </c>
      <c r="E209">
        <f t="array" ref="E209">IFERROR(INDEX('Work Items'!$E$6:$E$5000,SMALL(IF('Work Items'!$A$6:$A$5000="CR",ROW('Work Items'!$A$6:$A$5000)-ROW('Work Items'!$A$6)+1),205)),"")</f>
        <v/>
      </c>
      <c r="F209">
        <f t="array" ref="F209">IFERROR(INDEX('Work Items'!$F$6:$F$5000,SMALL(IF('Work Items'!$A$6:$A$5000="CR",ROW('Work Items'!$A$6:$A$5000)-ROW('Work Items'!$A$6)+1),205)),"")</f>
        <v/>
      </c>
      <c r="G209">
        <f t="array" ref="G209">IFERROR(INDEX('Work Items'!$J$6:$J$5000,SMALL(IF('Work Items'!$A$6:$A$5000="CR",ROW('Work Items'!$A$6:$A$5000)-ROW('Work Items'!$A$6)+1),205)),"")</f>
        <v/>
      </c>
      <c r="H209">
        <f t="array" ref="H209">IFERROR(INDEX('Work Items'!$K$6:$K$5000,SMALL(IF('Work Items'!$A$6:$A$5000="CR",ROW('Work Items'!$A$6:$A$5000)-ROW('Work Items'!$A$6)+1),205)),"")</f>
        <v/>
      </c>
      <c r="I209">
        <f t="array" ref="I209">IFERROR(INDEX('Work Items'!$L$6:$L$5000,SMALL(IF('Work Items'!$A$6:$A$5000="CR",ROW('Work Items'!$A$6:$A$5000)-ROW('Work Items'!$A$6)+1),205)),"")</f>
        <v/>
      </c>
      <c r="J209" s="217">
        <f t="array" ref="J209">IFERROR(INDEX('Work Items'!$M$6:$M$5000,SMALL(IF('Work Items'!$A$6:$A$5000="CR",ROW('Work Items'!$A$6:$A$5000)-ROW('Work Items'!$A$6)+1),205)),"")</f>
        <v/>
      </c>
      <c r="K209" s="217">
        <f t="array" ref="K209">IFERROR(INDEX('Work Items'!$Q$6:$Q$5000,SMALL(IF('Work Items'!$A$6:$A$5000="CR",ROW('Work Items'!$A$6:$A$5000)-ROW('Work Items'!$A$6)+1),205)),"")</f>
        <v/>
      </c>
      <c r="L209">
        <f t="array" ref="L209">IFERROR(INDEX('Work Items'!$N$6:$N$5000,SMALL(IF('Work Items'!$A$6:$A$5000="CR",ROW('Work Items'!$A$6:$A$5000)-ROW('Work Items'!$A$6)+1),205)),"")</f>
        <v/>
      </c>
      <c r="M209">
        <f t="array" ref="M209">IFERROR(INDEX('Work Items'!$O$6:$O$5000,SMALL(IF('Work Items'!$A$6:$A$5000="CR",ROW('Work Items'!$A$6:$A$5000)-ROW('Work Items'!$A$6)+1),205)),"")</f>
        <v/>
      </c>
    </row>
    <row r="210">
      <c r="A210">
        <f t="array" ref="A210">IFERROR(INDEX('Work Items'!$A$6:$A$5000,SMALL(IF('Work Items'!$A$6:$A$5000="CR",ROW('Work Items'!$A$6:$A$5000)-ROW('Work Items'!$A$6)+1),206)),"")</f>
        <v/>
      </c>
      <c r="B210">
        <f t="array" ref="B210">IFERROR(INDEX('Work Items'!$B$6:$B$5000,SMALL(IF('Work Items'!$A$6:$A$5000="CR",ROW('Work Items'!$A$6:$A$5000)-ROW('Work Items'!$A$6)+1),206)),"")</f>
        <v/>
      </c>
      <c r="C210">
        <f t="array" ref="C210">IFERROR(INDEX('Work Items'!$C$6:$C$5000,SMALL(IF('Work Items'!$A$6:$A$5000="CR",ROW('Work Items'!$A$6:$A$5000)-ROW('Work Items'!$A$6)+1),206)),"")</f>
        <v/>
      </c>
      <c r="D210">
        <f t="array" ref="D210">IFERROR(INDEX('Work Items'!$D$6:$D$5000,SMALL(IF('Work Items'!$A$6:$A$5000="CR",ROW('Work Items'!$A$6:$A$5000)-ROW('Work Items'!$A$6)+1),206)),"")</f>
        <v/>
      </c>
      <c r="E210">
        <f t="array" ref="E210">IFERROR(INDEX('Work Items'!$E$6:$E$5000,SMALL(IF('Work Items'!$A$6:$A$5000="CR",ROW('Work Items'!$A$6:$A$5000)-ROW('Work Items'!$A$6)+1),206)),"")</f>
        <v/>
      </c>
      <c r="F210">
        <f t="array" ref="F210">IFERROR(INDEX('Work Items'!$F$6:$F$5000,SMALL(IF('Work Items'!$A$6:$A$5000="CR",ROW('Work Items'!$A$6:$A$5000)-ROW('Work Items'!$A$6)+1),206)),"")</f>
        <v/>
      </c>
      <c r="G210">
        <f t="array" ref="G210">IFERROR(INDEX('Work Items'!$J$6:$J$5000,SMALL(IF('Work Items'!$A$6:$A$5000="CR",ROW('Work Items'!$A$6:$A$5000)-ROW('Work Items'!$A$6)+1),206)),"")</f>
        <v/>
      </c>
      <c r="H210">
        <f t="array" ref="H210">IFERROR(INDEX('Work Items'!$K$6:$K$5000,SMALL(IF('Work Items'!$A$6:$A$5000="CR",ROW('Work Items'!$A$6:$A$5000)-ROW('Work Items'!$A$6)+1),206)),"")</f>
        <v/>
      </c>
      <c r="I210">
        <f t="array" ref="I210">IFERROR(INDEX('Work Items'!$L$6:$L$5000,SMALL(IF('Work Items'!$A$6:$A$5000="CR",ROW('Work Items'!$A$6:$A$5000)-ROW('Work Items'!$A$6)+1),206)),"")</f>
        <v/>
      </c>
      <c r="J210" s="217">
        <f t="array" ref="J210">IFERROR(INDEX('Work Items'!$M$6:$M$5000,SMALL(IF('Work Items'!$A$6:$A$5000="CR",ROW('Work Items'!$A$6:$A$5000)-ROW('Work Items'!$A$6)+1),206)),"")</f>
        <v/>
      </c>
      <c r="K210" s="217">
        <f t="array" ref="K210">IFERROR(INDEX('Work Items'!$Q$6:$Q$5000,SMALL(IF('Work Items'!$A$6:$A$5000="CR",ROW('Work Items'!$A$6:$A$5000)-ROW('Work Items'!$A$6)+1),206)),"")</f>
        <v/>
      </c>
      <c r="L210">
        <f t="array" ref="L210">IFERROR(INDEX('Work Items'!$N$6:$N$5000,SMALL(IF('Work Items'!$A$6:$A$5000="CR",ROW('Work Items'!$A$6:$A$5000)-ROW('Work Items'!$A$6)+1),206)),"")</f>
        <v/>
      </c>
      <c r="M210">
        <f t="array" ref="M210">IFERROR(INDEX('Work Items'!$O$6:$O$5000,SMALL(IF('Work Items'!$A$6:$A$5000="CR",ROW('Work Items'!$A$6:$A$5000)-ROW('Work Items'!$A$6)+1),206)),"")</f>
        <v/>
      </c>
    </row>
    <row r="211">
      <c r="A211">
        <f t="array" ref="A211">IFERROR(INDEX('Work Items'!$A$6:$A$5000,SMALL(IF('Work Items'!$A$6:$A$5000="CR",ROW('Work Items'!$A$6:$A$5000)-ROW('Work Items'!$A$6)+1),207)),"")</f>
        <v/>
      </c>
      <c r="B211">
        <f t="array" ref="B211">IFERROR(INDEX('Work Items'!$B$6:$B$5000,SMALL(IF('Work Items'!$A$6:$A$5000="CR",ROW('Work Items'!$A$6:$A$5000)-ROW('Work Items'!$A$6)+1),207)),"")</f>
        <v/>
      </c>
      <c r="C211">
        <f t="array" ref="C211">IFERROR(INDEX('Work Items'!$C$6:$C$5000,SMALL(IF('Work Items'!$A$6:$A$5000="CR",ROW('Work Items'!$A$6:$A$5000)-ROW('Work Items'!$A$6)+1),207)),"")</f>
        <v/>
      </c>
      <c r="D211">
        <f t="array" ref="D211">IFERROR(INDEX('Work Items'!$D$6:$D$5000,SMALL(IF('Work Items'!$A$6:$A$5000="CR",ROW('Work Items'!$A$6:$A$5000)-ROW('Work Items'!$A$6)+1),207)),"")</f>
        <v/>
      </c>
      <c r="E211">
        <f t="array" ref="E211">IFERROR(INDEX('Work Items'!$E$6:$E$5000,SMALL(IF('Work Items'!$A$6:$A$5000="CR",ROW('Work Items'!$A$6:$A$5000)-ROW('Work Items'!$A$6)+1),207)),"")</f>
        <v/>
      </c>
      <c r="F211">
        <f t="array" ref="F211">IFERROR(INDEX('Work Items'!$F$6:$F$5000,SMALL(IF('Work Items'!$A$6:$A$5000="CR",ROW('Work Items'!$A$6:$A$5000)-ROW('Work Items'!$A$6)+1),207)),"")</f>
        <v/>
      </c>
      <c r="G211">
        <f t="array" ref="G211">IFERROR(INDEX('Work Items'!$J$6:$J$5000,SMALL(IF('Work Items'!$A$6:$A$5000="CR",ROW('Work Items'!$A$6:$A$5000)-ROW('Work Items'!$A$6)+1),207)),"")</f>
        <v/>
      </c>
      <c r="H211">
        <f t="array" ref="H211">IFERROR(INDEX('Work Items'!$K$6:$K$5000,SMALL(IF('Work Items'!$A$6:$A$5000="CR",ROW('Work Items'!$A$6:$A$5000)-ROW('Work Items'!$A$6)+1),207)),"")</f>
        <v/>
      </c>
      <c r="I211">
        <f t="array" ref="I211">IFERROR(INDEX('Work Items'!$L$6:$L$5000,SMALL(IF('Work Items'!$A$6:$A$5000="CR",ROW('Work Items'!$A$6:$A$5000)-ROW('Work Items'!$A$6)+1),207)),"")</f>
        <v/>
      </c>
      <c r="J211" s="217">
        <f t="array" ref="J211">IFERROR(INDEX('Work Items'!$M$6:$M$5000,SMALL(IF('Work Items'!$A$6:$A$5000="CR",ROW('Work Items'!$A$6:$A$5000)-ROW('Work Items'!$A$6)+1),207)),"")</f>
        <v/>
      </c>
      <c r="K211" s="217">
        <f t="array" ref="K211">IFERROR(INDEX('Work Items'!$Q$6:$Q$5000,SMALL(IF('Work Items'!$A$6:$A$5000="CR",ROW('Work Items'!$A$6:$A$5000)-ROW('Work Items'!$A$6)+1),207)),"")</f>
        <v/>
      </c>
      <c r="L211">
        <f t="array" ref="L211">IFERROR(INDEX('Work Items'!$N$6:$N$5000,SMALL(IF('Work Items'!$A$6:$A$5000="CR",ROW('Work Items'!$A$6:$A$5000)-ROW('Work Items'!$A$6)+1),207)),"")</f>
        <v/>
      </c>
      <c r="M211">
        <f t="array" ref="M211">IFERROR(INDEX('Work Items'!$O$6:$O$5000,SMALL(IF('Work Items'!$A$6:$A$5000="CR",ROW('Work Items'!$A$6:$A$5000)-ROW('Work Items'!$A$6)+1),207)),"")</f>
        <v/>
      </c>
    </row>
    <row r="212">
      <c r="A212">
        <f t="array" ref="A212">IFERROR(INDEX('Work Items'!$A$6:$A$5000,SMALL(IF('Work Items'!$A$6:$A$5000="CR",ROW('Work Items'!$A$6:$A$5000)-ROW('Work Items'!$A$6)+1),208)),"")</f>
        <v/>
      </c>
      <c r="B212">
        <f t="array" ref="B212">IFERROR(INDEX('Work Items'!$B$6:$B$5000,SMALL(IF('Work Items'!$A$6:$A$5000="CR",ROW('Work Items'!$A$6:$A$5000)-ROW('Work Items'!$A$6)+1),208)),"")</f>
        <v/>
      </c>
      <c r="C212">
        <f t="array" ref="C212">IFERROR(INDEX('Work Items'!$C$6:$C$5000,SMALL(IF('Work Items'!$A$6:$A$5000="CR",ROW('Work Items'!$A$6:$A$5000)-ROW('Work Items'!$A$6)+1),208)),"")</f>
        <v/>
      </c>
      <c r="D212">
        <f t="array" ref="D212">IFERROR(INDEX('Work Items'!$D$6:$D$5000,SMALL(IF('Work Items'!$A$6:$A$5000="CR",ROW('Work Items'!$A$6:$A$5000)-ROW('Work Items'!$A$6)+1),208)),"")</f>
        <v/>
      </c>
      <c r="E212">
        <f t="array" ref="E212">IFERROR(INDEX('Work Items'!$E$6:$E$5000,SMALL(IF('Work Items'!$A$6:$A$5000="CR",ROW('Work Items'!$A$6:$A$5000)-ROW('Work Items'!$A$6)+1),208)),"")</f>
        <v/>
      </c>
      <c r="F212">
        <f t="array" ref="F212">IFERROR(INDEX('Work Items'!$F$6:$F$5000,SMALL(IF('Work Items'!$A$6:$A$5000="CR",ROW('Work Items'!$A$6:$A$5000)-ROW('Work Items'!$A$6)+1),208)),"")</f>
        <v/>
      </c>
      <c r="G212">
        <f t="array" ref="G212">IFERROR(INDEX('Work Items'!$J$6:$J$5000,SMALL(IF('Work Items'!$A$6:$A$5000="CR",ROW('Work Items'!$A$6:$A$5000)-ROW('Work Items'!$A$6)+1),208)),"")</f>
        <v/>
      </c>
      <c r="H212">
        <f t="array" ref="H212">IFERROR(INDEX('Work Items'!$K$6:$K$5000,SMALL(IF('Work Items'!$A$6:$A$5000="CR",ROW('Work Items'!$A$6:$A$5000)-ROW('Work Items'!$A$6)+1),208)),"")</f>
        <v/>
      </c>
      <c r="I212">
        <f t="array" ref="I212">IFERROR(INDEX('Work Items'!$L$6:$L$5000,SMALL(IF('Work Items'!$A$6:$A$5000="CR",ROW('Work Items'!$A$6:$A$5000)-ROW('Work Items'!$A$6)+1),208)),"")</f>
        <v/>
      </c>
      <c r="J212" s="217">
        <f t="array" ref="J212">IFERROR(INDEX('Work Items'!$M$6:$M$5000,SMALL(IF('Work Items'!$A$6:$A$5000="CR",ROW('Work Items'!$A$6:$A$5000)-ROW('Work Items'!$A$6)+1),208)),"")</f>
        <v/>
      </c>
      <c r="K212" s="217">
        <f t="array" ref="K212">IFERROR(INDEX('Work Items'!$Q$6:$Q$5000,SMALL(IF('Work Items'!$A$6:$A$5000="CR",ROW('Work Items'!$A$6:$A$5000)-ROW('Work Items'!$A$6)+1),208)),"")</f>
        <v/>
      </c>
      <c r="L212">
        <f t="array" ref="L212">IFERROR(INDEX('Work Items'!$N$6:$N$5000,SMALL(IF('Work Items'!$A$6:$A$5000="CR",ROW('Work Items'!$A$6:$A$5000)-ROW('Work Items'!$A$6)+1),208)),"")</f>
        <v/>
      </c>
      <c r="M212">
        <f t="array" ref="M212">IFERROR(INDEX('Work Items'!$O$6:$O$5000,SMALL(IF('Work Items'!$A$6:$A$5000="CR",ROW('Work Items'!$A$6:$A$5000)-ROW('Work Items'!$A$6)+1),208)),"")</f>
        <v/>
      </c>
    </row>
    <row r="213">
      <c r="A213">
        <f t="array" ref="A213">IFERROR(INDEX('Work Items'!$A$6:$A$5000,SMALL(IF('Work Items'!$A$6:$A$5000="CR",ROW('Work Items'!$A$6:$A$5000)-ROW('Work Items'!$A$6)+1),209)),"")</f>
        <v/>
      </c>
      <c r="B213">
        <f t="array" ref="B213">IFERROR(INDEX('Work Items'!$B$6:$B$5000,SMALL(IF('Work Items'!$A$6:$A$5000="CR",ROW('Work Items'!$A$6:$A$5000)-ROW('Work Items'!$A$6)+1),209)),"")</f>
        <v/>
      </c>
      <c r="C213">
        <f t="array" ref="C213">IFERROR(INDEX('Work Items'!$C$6:$C$5000,SMALL(IF('Work Items'!$A$6:$A$5000="CR",ROW('Work Items'!$A$6:$A$5000)-ROW('Work Items'!$A$6)+1),209)),"")</f>
        <v/>
      </c>
      <c r="D213">
        <f t="array" ref="D213">IFERROR(INDEX('Work Items'!$D$6:$D$5000,SMALL(IF('Work Items'!$A$6:$A$5000="CR",ROW('Work Items'!$A$6:$A$5000)-ROW('Work Items'!$A$6)+1),209)),"")</f>
        <v/>
      </c>
      <c r="E213">
        <f t="array" ref="E213">IFERROR(INDEX('Work Items'!$E$6:$E$5000,SMALL(IF('Work Items'!$A$6:$A$5000="CR",ROW('Work Items'!$A$6:$A$5000)-ROW('Work Items'!$A$6)+1),209)),"")</f>
        <v/>
      </c>
      <c r="F213">
        <f t="array" ref="F213">IFERROR(INDEX('Work Items'!$F$6:$F$5000,SMALL(IF('Work Items'!$A$6:$A$5000="CR",ROW('Work Items'!$A$6:$A$5000)-ROW('Work Items'!$A$6)+1),209)),"")</f>
        <v/>
      </c>
      <c r="G213">
        <f t="array" ref="G213">IFERROR(INDEX('Work Items'!$J$6:$J$5000,SMALL(IF('Work Items'!$A$6:$A$5000="CR",ROW('Work Items'!$A$6:$A$5000)-ROW('Work Items'!$A$6)+1),209)),"")</f>
        <v/>
      </c>
      <c r="H213">
        <f t="array" ref="H213">IFERROR(INDEX('Work Items'!$K$6:$K$5000,SMALL(IF('Work Items'!$A$6:$A$5000="CR",ROW('Work Items'!$A$6:$A$5000)-ROW('Work Items'!$A$6)+1),209)),"")</f>
        <v/>
      </c>
      <c r="I213">
        <f t="array" ref="I213">IFERROR(INDEX('Work Items'!$L$6:$L$5000,SMALL(IF('Work Items'!$A$6:$A$5000="CR",ROW('Work Items'!$A$6:$A$5000)-ROW('Work Items'!$A$6)+1),209)),"")</f>
        <v/>
      </c>
      <c r="J213" s="217">
        <f t="array" ref="J213">IFERROR(INDEX('Work Items'!$M$6:$M$5000,SMALL(IF('Work Items'!$A$6:$A$5000="CR",ROW('Work Items'!$A$6:$A$5000)-ROW('Work Items'!$A$6)+1),209)),"")</f>
        <v/>
      </c>
      <c r="K213" s="217">
        <f t="array" ref="K213">IFERROR(INDEX('Work Items'!$Q$6:$Q$5000,SMALL(IF('Work Items'!$A$6:$A$5000="CR",ROW('Work Items'!$A$6:$A$5000)-ROW('Work Items'!$A$6)+1),209)),"")</f>
        <v/>
      </c>
      <c r="L213">
        <f t="array" ref="L213">IFERROR(INDEX('Work Items'!$N$6:$N$5000,SMALL(IF('Work Items'!$A$6:$A$5000="CR",ROW('Work Items'!$A$6:$A$5000)-ROW('Work Items'!$A$6)+1),209)),"")</f>
        <v/>
      </c>
      <c r="M213">
        <f t="array" ref="M213">IFERROR(INDEX('Work Items'!$O$6:$O$5000,SMALL(IF('Work Items'!$A$6:$A$5000="CR",ROW('Work Items'!$A$6:$A$5000)-ROW('Work Items'!$A$6)+1),209)),"")</f>
        <v/>
      </c>
    </row>
    <row r="214">
      <c r="A214">
        <f t="array" ref="A214">IFERROR(INDEX('Work Items'!$A$6:$A$5000,SMALL(IF('Work Items'!$A$6:$A$5000="CR",ROW('Work Items'!$A$6:$A$5000)-ROW('Work Items'!$A$6)+1),210)),"")</f>
        <v/>
      </c>
      <c r="B214">
        <f t="array" ref="B214">IFERROR(INDEX('Work Items'!$B$6:$B$5000,SMALL(IF('Work Items'!$A$6:$A$5000="CR",ROW('Work Items'!$A$6:$A$5000)-ROW('Work Items'!$A$6)+1),210)),"")</f>
        <v/>
      </c>
      <c r="C214">
        <f t="array" ref="C214">IFERROR(INDEX('Work Items'!$C$6:$C$5000,SMALL(IF('Work Items'!$A$6:$A$5000="CR",ROW('Work Items'!$A$6:$A$5000)-ROW('Work Items'!$A$6)+1),210)),"")</f>
        <v/>
      </c>
      <c r="D214">
        <f t="array" ref="D214">IFERROR(INDEX('Work Items'!$D$6:$D$5000,SMALL(IF('Work Items'!$A$6:$A$5000="CR",ROW('Work Items'!$A$6:$A$5000)-ROW('Work Items'!$A$6)+1),210)),"")</f>
        <v/>
      </c>
      <c r="E214">
        <f t="array" ref="E214">IFERROR(INDEX('Work Items'!$E$6:$E$5000,SMALL(IF('Work Items'!$A$6:$A$5000="CR",ROW('Work Items'!$A$6:$A$5000)-ROW('Work Items'!$A$6)+1),210)),"")</f>
        <v/>
      </c>
      <c r="F214">
        <f t="array" ref="F214">IFERROR(INDEX('Work Items'!$F$6:$F$5000,SMALL(IF('Work Items'!$A$6:$A$5000="CR",ROW('Work Items'!$A$6:$A$5000)-ROW('Work Items'!$A$6)+1),210)),"")</f>
        <v/>
      </c>
      <c r="G214">
        <f t="array" ref="G214">IFERROR(INDEX('Work Items'!$J$6:$J$5000,SMALL(IF('Work Items'!$A$6:$A$5000="CR",ROW('Work Items'!$A$6:$A$5000)-ROW('Work Items'!$A$6)+1),210)),"")</f>
        <v/>
      </c>
      <c r="H214">
        <f t="array" ref="H214">IFERROR(INDEX('Work Items'!$K$6:$K$5000,SMALL(IF('Work Items'!$A$6:$A$5000="CR",ROW('Work Items'!$A$6:$A$5000)-ROW('Work Items'!$A$6)+1),210)),"")</f>
        <v/>
      </c>
      <c r="I214">
        <f t="array" ref="I214">IFERROR(INDEX('Work Items'!$L$6:$L$5000,SMALL(IF('Work Items'!$A$6:$A$5000="CR",ROW('Work Items'!$A$6:$A$5000)-ROW('Work Items'!$A$6)+1),210)),"")</f>
        <v/>
      </c>
      <c r="J214" s="217">
        <f t="array" ref="J214">IFERROR(INDEX('Work Items'!$M$6:$M$5000,SMALL(IF('Work Items'!$A$6:$A$5000="CR",ROW('Work Items'!$A$6:$A$5000)-ROW('Work Items'!$A$6)+1),210)),"")</f>
        <v/>
      </c>
      <c r="K214" s="217">
        <f t="array" ref="K214">IFERROR(INDEX('Work Items'!$Q$6:$Q$5000,SMALL(IF('Work Items'!$A$6:$A$5000="CR",ROW('Work Items'!$A$6:$A$5000)-ROW('Work Items'!$A$6)+1),210)),"")</f>
        <v/>
      </c>
      <c r="L214">
        <f t="array" ref="L214">IFERROR(INDEX('Work Items'!$N$6:$N$5000,SMALL(IF('Work Items'!$A$6:$A$5000="CR",ROW('Work Items'!$A$6:$A$5000)-ROW('Work Items'!$A$6)+1),210)),"")</f>
        <v/>
      </c>
      <c r="M214">
        <f t="array" ref="M214">IFERROR(INDEX('Work Items'!$O$6:$O$5000,SMALL(IF('Work Items'!$A$6:$A$5000="CR",ROW('Work Items'!$A$6:$A$5000)-ROW('Work Items'!$A$6)+1),210)),"")</f>
        <v/>
      </c>
    </row>
    <row r="215">
      <c r="A215">
        <f t="array" ref="A215">IFERROR(INDEX('Work Items'!$A$6:$A$5000,SMALL(IF('Work Items'!$A$6:$A$5000="CR",ROW('Work Items'!$A$6:$A$5000)-ROW('Work Items'!$A$6)+1),211)),"")</f>
        <v/>
      </c>
      <c r="B215">
        <f t="array" ref="B215">IFERROR(INDEX('Work Items'!$B$6:$B$5000,SMALL(IF('Work Items'!$A$6:$A$5000="CR",ROW('Work Items'!$A$6:$A$5000)-ROW('Work Items'!$A$6)+1),211)),"")</f>
        <v/>
      </c>
      <c r="C215">
        <f t="array" ref="C215">IFERROR(INDEX('Work Items'!$C$6:$C$5000,SMALL(IF('Work Items'!$A$6:$A$5000="CR",ROW('Work Items'!$A$6:$A$5000)-ROW('Work Items'!$A$6)+1),211)),"")</f>
        <v/>
      </c>
      <c r="D215">
        <f t="array" ref="D215">IFERROR(INDEX('Work Items'!$D$6:$D$5000,SMALL(IF('Work Items'!$A$6:$A$5000="CR",ROW('Work Items'!$A$6:$A$5000)-ROW('Work Items'!$A$6)+1),211)),"")</f>
        <v/>
      </c>
      <c r="E215">
        <f t="array" ref="E215">IFERROR(INDEX('Work Items'!$E$6:$E$5000,SMALL(IF('Work Items'!$A$6:$A$5000="CR",ROW('Work Items'!$A$6:$A$5000)-ROW('Work Items'!$A$6)+1),211)),"")</f>
        <v/>
      </c>
      <c r="F215">
        <f t="array" ref="F215">IFERROR(INDEX('Work Items'!$F$6:$F$5000,SMALL(IF('Work Items'!$A$6:$A$5000="CR",ROW('Work Items'!$A$6:$A$5000)-ROW('Work Items'!$A$6)+1),211)),"")</f>
        <v/>
      </c>
      <c r="G215">
        <f t="array" ref="G215">IFERROR(INDEX('Work Items'!$J$6:$J$5000,SMALL(IF('Work Items'!$A$6:$A$5000="CR",ROW('Work Items'!$A$6:$A$5000)-ROW('Work Items'!$A$6)+1),211)),"")</f>
        <v/>
      </c>
      <c r="H215">
        <f t="array" ref="H215">IFERROR(INDEX('Work Items'!$K$6:$K$5000,SMALL(IF('Work Items'!$A$6:$A$5000="CR",ROW('Work Items'!$A$6:$A$5000)-ROW('Work Items'!$A$6)+1),211)),"")</f>
        <v/>
      </c>
      <c r="I215">
        <f t="array" ref="I215">IFERROR(INDEX('Work Items'!$L$6:$L$5000,SMALL(IF('Work Items'!$A$6:$A$5000="CR",ROW('Work Items'!$A$6:$A$5000)-ROW('Work Items'!$A$6)+1),211)),"")</f>
        <v/>
      </c>
      <c r="J215" s="217">
        <f t="array" ref="J215">IFERROR(INDEX('Work Items'!$M$6:$M$5000,SMALL(IF('Work Items'!$A$6:$A$5000="CR",ROW('Work Items'!$A$6:$A$5000)-ROW('Work Items'!$A$6)+1),211)),"")</f>
        <v/>
      </c>
      <c r="K215" s="217">
        <f t="array" ref="K215">IFERROR(INDEX('Work Items'!$Q$6:$Q$5000,SMALL(IF('Work Items'!$A$6:$A$5000="CR",ROW('Work Items'!$A$6:$A$5000)-ROW('Work Items'!$A$6)+1),211)),"")</f>
        <v/>
      </c>
      <c r="L215">
        <f t="array" ref="L215">IFERROR(INDEX('Work Items'!$N$6:$N$5000,SMALL(IF('Work Items'!$A$6:$A$5000="CR",ROW('Work Items'!$A$6:$A$5000)-ROW('Work Items'!$A$6)+1),211)),"")</f>
        <v/>
      </c>
      <c r="M215">
        <f t="array" ref="M215">IFERROR(INDEX('Work Items'!$O$6:$O$5000,SMALL(IF('Work Items'!$A$6:$A$5000="CR",ROW('Work Items'!$A$6:$A$5000)-ROW('Work Items'!$A$6)+1),211)),"")</f>
        <v/>
      </c>
    </row>
    <row r="216">
      <c r="A216">
        <f t="array" ref="A216">IFERROR(INDEX('Work Items'!$A$6:$A$5000,SMALL(IF('Work Items'!$A$6:$A$5000="CR",ROW('Work Items'!$A$6:$A$5000)-ROW('Work Items'!$A$6)+1),212)),"")</f>
        <v/>
      </c>
      <c r="B216">
        <f t="array" ref="B216">IFERROR(INDEX('Work Items'!$B$6:$B$5000,SMALL(IF('Work Items'!$A$6:$A$5000="CR",ROW('Work Items'!$A$6:$A$5000)-ROW('Work Items'!$A$6)+1),212)),"")</f>
        <v/>
      </c>
      <c r="C216">
        <f t="array" ref="C216">IFERROR(INDEX('Work Items'!$C$6:$C$5000,SMALL(IF('Work Items'!$A$6:$A$5000="CR",ROW('Work Items'!$A$6:$A$5000)-ROW('Work Items'!$A$6)+1),212)),"")</f>
        <v/>
      </c>
      <c r="D216">
        <f t="array" ref="D216">IFERROR(INDEX('Work Items'!$D$6:$D$5000,SMALL(IF('Work Items'!$A$6:$A$5000="CR",ROW('Work Items'!$A$6:$A$5000)-ROW('Work Items'!$A$6)+1),212)),"")</f>
        <v/>
      </c>
      <c r="E216">
        <f t="array" ref="E216">IFERROR(INDEX('Work Items'!$E$6:$E$5000,SMALL(IF('Work Items'!$A$6:$A$5000="CR",ROW('Work Items'!$A$6:$A$5000)-ROW('Work Items'!$A$6)+1),212)),"")</f>
        <v/>
      </c>
      <c r="F216">
        <f t="array" ref="F216">IFERROR(INDEX('Work Items'!$F$6:$F$5000,SMALL(IF('Work Items'!$A$6:$A$5000="CR",ROW('Work Items'!$A$6:$A$5000)-ROW('Work Items'!$A$6)+1),212)),"")</f>
        <v/>
      </c>
      <c r="G216">
        <f t="array" ref="G216">IFERROR(INDEX('Work Items'!$J$6:$J$5000,SMALL(IF('Work Items'!$A$6:$A$5000="CR",ROW('Work Items'!$A$6:$A$5000)-ROW('Work Items'!$A$6)+1),212)),"")</f>
        <v/>
      </c>
      <c r="H216">
        <f t="array" ref="H216">IFERROR(INDEX('Work Items'!$K$6:$K$5000,SMALL(IF('Work Items'!$A$6:$A$5000="CR",ROW('Work Items'!$A$6:$A$5000)-ROW('Work Items'!$A$6)+1),212)),"")</f>
        <v/>
      </c>
      <c r="I216">
        <f t="array" ref="I216">IFERROR(INDEX('Work Items'!$L$6:$L$5000,SMALL(IF('Work Items'!$A$6:$A$5000="CR",ROW('Work Items'!$A$6:$A$5000)-ROW('Work Items'!$A$6)+1),212)),"")</f>
        <v/>
      </c>
      <c r="J216" s="217">
        <f t="array" ref="J216">IFERROR(INDEX('Work Items'!$M$6:$M$5000,SMALL(IF('Work Items'!$A$6:$A$5000="CR",ROW('Work Items'!$A$6:$A$5000)-ROW('Work Items'!$A$6)+1),212)),"")</f>
        <v/>
      </c>
      <c r="K216" s="217">
        <f t="array" ref="K216">IFERROR(INDEX('Work Items'!$Q$6:$Q$5000,SMALL(IF('Work Items'!$A$6:$A$5000="CR",ROW('Work Items'!$A$6:$A$5000)-ROW('Work Items'!$A$6)+1),212)),"")</f>
        <v/>
      </c>
      <c r="L216">
        <f t="array" ref="L216">IFERROR(INDEX('Work Items'!$N$6:$N$5000,SMALL(IF('Work Items'!$A$6:$A$5000="CR",ROW('Work Items'!$A$6:$A$5000)-ROW('Work Items'!$A$6)+1),212)),"")</f>
        <v/>
      </c>
      <c r="M216">
        <f t="array" ref="M216">IFERROR(INDEX('Work Items'!$O$6:$O$5000,SMALL(IF('Work Items'!$A$6:$A$5000="CR",ROW('Work Items'!$A$6:$A$5000)-ROW('Work Items'!$A$6)+1),212)),"")</f>
        <v/>
      </c>
    </row>
    <row r="217">
      <c r="A217">
        <f t="array" ref="A217">IFERROR(INDEX('Work Items'!$A$6:$A$5000,SMALL(IF('Work Items'!$A$6:$A$5000="CR",ROW('Work Items'!$A$6:$A$5000)-ROW('Work Items'!$A$6)+1),213)),"")</f>
        <v/>
      </c>
      <c r="B217">
        <f t="array" ref="B217">IFERROR(INDEX('Work Items'!$B$6:$B$5000,SMALL(IF('Work Items'!$A$6:$A$5000="CR",ROW('Work Items'!$A$6:$A$5000)-ROW('Work Items'!$A$6)+1),213)),"")</f>
        <v/>
      </c>
      <c r="C217">
        <f t="array" ref="C217">IFERROR(INDEX('Work Items'!$C$6:$C$5000,SMALL(IF('Work Items'!$A$6:$A$5000="CR",ROW('Work Items'!$A$6:$A$5000)-ROW('Work Items'!$A$6)+1),213)),"")</f>
        <v/>
      </c>
      <c r="D217">
        <f t="array" ref="D217">IFERROR(INDEX('Work Items'!$D$6:$D$5000,SMALL(IF('Work Items'!$A$6:$A$5000="CR",ROW('Work Items'!$A$6:$A$5000)-ROW('Work Items'!$A$6)+1),213)),"")</f>
        <v/>
      </c>
      <c r="E217">
        <f t="array" ref="E217">IFERROR(INDEX('Work Items'!$E$6:$E$5000,SMALL(IF('Work Items'!$A$6:$A$5000="CR",ROW('Work Items'!$A$6:$A$5000)-ROW('Work Items'!$A$6)+1),213)),"")</f>
        <v/>
      </c>
      <c r="F217">
        <f t="array" ref="F217">IFERROR(INDEX('Work Items'!$F$6:$F$5000,SMALL(IF('Work Items'!$A$6:$A$5000="CR",ROW('Work Items'!$A$6:$A$5000)-ROW('Work Items'!$A$6)+1),213)),"")</f>
        <v/>
      </c>
      <c r="G217">
        <f t="array" ref="G217">IFERROR(INDEX('Work Items'!$J$6:$J$5000,SMALL(IF('Work Items'!$A$6:$A$5000="CR",ROW('Work Items'!$A$6:$A$5000)-ROW('Work Items'!$A$6)+1),213)),"")</f>
        <v/>
      </c>
      <c r="H217">
        <f t="array" ref="H217">IFERROR(INDEX('Work Items'!$K$6:$K$5000,SMALL(IF('Work Items'!$A$6:$A$5000="CR",ROW('Work Items'!$A$6:$A$5000)-ROW('Work Items'!$A$6)+1),213)),"")</f>
        <v/>
      </c>
      <c r="I217">
        <f t="array" ref="I217">IFERROR(INDEX('Work Items'!$L$6:$L$5000,SMALL(IF('Work Items'!$A$6:$A$5000="CR",ROW('Work Items'!$A$6:$A$5000)-ROW('Work Items'!$A$6)+1),213)),"")</f>
        <v/>
      </c>
      <c r="J217" s="217">
        <f t="array" ref="J217">IFERROR(INDEX('Work Items'!$M$6:$M$5000,SMALL(IF('Work Items'!$A$6:$A$5000="CR",ROW('Work Items'!$A$6:$A$5000)-ROW('Work Items'!$A$6)+1),213)),"")</f>
        <v/>
      </c>
      <c r="K217" s="217">
        <f t="array" ref="K217">IFERROR(INDEX('Work Items'!$Q$6:$Q$5000,SMALL(IF('Work Items'!$A$6:$A$5000="CR",ROW('Work Items'!$A$6:$A$5000)-ROW('Work Items'!$A$6)+1),213)),"")</f>
        <v/>
      </c>
      <c r="L217">
        <f t="array" ref="L217">IFERROR(INDEX('Work Items'!$N$6:$N$5000,SMALL(IF('Work Items'!$A$6:$A$5000="CR",ROW('Work Items'!$A$6:$A$5000)-ROW('Work Items'!$A$6)+1),213)),"")</f>
        <v/>
      </c>
      <c r="M217">
        <f t="array" ref="M217">IFERROR(INDEX('Work Items'!$O$6:$O$5000,SMALL(IF('Work Items'!$A$6:$A$5000="CR",ROW('Work Items'!$A$6:$A$5000)-ROW('Work Items'!$A$6)+1),213)),"")</f>
        <v/>
      </c>
    </row>
    <row r="218">
      <c r="A218">
        <f t="array" ref="A218">IFERROR(INDEX('Work Items'!$A$6:$A$5000,SMALL(IF('Work Items'!$A$6:$A$5000="CR",ROW('Work Items'!$A$6:$A$5000)-ROW('Work Items'!$A$6)+1),214)),"")</f>
        <v/>
      </c>
      <c r="B218">
        <f t="array" ref="B218">IFERROR(INDEX('Work Items'!$B$6:$B$5000,SMALL(IF('Work Items'!$A$6:$A$5000="CR",ROW('Work Items'!$A$6:$A$5000)-ROW('Work Items'!$A$6)+1),214)),"")</f>
        <v/>
      </c>
      <c r="C218">
        <f t="array" ref="C218">IFERROR(INDEX('Work Items'!$C$6:$C$5000,SMALL(IF('Work Items'!$A$6:$A$5000="CR",ROW('Work Items'!$A$6:$A$5000)-ROW('Work Items'!$A$6)+1),214)),"")</f>
        <v/>
      </c>
      <c r="D218">
        <f t="array" ref="D218">IFERROR(INDEX('Work Items'!$D$6:$D$5000,SMALL(IF('Work Items'!$A$6:$A$5000="CR",ROW('Work Items'!$A$6:$A$5000)-ROW('Work Items'!$A$6)+1),214)),"")</f>
        <v/>
      </c>
      <c r="E218">
        <f t="array" ref="E218">IFERROR(INDEX('Work Items'!$E$6:$E$5000,SMALL(IF('Work Items'!$A$6:$A$5000="CR",ROW('Work Items'!$A$6:$A$5000)-ROW('Work Items'!$A$6)+1),214)),"")</f>
        <v/>
      </c>
      <c r="F218">
        <f t="array" ref="F218">IFERROR(INDEX('Work Items'!$F$6:$F$5000,SMALL(IF('Work Items'!$A$6:$A$5000="CR",ROW('Work Items'!$A$6:$A$5000)-ROW('Work Items'!$A$6)+1),214)),"")</f>
        <v/>
      </c>
      <c r="G218">
        <f t="array" ref="G218">IFERROR(INDEX('Work Items'!$J$6:$J$5000,SMALL(IF('Work Items'!$A$6:$A$5000="CR",ROW('Work Items'!$A$6:$A$5000)-ROW('Work Items'!$A$6)+1),214)),"")</f>
        <v/>
      </c>
      <c r="H218">
        <f t="array" ref="H218">IFERROR(INDEX('Work Items'!$K$6:$K$5000,SMALL(IF('Work Items'!$A$6:$A$5000="CR",ROW('Work Items'!$A$6:$A$5000)-ROW('Work Items'!$A$6)+1),214)),"")</f>
        <v/>
      </c>
      <c r="I218">
        <f t="array" ref="I218">IFERROR(INDEX('Work Items'!$L$6:$L$5000,SMALL(IF('Work Items'!$A$6:$A$5000="CR",ROW('Work Items'!$A$6:$A$5000)-ROW('Work Items'!$A$6)+1),214)),"")</f>
        <v/>
      </c>
      <c r="J218" s="217">
        <f t="array" ref="J218">IFERROR(INDEX('Work Items'!$M$6:$M$5000,SMALL(IF('Work Items'!$A$6:$A$5000="CR",ROW('Work Items'!$A$6:$A$5000)-ROW('Work Items'!$A$6)+1),214)),"")</f>
        <v/>
      </c>
      <c r="K218" s="217">
        <f t="array" ref="K218">IFERROR(INDEX('Work Items'!$Q$6:$Q$5000,SMALL(IF('Work Items'!$A$6:$A$5000="CR",ROW('Work Items'!$A$6:$A$5000)-ROW('Work Items'!$A$6)+1),214)),"")</f>
        <v/>
      </c>
      <c r="L218">
        <f t="array" ref="L218">IFERROR(INDEX('Work Items'!$N$6:$N$5000,SMALL(IF('Work Items'!$A$6:$A$5000="CR",ROW('Work Items'!$A$6:$A$5000)-ROW('Work Items'!$A$6)+1),214)),"")</f>
        <v/>
      </c>
      <c r="M218">
        <f t="array" ref="M218">IFERROR(INDEX('Work Items'!$O$6:$O$5000,SMALL(IF('Work Items'!$A$6:$A$5000="CR",ROW('Work Items'!$A$6:$A$5000)-ROW('Work Items'!$A$6)+1),214)),"")</f>
        <v/>
      </c>
    </row>
    <row r="219">
      <c r="A219">
        <f t="array" ref="A219">IFERROR(INDEX('Work Items'!$A$6:$A$5000,SMALL(IF('Work Items'!$A$6:$A$5000="CR",ROW('Work Items'!$A$6:$A$5000)-ROW('Work Items'!$A$6)+1),215)),"")</f>
        <v/>
      </c>
      <c r="B219">
        <f t="array" ref="B219">IFERROR(INDEX('Work Items'!$B$6:$B$5000,SMALL(IF('Work Items'!$A$6:$A$5000="CR",ROW('Work Items'!$A$6:$A$5000)-ROW('Work Items'!$A$6)+1),215)),"")</f>
        <v/>
      </c>
      <c r="C219">
        <f t="array" ref="C219">IFERROR(INDEX('Work Items'!$C$6:$C$5000,SMALL(IF('Work Items'!$A$6:$A$5000="CR",ROW('Work Items'!$A$6:$A$5000)-ROW('Work Items'!$A$6)+1),215)),"")</f>
        <v/>
      </c>
      <c r="D219">
        <f t="array" ref="D219">IFERROR(INDEX('Work Items'!$D$6:$D$5000,SMALL(IF('Work Items'!$A$6:$A$5000="CR",ROW('Work Items'!$A$6:$A$5000)-ROW('Work Items'!$A$6)+1),215)),"")</f>
        <v/>
      </c>
      <c r="E219">
        <f t="array" ref="E219">IFERROR(INDEX('Work Items'!$E$6:$E$5000,SMALL(IF('Work Items'!$A$6:$A$5000="CR",ROW('Work Items'!$A$6:$A$5000)-ROW('Work Items'!$A$6)+1),215)),"")</f>
        <v/>
      </c>
      <c r="F219">
        <f t="array" ref="F219">IFERROR(INDEX('Work Items'!$F$6:$F$5000,SMALL(IF('Work Items'!$A$6:$A$5000="CR",ROW('Work Items'!$A$6:$A$5000)-ROW('Work Items'!$A$6)+1),215)),"")</f>
        <v/>
      </c>
      <c r="G219">
        <f t="array" ref="G219">IFERROR(INDEX('Work Items'!$J$6:$J$5000,SMALL(IF('Work Items'!$A$6:$A$5000="CR",ROW('Work Items'!$A$6:$A$5000)-ROW('Work Items'!$A$6)+1),215)),"")</f>
        <v/>
      </c>
      <c r="H219">
        <f t="array" ref="H219">IFERROR(INDEX('Work Items'!$K$6:$K$5000,SMALL(IF('Work Items'!$A$6:$A$5000="CR",ROW('Work Items'!$A$6:$A$5000)-ROW('Work Items'!$A$6)+1),215)),"")</f>
        <v/>
      </c>
      <c r="I219">
        <f t="array" ref="I219">IFERROR(INDEX('Work Items'!$L$6:$L$5000,SMALL(IF('Work Items'!$A$6:$A$5000="CR",ROW('Work Items'!$A$6:$A$5000)-ROW('Work Items'!$A$6)+1),215)),"")</f>
        <v/>
      </c>
      <c r="J219" s="217">
        <f t="array" ref="J219">IFERROR(INDEX('Work Items'!$M$6:$M$5000,SMALL(IF('Work Items'!$A$6:$A$5000="CR",ROW('Work Items'!$A$6:$A$5000)-ROW('Work Items'!$A$6)+1),215)),"")</f>
        <v/>
      </c>
      <c r="K219" s="217">
        <f t="array" ref="K219">IFERROR(INDEX('Work Items'!$Q$6:$Q$5000,SMALL(IF('Work Items'!$A$6:$A$5000="CR",ROW('Work Items'!$A$6:$A$5000)-ROW('Work Items'!$A$6)+1),215)),"")</f>
        <v/>
      </c>
      <c r="L219">
        <f t="array" ref="L219">IFERROR(INDEX('Work Items'!$N$6:$N$5000,SMALL(IF('Work Items'!$A$6:$A$5000="CR",ROW('Work Items'!$A$6:$A$5000)-ROW('Work Items'!$A$6)+1),215)),"")</f>
        <v/>
      </c>
      <c r="M219">
        <f t="array" ref="M219">IFERROR(INDEX('Work Items'!$O$6:$O$5000,SMALL(IF('Work Items'!$A$6:$A$5000="CR",ROW('Work Items'!$A$6:$A$5000)-ROW('Work Items'!$A$6)+1),215)),"")</f>
        <v/>
      </c>
    </row>
    <row r="220">
      <c r="A220">
        <f t="array" ref="A220">IFERROR(INDEX('Work Items'!$A$6:$A$5000,SMALL(IF('Work Items'!$A$6:$A$5000="CR",ROW('Work Items'!$A$6:$A$5000)-ROW('Work Items'!$A$6)+1),216)),"")</f>
        <v/>
      </c>
      <c r="B220">
        <f t="array" ref="B220">IFERROR(INDEX('Work Items'!$B$6:$B$5000,SMALL(IF('Work Items'!$A$6:$A$5000="CR",ROW('Work Items'!$A$6:$A$5000)-ROW('Work Items'!$A$6)+1),216)),"")</f>
        <v/>
      </c>
      <c r="C220">
        <f t="array" ref="C220">IFERROR(INDEX('Work Items'!$C$6:$C$5000,SMALL(IF('Work Items'!$A$6:$A$5000="CR",ROW('Work Items'!$A$6:$A$5000)-ROW('Work Items'!$A$6)+1),216)),"")</f>
        <v/>
      </c>
      <c r="D220">
        <f t="array" ref="D220">IFERROR(INDEX('Work Items'!$D$6:$D$5000,SMALL(IF('Work Items'!$A$6:$A$5000="CR",ROW('Work Items'!$A$6:$A$5000)-ROW('Work Items'!$A$6)+1),216)),"")</f>
        <v/>
      </c>
      <c r="E220">
        <f t="array" ref="E220">IFERROR(INDEX('Work Items'!$E$6:$E$5000,SMALL(IF('Work Items'!$A$6:$A$5000="CR",ROW('Work Items'!$A$6:$A$5000)-ROW('Work Items'!$A$6)+1),216)),"")</f>
        <v/>
      </c>
      <c r="F220">
        <f t="array" ref="F220">IFERROR(INDEX('Work Items'!$F$6:$F$5000,SMALL(IF('Work Items'!$A$6:$A$5000="CR",ROW('Work Items'!$A$6:$A$5000)-ROW('Work Items'!$A$6)+1),216)),"")</f>
        <v/>
      </c>
      <c r="G220">
        <f t="array" ref="G220">IFERROR(INDEX('Work Items'!$J$6:$J$5000,SMALL(IF('Work Items'!$A$6:$A$5000="CR",ROW('Work Items'!$A$6:$A$5000)-ROW('Work Items'!$A$6)+1),216)),"")</f>
        <v/>
      </c>
      <c r="H220">
        <f t="array" ref="H220">IFERROR(INDEX('Work Items'!$K$6:$K$5000,SMALL(IF('Work Items'!$A$6:$A$5000="CR",ROW('Work Items'!$A$6:$A$5000)-ROW('Work Items'!$A$6)+1),216)),"")</f>
        <v/>
      </c>
      <c r="I220">
        <f t="array" ref="I220">IFERROR(INDEX('Work Items'!$L$6:$L$5000,SMALL(IF('Work Items'!$A$6:$A$5000="CR",ROW('Work Items'!$A$6:$A$5000)-ROW('Work Items'!$A$6)+1),216)),"")</f>
        <v/>
      </c>
      <c r="J220" s="217">
        <f t="array" ref="J220">IFERROR(INDEX('Work Items'!$M$6:$M$5000,SMALL(IF('Work Items'!$A$6:$A$5000="CR",ROW('Work Items'!$A$6:$A$5000)-ROW('Work Items'!$A$6)+1),216)),"")</f>
        <v/>
      </c>
      <c r="K220" s="217">
        <f t="array" ref="K220">IFERROR(INDEX('Work Items'!$Q$6:$Q$5000,SMALL(IF('Work Items'!$A$6:$A$5000="CR",ROW('Work Items'!$A$6:$A$5000)-ROW('Work Items'!$A$6)+1),216)),"")</f>
        <v/>
      </c>
      <c r="L220">
        <f t="array" ref="L220">IFERROR(INDEX('Work Items'!$N$6:$N$5000,SMALL(IF('Work Items'!$A$6:$A$5000="CR",ROW('Work Items'!$A$6:$A$5000)-ROW('Work Items'!$A$6)+1),216)),"")</f>
        <v/>
      </c>
      <c r="M220">
        <f t="array" ref="M220">IFERROR(INDEX('Work Items'!$O$6:$O$5000,SMALL(IF('Work Items'!$A$6:$A$5000="CR",ROW('Work Items'!$A$6:$A$5000)-ROW('Work Items'!$A$6)+1),216)),"")</f>
        <v/>
      </c>
    </row>
    <row r="221">
      <c r="A221">
        <f t="array" ref="A221">IFERROR(INDEX('Work Items'!$A$6:$A$5000,SMALL(IF('Work Items'!$A$6:$A$5000="CR",ROW('Work Items'!$A$6:$A$5000)-ROW('Work Items'!$A$6)+1),217)),"")</f>
        <v/>
      </c>
      <c r="B221">
        <f t="array" ref="B221">IFERROR(INDEX('Work Items'!$B$6:$B$5000,SMALL(IF('Work Items'!$A$6:$A$5000="CR",ROW('Work Items'!$A$6:$A$5000)-ROW('Work Items'!$A$6)+1),217)),"")</f>
        <v/>
      </c>
      <c r="C221">
        <f t="array" ref="C221">IFERROR(INDEX('Work Items'!$C$6:$C$5000,SMALL(IF('Work Items'!$A$6:$A$5000="CR",ROW('Work Items'!$A$6:$A$5000)-ROW('Work Items'!$A$6)+1),217)),"")</f>
        <v/>
      </c>
      <c r="D221">
        <f t="array" ref="D221">IFERROR(INDEX('Work Items'!$D$6:$D$5000,SMALL(IF('Work Items'!$A$6:$A$5000="CR",ROW('Work Items'!$A$6:$A$5000)-ROW('Work Items'!$A$6)+1),217)),"")</f>
        <v/>
      </c>
      <c r="E221">
        <f t="array" ref="E221">IFERROR(INDEX('Work Items'!$E$6:$E$5000,SMALL(IF('Work Items'!$A$6:$A$5000="CR",ROW('Work Items'!$A$6:$A$5000)-ROW('Work Items'!$A$6)+1),217)),"")</f>
        <v/>
      </c>
      <c r="F221">
        <f t="array" ref="F221">IFERROR(INDEX('Work Items'!$F$6:$F$5000,SMALL(IF('Work Items'!$A$6:$A$5000="CR",ROW('Work Items'!$A$6:$A$5000)-ROW('Work Items'!$A$6)+1),217)),"")</f>
        <v/>
      </c>
      <c r="G221">
        <f t="array" ref="G221">IFERROR(INDEX('Work Items'!$J$6:$J$5000,SMALL(IF('Work Items'!$A$6:$A$5000="CR",ROW('Work Items'!$A$6:$A$5000)-ROW('Work Items'!$A$6)+1),217)),"")</f>
        <v/>
      </c>
      <c r="H221">
        <f t="array" ref="H221">IFERROR(INDEX('Work Items'!$K$6:$K$5000,SMALL(IF('Work Items'!$A$6:$A$5000="CR",ROW('Work Items'!$A$6:$A$5000)-ROW('Work Items'!$A$6)+1),217)),"")</f>
        <v/>
      </c>
      <c r="I221">
        <f t="array" ref="I221">IFERROR(INDEX('Work Items'!$L$6:$L$5000,SMALL(IF('Work Items'!$A$6:$A$5000="CR",ROW('Work Items'!$A$6:$A$5000)-ROW('Work Items'!$A$6)+1),217)),"")</f>
        <v/>
      </c>
      <c r="J221" s="217">
        <f t="array" ref="J221">IFERROR(INDEX('Work Items'!$M$6:$M$5000,SMALL(IF('Work Items'!$A$6:$A$5000="CR",ROW('Work Items'!$A$6:$A$5000)-ROW('Work Items'!$A$6)+1),217)),"")</f>
        <v/>
      </c>
      <c r="K221" s="217">
        <f t="array" ref="K221">IFERROR(INDEX('Work Items'!$Q$6:$Q$5000,SMALL(IF('Work Items'!$A$6:$A$5000="CR",ROW('Work Items'!$A$6:$A$5000)-ROW('Work Items'!$A$6)+1),217)),"")</f>
        <v/>
      </c>
      <c r="L221">
        <f t="array" ref="L221">IFERROR(INDEX('Work Items'!$N$6:$N$5000,SMALL(IF('Work Items'!$A$6:$A$5000="CR",ROW('Work Items'!$A$6:$A$5000)-ROW('Work Items'!$A$6)+1),217)),"")</f>
        <v/>
      </c>
      <c r="M221">
        <f t="array" ref="M221">IFERROR(INDEX('Work Items'!$O$6:$O$5000,SMALL(IF('Work Items'!$A$6:$A$5000="CR",ROW('Work Items'!$A$6:$A$5000)-ROW('Work Items'!$A$6)+1),217)),"")</f>
        <v/>
      </c>
    </row>
    <row r="222">
      <c r="A222">
        <f t="array" ref="A222">IFERROR(INDEX('Work Items'!$A$6:$A$5000,SMALL(IF('Work Items'!$A$6:$A$5000="CR",ROW('Work Items'!$A$6:$A$5000)-ROW('Work Items'!$A$6)+1),218)),"")</f>
        <v/>
      </c>
      <c r="B222">
        <f t="array" ref="B222">IFERROR(INDEX('Work Items'!$B$6:$B$5000,SMALL(IF('Work Items'!$A$6:$A$5000="CR",ROW('Work Items'!$A$6:$A$5000)-ROW('Work Items'!$A$6)+1),218)),"")</f>
        <v/>
      </c>
      <c r="C222">
        <f t="array" ref="C222">IFERROR(INDEX('Work Items'!$C$6:$C$5000,SMALL(IF('Work Items'!$A$6:$A$5000="CR",ROW('Work Items'!$A$6:$A$5000)-ROW('Work Items'!$A$6)+1),218)),"")</f>
        <v/>
      </c>
      <c r="D222">
        <f t="array" ref="D222">IFERROR(INDEX('Work Items'!$D$6:$D$5000,SMALL(IF('Work Items'!$A$6:$A$5000="CR",ROW('Work Items'!$A$6:$A$5000)-ROW('Work Items'!$A$6)+1),218)),"")</f>
        <v/>
      </c>
      <c r="E222">
        <f t="array" ref="E222">IFERROR(INDEX('Work Items'!$E$6:$E$5000,SMALL(IF('Work Items'!$A$6:$A$5000="CR",ROW('Work Items'!$A$6:$A$5000)-ROW('Work Items'!$A$6)+1),218)),"")</f>
        <v/>
      </c>
      <c r="F222">
        <f t="array" ref="F222">IFERROR(INDEX('Work Items'!$F$6:$F$5000,SMALL(IF('Work Items'!$A$6:$A$5000="CR",ROW('Work Items'!$A$6:$A$5000)-ROW('Work Items'!$A$6)+1),218)),"")</f>
        <v/>
      </c>
      <c r="G222">
        <f t="array" ref="G222">IFERROR(INDEX('Work Items'!$J$6:$J$5000,SMALL(IF('Work Items'!$A$6:$A$5000="CR",ROW('Work Items'!$A$6:$A$5000)-ROW('Work Items'!$A$6)+1),218)),"")</f>
        <v/>
      </c>
      <c r="H222">
        <f t="array" ref="H222">IFERROR(INDEX('Work Items'!$K$6:$K$5000,SMALL(IF('Work Items'!$A$6:$A$5000="CR",ROW('Work Items'!$A$6:$A$5000)-ROW('Work Items'!$A$6)+1),218)),"")</f>
        <v/>
      </c>
      <c r="I222">
        <f t="array" ref="I222">IFERROR(INDEX('Work Items'!$L$6:$L$5000,SMALL(IF('Work Items'!$A$6:$A$5000="CR",ROW('Work Items'!$A$6:$A$5000)-ROW('Work Items'!$A$6)+1),218)),"")</f>
        <v/>
      </c>
      <c r="J222" s="217">
        <f t="array" ref="J222">IFERROR(INDEX('Work Items'!$M$6:$M$5000,SMALL(IF('Work Items'!$A$6:$A$5000="CR",ROW('Work Items'!$A$6:$A$5000)-ROW('Work Items'!$A$6)+1),218)),"")</f>
        <v/>
      </c>
      <c r="K222" s="217">
        <f t="array" ref="K222">IFERROR(INDEX('Work Items'!$Q$6:$Q$5000,SMALL(IF('Work Items'!$A$6:$A$5000="CR",ROW('Work Items'!$A$6:$A$5000)-ROW('Work Items'!$A$6)+1),218)),"")</f>
        <v/>
      </c>
      <c r="L222">
        <f t="array" ref="L222">IFERROR(INDEX('Work Items'!$N$6:$N$5000,SMALL(IF('Work Items'!$A$6:$A$5000="CR",ROW('Work Items'!$A$6:$A$5000)-ROW('Work Items'!$A$6)+1),218)),"")</f>
        <v/>
      </c>
      <c r="M222">
        <f t="array" ref="M222">IFERROR(INDEX('Work Items'!$O$6:$O$5000,SMALL(IF('Work Items'!$A$6:$A$5000="CR",ROW('Work Items'!$A$6:$A$5000)-ROW('Work Items'!$A$6)+1),218)),"")</f>
        <v/>
      </c>
    </row>
    <row r="223">
      <c r="A223">
        <f t="array" ref="A223">IFERROR(INDEX('Work Items'!$A$6:$A$5000,SMALL(IF('Work Items'!$A$6:$A$5000="CR",ROW('Work Items'!$A$6:$A$5000)-ROW('Work Items'!$A$6)+1),219)),"")</f>
        <v/>
      </c>
      <c r="B223">
        <f t="array" ref="B223">IFERROR(INDEX('Work Items'!$B$6:$B$5000,SMALL(IF('Work Items'!$A$6:$A$5000="CR",ROW('Work Items'!$A$6:$A$5000)-ROW('Work Items'!$A$6)+1),219)),"")</f>
        <v/>
      </c>
      <c r="C223">
        <f t="array" ref="C223">IFERROR(INDEX('Work Items'!$C$6:$C$5000,SMALL(IF('Work Items'!$A$6:$A$5000="CR",ROW('Work Items'!$A$6:$A$5000)-ROW('Work Items'!$A$6)+1),219)),"")</f>
        <v/>
      </c>
      <c r="D223">
        <f t="array" ref="D223">IFERROR(INDEX('Work Items'!$D$6:$D$5000,SMALL(IF('Work Items'!$A$6:$A$5000="CR",ROW('Work Items'!$A$6:$A$5000)-ROW('Work Items'!$A$6)+1),219)),"")</f>
        <v/>
      </c>
      <c r="E223">
        <f t="array" ref="E223">IFERROR(INDEX('Work Items'!$E$6:$E$5000,SMALL(IF('Work Items'!$A$6:$A$5000="CR",ROW('Work Items'!$A$6:$A$5000)-ROW('Work Items'!$A$6)+1),219)),"")</f>
        <v/>
      </c>
      <c r="F223">
        <f t="array" ref="F223">IFERROR(INDEX('Work Items'!$F$6:$F$5000,SMALL(IF('Work Items'!$A$6:$A$5000="CR",ROW('Work Items'!$A$6:$A$5000)-ROW('Work Items'!$A$6)+1),219)),"")</f>
        <v/>
      </c>
      <c r="G223">
        <f t="array" ref="G223">IFERROR(INDEX('Work Items'!$J$6:$J$5000,SMALL(IF('Work Items'!$A$6:$A$5000="CR",ROW('Work Items'!$A$6:$A$5000)-ROW('Work Items'!$A$6)+1),219)),"")</f>
        <v/>
      </c>
      <c r="H223">
        <f t="array" ref="H223">IFERROR(INDEX('Work Items'!$K$6:$K$5000,SMALL(IF('Work Items'!$A$6:$A$5000="CR",ROW('Work Items'!$A$6:$A$5000)-ROW('Work Items'!$A$6)+1),219)),"")</f>
        <v/>
      </c>
      <c r="I223">
        <f t="array" ref="I223">IFERROR(INDEX('Work Items'!$L$6:$L$5000,SMALL(IF('Work Items'!$A$6:$A$5000="CR",ROW('Work Items'!$A$6:$A$5000)-ROW('Work Items'!$A$6)+1),219)),"")</f>
        <v/>
      </c>
      <c r="J223" s="217">
        <f t="array" ref="J223">IFERROR(INDEX('Work Items'!$M$6:$M$5000,SMALL(IF('Work Items'!$A$6:$A$5000="CR",ROW('Work Items'!$A$6:$A$5000)-ROW('Work Items'!$A$6)+1),219)),"")</f>
        <v/>
      </c>
      <c r="K223" s="217">
        <f t="array" ref="K223">IFERROR(INDEX('Work Items'!$Q$6:$Q$5000,SMALL(IF('Work Items'!$A$6:$A$5000="CR",ROW('Work Items'!$A$6:$A$5000)-ROW('Work Items'!$A$6)+1),219)),"")</f>
        <v/>
      </c>
      <c r="L223">
        <f t="array" ref="L223">IFERROR(INDEX('Work Items'!$N$6:$N$5000,SMALL(IF('Work Items'!$A$6:$A$5000="CR",ROW('Work Items'!$A$6:$A$5000)-ROW('Work Items'!$A$6)+1),219)),"")</f>
        <v/>
      </c>
      <c r="M223">
        <f t="array" ref="M223">IFERROR(INDEX('Work Items'!$O$6:$O$5000,SMALL(IF('Work Items'!$A$6:$A$5000="CR",ROW('Work Items'!$A$6:$A$5000)-ROW('Work Items'!$A$6)+1),219)),"")</f>
        <v/>
      </c>
    </row>
    <row r="224">
      <c r="A224">
        <f t="array" ref="A224">IFERROR(INDEX('Work Items'!$A$6:$A$5000,SMALL(IF('Work Items'!$A$6:$A$5000="CR",ROW('Work Items'!$A$6:$A$5000)-ROW('Work Items'!$A$6)+1),220)),"")</f>
        <v/>
      </c>
      <c r="B224">
        <f t="array" ref="B224">IFERROR(INDEX('Work Items'!$B$6:$B$5000,SMALL(IF('Work Items'!$A$6:$A$5000="CR",ROW('Work Items'!$A$6:$A$5000)-ROW('Work Items'!$A$6)+1),220)),"")</f>
        <v/>
      </c>
      <c r="C224">
        <f t="array" ref="C224">IFERROR(INDEX('Work Items'!$C$6:$C$5000,SMALL(IF('Work Items'!$A$6:$A$5000="CR",ROW('Work Items'!$A$6:$A$5000)-ROW('Work Items'!$A$6)+1),220)),"")</f>
        <v/>
      </c>
      <c r="D224">
        <f t="array" ref="D224">IFERROR(INDEX('Work Items'!$D$6:$D$5000,SMALL(IF('Work Items'!$A$6:$A$5000="CR",ROW('Work Items'!$A$6:$A$5000)-ROW('Work Items'!$A$6)+1),220)),"")</f>
        <v/>
      </c>
      <c r="E224">
        <f t="array" ref="E224">IFERROR(INDEX('Work Items'!$E$6:$E$5000,SMALL(IF('Work Items'!$A$6:$A$5000="CR",ROW('Work Items'!$A$6:$A$5000)-ROW('Work Items'!$A$6)+1),220)),"")</f>
        <v/>
      </c>
      <c r="F224">
        <f t="array" ref="F224">IFERROR(INDEX('Work Items'!$F$6:$F$5000,SMALL(IF('Work Items'!$A$6:$A$5000="CR",ROW('Work Items'!$A$6:$A$5000)-ROW('Work Items'!$A$6)+1),220)),"")</f>
        <v/>
      </c>
      <c r="G224">
        <f t="array" ref="G224">IFERROR(INDEX('Work Items'!$J$6:$J$5000,SMALL(IF('Work Items'!$A$6:$A$5000="CR",ROW('Work Items'!$A$6:$A$5000)-ROW('Work Items'!$A$6)+1),220)),"")</f>
        <v/>
      </c>
      <c r="H224">
        <f t="array" ref="H224">IFERROR(INDEX('Work Items'!$K$6:$K$5000,SMALL(IF('Work Items'!$A$6:$A$5000="CR",ROW('Work Items'!$A$6:$A$5000)-ROW('Work Items'!$A$6)+1),220)),"")</f>
        <v/>
      </c>
      <c r="I224">
        <f t="array" ref="I224">IFERROR(INDEX('Work Items'!$L$6:$L$5000,SMALL(IF('Work Items'!$A$6:$A$5000="CR",ROW('Work Items'!$A$6:$A$5000)-ROW('Work Items'!$A$6)+1),220)),"")</f>
        <v/>
      </c>
      <c r="J224" s="217">
        <f t="array" ref="J224">IFERROR(INDEX('Work Items'!$M$6:$M$5000,SMALL(IF('Work Items'!$A$6:$A$5000="CR",ROW('Work Items'!$A$6:$A$5000)-ROW('Work Items'!$A$6)+1),220)),"")</f>
        <v/>
      </c>
      <c r="K224" s="217">
        <f t="array" ref="K224">IFERROR(INDEX('Work Items'!$Q$6:$Q$5000,SMALL(IF('Work Items'!$A$6:$A$5000="CR",ROW('Work Items'!$A$6:$A$5000)-ROW('Work Items'!$A$6)+1),220)),"")</f>
        <v/>
      </c>
      <c r="L224">
        <f t="array" ref="L224">IFERROR(INDEX('Work Items'!$N$6:$N$5000,SMALL(IF('Work Items'!$A$6:$A$5000="CR",ROW('Work Items'!$A$6:$A$5000)-ROW('Work Items'!$A$6)+1),220)),"")</f>
        <v/>
      </c>
      <c r="M224">
        <f t="array" ref="M224">IFERROR(INDEX('Work Items'!$O$6:$O$5000,SMALL(IF('Work Items'!$A$6:$A$5000="CR",ROW('Work Items'!$A$6:$A$5000)-ROW('Work Items'!$A$6)+1),220)),"")</f>
        <v/>
      </c>
    </row>
    <row r="225">
      <c r="A225">
        <f t="array" ref="A225">IFERROR(INDEX('Work Items'!$A$6:$A$5000,SMALL(IF('Work Items'!$A$6:$A$5000="CR",ROW('Work Items'!$A$6:$A$5000)-ROW('Work Items'!$A$6)+1),221)),"")</f>
        <v/>
      </c>
      <c r="B225">
        <f t="array" ref="B225">IFERROR(INDEX('Work Items'!$B$6:$B$5000,SMALL(IF('Work Items'!$A$6:$A$5000="CR",ROW('Work Items'!$A$6:$A$5000)-ROW('Work Items'!$A$6)+1),221)),"")</f>
        <v/>
      </c>
      <c r="C225">
        <f t="array" ref="C225">IFERROR(INDEX('Work Items'!$C$6:$C$5000,SMALL(IF('Work Items'!$A$6:$A$5000="CR",ROW('Work Items'!$A$6:$A$5000)-ROW('Work Items'!$A$6)+1),221)),"")</f>
        <v/>
      </c>
      <c r="D225">
        <f t="array" ref="D225">IFERROR(INDEX('Work Items'!$D$6:$D$5000,SMALL(IF('Work Items'!$A$6:$A$5000="CR",ROW('Work Items'!$A$6:$A$5000)-ROW('Work Items'!$A$6)+1),221)),"")</f>
        <v/>
      </c>
      <c r="E225">
        <f t="array" ref="E225">IFERROR(INDEX('Work Items'!$E$6:$E$5000,SMALL(IF('Work Items'!$A$6:$A$5000="CR",ROW('Work Items'!$A$6:$A$5000)-ROW('Work Items'!$A$6)+1),221)),"")</f>
        <v/>
      </c>
      <c r="F225">
        <f t="array" ref="F225">IFERROR(INDEX('Work Items'!$F$6:$F$5000,SMALL(IF('Work Items'!$A$6:$A$5000="CR",ROW('Work Items'!$A$6:$A$5000)-ROW('Work Items'!$A$6)+1),221)),"")</f>
        <v/>
      </c>
      <c r="G225">
        <f t="array" ref="G225">IFERROR(INDEX('Work Items'!$J$6:$J$5000,SMALL(IF('Work Items'!$A$6:$A$5000="CR",ROW('Work Items'!$A$6:$A$5000)-ROW('Work Items'!$A$6)+1),221)),"")</f>
        <v/>
      </c>
      <c r="H225">
        <f t="array" ref="H225">IFERROR(INDEX('Work Items'!$K$6:$K$5000,SMALL(IF('Work Items'!$A$6:$A$5000="CR",ROW('Work Items'!$A$6:$A$5000)-ROW('Work Items'!$A$6)+1),221)),"")</f>
        <v/>
      </c>
      <c r="I225">
        <f t="array" ref="I225">IFERROR(INDEX('Work Items'!$L$6:$L$5000,SMALL(IF('Work Items'!$A$6:$A$5000="CR",ROW('Work Items'!$A$6:$A$5000)-ROW('Work Items'!$A$6)+1),221)),"")</f>
        <v/>
      </c>
      <c r="J225" s="217">
        <f t="array" ref="J225">IFERROR(INDEX('Work Items'!$M$6:$M$5000,SMALL(IF('Work Items'!$A$6:$A$5000="CR",ROW('Work Items'!$A$6:$A$5000)-ROW('Work Items'!$A$6)+1),221)),"")</f>
        <v/>
      </c>
      <c r="K225" s="217">
        <f t="array" ref="K225">IFERROR(INDEX('Work Items'!$Q$6:$Q$5000,SMALL(IF('Work Items'!$A$6:$A$5000="CR",ROW('Work Items'!$A$6:$A$5000)-ROW('Work Items'!$A$6)+1),221)),"")</f>
        <v/>
      </c>
      <c r="L225">
        <f t="array" ref="L225">IFERROR(INDEX('Work Items'!$N$6:$N$5000,SMALL(IF('Work Items'!$A$6:$A$5000="CR",ROW('Work Items'!$A$6:$A$5000)-ROW('Work Items'!$A$6)+1),221)),"")</f>
        <v/>
      </c>
      <c r="M225">
        <f t="array" ref="M225">IFERROR(INDEX('Work Items'!$O$6:$O$5000,SMALL(IF('Work Items'!$A$6:$A$5000="CR",ROW('Work Items'!$A$6:$A$5000)-ROW('Work Items'!$A$6)+1),221)),"")</f>
        <v/>
      </c>
    </row>
    <row r="226">
      <c r="A226">
        <f t="array" ref="A226">IFERROR(INDEX('Work Items'!$A$6:$A$5000,SMALL(IF('Work Items'!$A$6:$A$5000="CR",ROW('Work Items'!$A$6:$A$5000)-ROW('Work Items'!$A$6)+1),222)),"")</f>
        <v/>
      </c>
      <c r="B226">
        <f t="array" ref="B226">IFERROR(INDEX('Work Items'!$B$6:$B$5000,SMALL(IF('Work Items'!$A$6:$A$5000="CR",ROW('Work Items'!$A$6:$A$5000)-ROW('Work Items'!$A$6)+1),222)),"")</f>
        <v/>
      </c>
      <c r="C226">
        <f t="array" ref="C226">IFERROR(INDEX('Work Items'!$C$6:$C$5000,SMALL(IF('Work Items'!$A$6:$A$5000="CR",ROW('Work Items'!$A$6:$A$5000)-ROW('Work Items'!$A$6)+1),222)),"")</f>
        <v/>
      </c>
      <c r="D226">
        <f t="array" ref="D226">IFERROR(INDEX('Work Items'!$D$6:$D$5000,SMALL(IF('Work Items'!$A$6:$A$5000="CR",ROW('Work Items'!$A$6:$A$5000)-ROW('Work Items'!$A$6)+1),222)),"")</f>
        <v/>
      </c>
      <c r="E226">
        <f t="array" ref="E226">IFERROR(INDEX('Work Items'!$E$6:$E$5000,SMALL(IF('Work Items'!$A$6:$A$5000="CR",ROW('Work Items'!$A$6:$A$5000)-ROW('Work Items'!$A$6)+1),222)),"")</f>
        <v/>
      </c>
      <c r="F226">
        <f t="array" ref="F226">IFERROR(INDEX('Work Items'!$F$6:$F$5000,SMALL(IF('Work Items'!$A$6:$A$5000="CR",ROW('Work Items'!$A$6:$A$5000)-ROW('Work Items'!$A$6)+1),222)),"")</f>
        <v/>
      </c>
      <c r="G226">
        <f t="array" ref="G226">IFERROR(INDEX('Work Items'!$J$6:$J$5000,SMALL(IF('Work Items'!$A$6:$A$5000="CR",ROW('Work Items'!$A$6:$A$5000)-ROW('Work Items'!$A$6)+1),222)),"")</f>
        <v/>
      </c>
      <c r="H226">
        <f t="array" ref="H226">IFERROR(INDEX('Work Items'!$K$6:$K$5000,SMALL(IF('Work Items'!$A$6:$A$5000="CR",ROW('Work Items'!$A$6:$A$5000)-ROW('Work Items'!$A$6)+1),222)),"")</f>
        <v/>
      </c>
      <c r="I226">
        <f t="array" ref="I226">IFERROR(INDEX('Work Items'!$L$6:$L$5000,SMALL(IF('Work Items'!$A$6:$A$5000="CR",ROW('Work Items'!$A$6:$A$5000)-ROW('Work Items'!$A$6)+1),222)),"")</f>
        <v/>
      </c>
      <c r="J226" s="217">
        <f t="array" ref="J226">IFERROR(INDEX('Work Items'!$M$6:$M$5000,SMALL(IF('Work Items'!$A$6:$A$5000="CR",ROW('Work Items'!$A$6:$A$5000)-ROW('Work Items'!$A$6)+1),222)),"")</f>
        <v/>
      </c>
      <c r="K226" s="217">
        <f t="array" ref="K226">IFERROR(INDEX('Work Items'!$Q$6:$Q$5000,SMALL(IF('Work Items'!$A$6:$A$5000="CR",ROW('Work Items'!$A$6:$A$5000)-ROW('Work Items'!$A$6)+1),222)),"")</f>
        <v/>
      </c>
      <c r="L226">
        <f t="array" ref="L226">IFERROR(INDEX('Work Items'!$N$6:$N$5000,SMALL(IF('Work Items'!$A$6:$A$5000="CR",ROW('Work Items'!$A$6:$A$5000)-ROW('Work Items'!$A$6)+1),222)),"")</f>
        <v/>
      </c>
      <c r="M226">
        <f t="array" ref="M226">IFERROR(INDEX('Work Items'!$O$6:$O$5000,SMALL(IF('Work Items'!$A$6:$A$5000="CR",ROW('Work Items'!$A$6:$A$5000)-ROW('Work Items'!$A$6)+1),222)),"")</f>
        <v/>
      </c>
    </row>
    <row r="227">
      <c r="A227">
        <f t="array" ref="A227">IFERROR(INDEX('Work Items'!$A$6:$A$5000,SMALL(IF('Work Items'!$A$6:$A$5000="CR",ROW('Work Items'!$A$6:$A$5000)-ROW('Work Items'!$A$6)+1),223)),"")</f>
        <v/>
      </c>
      <c r="B227">
        <f t="array" ref="B227">IFERROR(INDEX('Work Items'!$B$6:$B$5000,SMALL(IF('Work Items'!$A$6:$A$5000="CR",ROW('Work Items'!$A$6:$A$5000)-ROW('Work Items'!$A$6)+1),223)),"")</f>
        <v/>
      </c>
      <c r="C227">
        <f t="array" ref="C227">IFERROR(INDEX('Work Items'!$C$6:$C$5000,SMALL(IF('Work Items'!$A$6:$A$5000="CR",ROW('Work Items'!$A$6:$A$5000)-ROW('Work Items'!$A$6)+1),223)),"")</f>
        <v/>
      </c>
      <c r="D227">
        <f t="array" ref="D227">IFERROR(INDEX('Work Items'!$D$6:$D$5000,SMALL(IF('Work Items'!$A$6:$A$5000="CR",ROW('Work Items'!$A$6:$A$5000)-ROW('Work Items'!$A$6)+1),223)),"")</f>
        <v/>
      </c>
      <c r="E227">
        <f t="array" ref="E227">IFERROR(INDEX('Work Items'!$E$6:$E$5000,SMALL(IF('Work Items'!$A$6:$A$5000="CR",ROW('Work Items'!$A$6:$A$5000)-ROW('Work Items'!$A$6)+1),223)),"")</f>
        <v/>
      </c>
      <c r="F227">
        <f t="array" ref="F227">IFERROR(INDEX('Work Items'!$F$6:$F$5000,SMALL(IF('Work Items'!$A$6:$A$5000="CR",ROW('Work Items'!$A$6:$A$5000)-ROW('Work Items'!$A$6)+1),223)),"")</f>
        <v/>
      </c>
      <c r="G227">
        <f t="array" ref="G227">IFERROR(INDEX('Work Items'!$J$6:$J$5000,SMALL(IF('Work Items'!$A$6:$A$5000="CR",ROW('Work Items'!$A$6:$A$5000)-ROW('Work Items'!$A$6)+1),223)),"")</f>
        <v/>
      </c>
      <c r="H227">
        <f t="array" ref="H227">IFERROR(INDEX('Work Items'!$K$6:$K$5000,SMALL(IF('Work Items'!$A$6:$A$5000="CR",ROW('Work Items'!$A$6:$A$5000)-ROW('Work Items'!$A$6)+1),223)),"")</f>
        <v/>
      </c>
      <c r="I227">
        <f t="array" ref="I227">IFERROR(INDEX('Work Items'!$L$6:$L$5000,SMALL(IF('Work Items'!$A$6:$A$5000="CR",ROW('Work Items'!$A$6:$A$5000)-ROW('Work Items'!$A$6)+1),223)),"")</f>
        <v/>
      </c>
      <c r="J227" s="217">
        <f t="array" ref="J227">IFERROR(INDEX('Work Items'!$M$6:$M$5000,SMALL(IF('Work Items'!$A$6:$A$5000="CR",ROW('Work Items'!$A$6:$A$5000)-ROW('Work Items'!$A$6)+1),223)),"")</f>
        <v/>
      </c>
      <c r="K227" s="217">
        <f t="array" ref="K227">IFERROR(INDEX('Work Items'!$Q$6:$Q$5000,SMALL(IF('Work Items'!$A$6:$A$5000="CR",ROW('Work Items'!$A$6:$A$5000)-ROW('Work Items'!$A$6)+1),223)),"")</f>
        <v/>
      </c>
      <c r="L227">
        <f t="array" ref="L227">IFERROR(INDEX('Work Items'!$N$6:$N$5000,SMALL(IF('Work Items'!$A$6:$A$5000="CR",ROW('Work Items'!$A$6:$A$5000)-ROW('Work Items'!$A$6)+1),223)),"")</f>
        <v/>
      </c>
      <c r="M227">
        <f t="array" ref="M227">IFERROR(INDEX('Work Items'!$O$6:$O$5000,SMALL(IF('Work Items'!$A$6:$A$5000="CR",ROW('Work Items'!$A$6:$A$5000)-ROW('Work Items'!$A$6)+1),223)),"")</f>
        <v/>
      </c>
    </row>
    <row r="228">
      <c r="A228">
        <f t="array" ref="A228">IFERROR(INDEX('Work Items'!$A$6:$A$5000,SMALL(IF('Work Items'!$A$6:$A$5000="CR",ROW('Work Items'!$A$6:$A$5000)-ROW('Work Items'!$A$6)+1),224)),"")</f>
        <v/>
      </c>
      <c r="B228">
        <f t="array" ref="B228">IFERROR(INDEX('Work Items'!$B$6:$B$5000,SMALL(IF('Work Items'!$A$6:$A$5000="CR",ROW('Work Items'!$A$6:$A$5000)-ROW('Work Items'!$A$6)+1),224)),"")</f>
        <v/>
      </c>
      <c r="C228">
        <f t="array" ref="C228">IFERROR(INDEX('Work Items'!$C$6:$C$5000,SMALL(IF('Work Items'!$A$6:$A$5000="CR",ROW('Work Items'!$A$6:$A$5000)-ROW('Work Items'!$A$6)+1),224)),"")</f>
        <v/>
      </c>
      <c r="D228">
        <f t="array" ref="D228">IFERROR(INDEX('Work Items'!$D$6:$D$5000,SMALL(IF('Work Items'!$A$6:$A$5000="CR",ROW('Work Items'!$A$6:$A$5000)-ROW('Work Items'!$A$6)+1),224)),"")</f>
        <v/>
      </c>
      <c r="E228">
        <f t="array" ref="E228">IFERROR(INDEX('Work Items'!$E$6:$E$5000,SMALL(IF('Work Items'!$A$6:$A$5000="CR",ROW('Work Items'!$A$6:$A$5000)-ROW('Work Items'!$A$6)+1),224)),"")</f>
        <v/>
      </c>
      <c r="F228">
        <f t="array" ref="F228">IFERROR(INDEX('Work Items'!$F$6:$F$5000,SMALL(IF('Work Items'!$A$6:$A$5000="CR",ROW('Work Items'!$A$6:$A$5000)-ROW('Work Items'!$A$6)+1),224)),"")</f>
        <v/>
      </c>
      <c r="G228">
        <f t="array" ref="G228">IFERROR(INDEX('Work Items'!$J$6:$J$5000,SMALL(IF('Work Items'!$A$6:$A$5000="CR",ROW('Work Items'!$A$6:$A$5000)-ROW('Work Items'!$A$6)+1),224)),"")</f>
        <v/>
      </c>
      <c r="H228">
        <f t="array" ref="H228">IFERROR(INDEX('Work Items'!$K$6:$K$5000,SMALL(IF('Work Items'!$A$6:$A$5000="CR",ROW('Work Items'!$A$6:$A$5000)-ROW('Work Items'!$A$6)+1),224)),"")</f>
        <v/>
      </c>
      <c r="I228">
        <f t="array" ref="I228">IFERROR(INDEX('Work Items'!$L$6:$L$5000,SMALL(IF('Work Items'!$A$6:$A$5000="CR",ROW('Work Items'!$A$6:$A$5000)-ROW('Work Items'!$A$6)+1),224)),"")</f>
        <v/>
      </c>
      <c r="J228" s="217">
        <f t="array" ref="J228">IFERROR(INDEX('Work Items'!$M$6:$M$5000,SMALL(IF('Work Items'!$A$6:$A$5000="CR",ROW('Work Items'!$A$6:$A$5000)-ROW('Work Items'!$A$6)+1),224)),"")</f>
        <v/>
      </c>
      <c r="K228" s="217">
        <f t="array" ref="K228">IFERROR(INDEX('Work Items'!$Q$6:$Q$5000,SMALL(IF('Work Items'!$A$6:$A$5000="CR",ROW('Work Items'!$A$6:$A$5000)-ROW('Work Items'!$A$6)+1),224)),"")</f>
        <v/>
      </c>
      <c r="L228">
        <f t="array" ref="L228">IFERROR(INDEX('Work Items'!$N$6:$N$5000,SMALL(IF('Work Items'!$A$6:$A$5000="CR",ROW('Work Items'!$A$6:$A$5000)-ROW('Work Items'!$A$6)+1),224)),"")</f>
        <v/>
      </c>
      <c r="M228">
        <f t="array" ref="M228">IFERROR(INDEX('Work Items'!$O$6:$O$5000,SMALL(IF('Work Items'!$A$6:$A$5000="CR",ROW('Work Items'!$A$6:$A$5000)-ROW('Work Items'!$A$6)+1),224)),"")</f>
        <v/>
      </c>
    </row>
    <row r="229">
      <c r="A229">
        <f t="array" ref="A229">IFERROR(INDEX('Work Items'!$A$6:$A$5000,SMALL(IF('Work Items'!$A$6:$A$5000="CR",ROW('Work Items'!$A$6:$A$5000)-ROW('Work Items'!$A$6)+1),225)),"")</f>
        <v/>
      </c>
      <c r="B229">
        <f t="array" ref="B229">IFERROR(INDEX('Work Items'!$B$6:$B$5000,SMALL(IF('Work Items'!$A$6:$A$5000="CR",ROW('Work Items'!$A$6:$A$5000)-ROW('Work Items'!$A$6)+1),225)),"")</f>
        <v/>
      </c>
      <c r="C229">
        <f t="array" ref="C229">IFERROR(INDEX('Work Items'!$C$6:$C$5000,SMALL(IF('Work Items'!$A$6:$A$5000="CR",ROW('Work Items'!$A$6:$A$5000)-ROW('Work Items'!$A$6)+1),225)),"")</f>
        <v/>
      </c>
      <c r="D229">
        <f t="array" ref="D229">IFERROR(INDEX('Work Items'!$D$6:$D$5000,SMALL(IF('Work Items'!$A$6:$A$5000="CR",ROW('Work Items'!$A$6:$A$5000)-ROW('Work Items'!$A$6)+1),225)),"")</f>
        <v/>
      </c>
      <c r="E229">
        <f t="array" ref="E229">IFERROR(INDEX('Work Items'!$E$6:$E$5000,SMALL(IF('Work Items'!$A$6:$A$5000="CR",ROW('Work Items'!$A$6:$A$5000)-ROW('Work Items'!$A$6)+1),225)),"")</f>
        <v/>
      </c>
      <c r="F229">
        <f t="array" ref="F229">IFERROR(INDEX('Work Items'!$F$6:$F$5000,SMALL(IF('Work Items'!$A$6:$A$5000="CR",ROW('Work Items'!$A$6:$A$5000)-ROW('Work Items'!$A$6)+1),225)),"")</f>
        <v/>
      </c>
      <c r="G229">
        <f t="array" ref="G229">IFERROR(INDEX('Work Items'!$J$6:$J$5000,SMALL(IF('Work Items'!$A$6:$A$5000="CR",ROW('Work Items'!$A$6:$A$5000)-ROW('Work Items'!$A$6)+1),225)),"")</f>
        <v/>
      </c>
      <c r="H229">
        <f t="array" ref="H229">IFERROR(INDEX('Work Items'!$K$6:$K$5000,SMALL(IF('Work Items'!$A$6:$A$5000="CR",ROW('Work Items'!$A$6:$A$5000)-ROW('Work Items'!$A$6)+1),225)),"")</f>
        <v/>
      </c>
      <c r="I229">
        <f t="array" ref="I229">IFERROR(INDEX('Work Items'!$L$6:$L$5000,SMALL(IF('Work Items'!$A$6:$A$5000="CR",ROW('Work Items'!$A$6:$A$5000)-ROW('Work Items'!$A$6)+1),225)),"")</f>
        <v/>
      </c>
      <c r="J229" s="217">
        <f t="array" ref="J229">IFERROR(INDEX('Work Items'!$M$6:$M$5000,SMALL(IF('Work Items'!$A$6:$A$5000="CR",ROW('Work Items'!$A$6:$A$5000)-ROW('Work Items'!$A$6)+1),225)),"")</f>
        <v/>
      </c>
      <c r="K229" s="217">
        <f t="array" ref="K229">IFERROR(INDEX('Work Items'!$Q$6:$Q$5000,SMALL(IF('Work Items'!$A$6:$A$5000="CR",ROW('Work Items'!$A$6:$A$5000)-ROW('Work Items'!$A$6)+1),225)),"")</f>
        <v/>
      </c>
      <c r="L229">
        <f t="array" ref="L229">IFERROR(INDEX('Work Items'!$N$6:$N$5000,SMALL(IF('Work Items'!$A$6:$A$5000="CR",ROW('Work Items'!$A$6:$A$5000)-ROW('Work Items'!$A$6)+1),225)),"")</f>
        <v/>
      </c>
      <c r="M229">
        <f t="array" ref="M229">IFERROR(INDEX('Work Items'!$O$6:$O$5000,SMALL(IF('Work Items'!$A$6:$A$5000="CR",ROW('Work Items'!$A$6:$A$5000)-ROW('Work Items'!$A$6)+1),225)),"")</f>
        <v/>
      </c>
    </row>
    <row r="230">
      <c r="A230">
        <f t="array" ref="A230">IFERROR(INDEX('Work Items'!$A$6:$A$5000,SMALL(IF('Work Items'!$A$6:$A$5000="CR",ROW('Work Items'!$A$6:$A$5000)-ROW('Work Items'!$A$6)+1),226)),"")</f>
        <v/>
      </c>
      <c r="B230">
        <f t="array" ref="B230">IFERROR(INDEX('Work Items'!$B$6:$B$5000,SMALL(IF('Work Items'!$A$6:$A$5000="CR",ROW('Work Items'!$A$6:$A$5000)-ROW('Work Items'!$A$6)+1),226)),"")</f>
        <v/>
      </c>
      <c r="C230">
        <f t="array" ref="C230">IFERROR(INDEX('Work Items'!$C$6:$C$5000,SMALL(IF('Work Items'!$A$6:$A$5000="CR",ROW('Work Items'!$A$6:$A$5000)-ROW('Work Items'!$A$6)+1),226)),"")</f>
        <v/>
      </c>
      <c r="D230">
        <f t="array" ref="D230">IFERROR(INDEX('Work Items'!$D$6:$D$5000,SMALL(IF('Work Items'!$A$6:$A$5000="CR",ROW('Work Items'!$A$6:$A$5000)-ROW('Work Items'!$A$6)+1),226)),"")</f>
        <v/>
      </c>
      <c r="E230">
        <f t="array" ref="E230">IFERROR(INDEX('Work Items'!$E$6:$E$5000,SMALL(IF('Work Items'!$A$6:$A$5000="CR",ROW('Work Items'!$A$6:$A$5000)-ROW('Work Items'!$A$6)+1),226)),"")</f>
        <v/>
      </c>
      <c r="F230">
        <f t="array" ref="F230">IFERROR(INDEX('Work Items'!$F$6:$F$5000,SMALL(IF('Work Items'!$A$6:$A$5000="CR",ROW('Work Items'!$A$6:$A$5000)-ROW('Work Items'!$A$6)+1),226)),"")</f>
        <v/>
      </c>
      <c r="G230">
        <f t="array" ref="G230">IFERROR(INDEX('Work Items'!$J$6:$J$5000,SMALL(IF('Work Items'!$A$6:$A$5000="CR",ROW('Work Items'!$A$6:$A$5000)-ROW('Work Items'!$A$6)+1),226)),"")</f>
        <v/>
      </c>
      <c r="H230">
        <f t="array" ref="H230">IFERROR(INDEX('Work Items'!$K$6:$K$5000,SMALL(IF('Work Items'!$A$6:$A$5000="CR",ROW('Work Items'!$A$6:$A$5000)-ROW('Work Items'!$A$6)+1),226)),"")</f>
        <v/>
      </c>
      <c r="I230">
        <f t="array" ref="I230">IFERROR(INDEX('Work Items'!$L$6:$L$5000,SMALL(IF('Work Items'!$A$6:$A$5000="CR",ROW('Work Items'!$A$6:$A$5000)-ROW('Work Items'!$A$6)+1),226)),"")</f>
        <v/>
      </c>
      <c r="J230" s="217">
        <f t="array" ref="J230">IFERROR(INDEX('Work Items'!$M$6:$M$5000,SMALL(IF('Work Items'!$A$6:$A$5000="CR",ROW('Work Items'!$A$6:$A$5000)-ROW('Work Items'!$A$6)+1),226)),"")</f>
        <v/>
      </c>
      <c r="K230" s="217">
        <f t="array" ref="K230">IFERROR(INDEX('Work Items'!$Q$6:$Q$5000,SMALL(IF('Work Items'!$A$6:$A$5000="CR",ROW('Work Items'!$A$6:$A$5000)-ROW('Work Items'!$A$6)+1),226)),"")</f>
        <v/>
      </c>
      <c r="L230">
        <f t="array" ref="L230">IFERROR(INDEX('Work Items'!$N$6:$N$5000,SMALL(IF('Work Items'!$A$6:$A$5000="CR",ROW('Work Items'!$A$6:$A$5000)-ROW('Work Items'!$A$6)+1),226)),"")</f>
        <v/>
      </c>
      <c r="M230">
        <f t="array" ref="M230">IFERROR(INDEX('Work Items'!$O$6:$O$5000,SMALL(IF('Work Items'!$A$6:$A$5000="CR",ROW('Work Items'!$A$6:$A$5000)-ROW('Work Items'!$A$6)+1),226)),"")</f>
        <v/>
      </c>
    </row>
    <row r="231">
      <c r="A231">
        <f t="array" ref="A231">IFERROR(INDEX('Work Items'!$A$6:$A$5000,SMALL(IF('Work Items'!$A$6:$A$5000="CR",ROW('Work Items'!$A$6:$A$5000)-ROW('Work Items'!$A$6)+1),227)),"")</f>
        <v/>
      </c>
      <c r="B231">
        <f t="array" ref="B231">IFERROR(INDEX('Work Items'!$B$6:$B$5000,SMALL(IF('Work Items'!$A$6:$A$5000="CR",ROW('Work Items'!$A$6:$A$5000)-ROW('Work Items'!$A$6)+1),227)),"")</f>
        <v/>
      </c>
      <c r="C231">
        <f t="array" ref="C231">IFERROR(INDEX('Work Items'!$C$6:$C$5000,SMALL(IF('Work Items'!$A$6:$A$5000="CR",ROW('Work Items'!$A$6:$A$5000)-ROW('Work Items'!$A$6)+1),227)),"")</f>
        <v/>
      </c>
      <c r="D231">
        <f t="array" ref="D231">IFERROR(INDEX('Work Items'!$D$6:$D$5000,SMALL(IF('Work Items'!$A$6:$A$5000="CR",ROW('Work Items'!$A$6:$A$5000)-ROW('Work Items'!$A$6)+1),227)),"")</f>
        <v/>
      </c>
      <c r="E231">
        <f t="array" ref="E231">IFERROR(INDEX('Work Items'!$E$6:$E$5000,SMALL(IF('Work Items'!$A$6:$A$5000="CR",ROW('Work Items'!$A$6:$A$5000)-ROW('Work Items'!$A$6)+1),227)),"")</f>
        <v/>
      </c>
      <c r="F231">
        <f t="array" ref="F231">IFERROR(INDEX('Work Items'!$F$6:$F$5000,SMALL(IF('Work Items'!$A$6:$A$5000="CR",ROW('Work Items'!$A$6:$A$5000)-ROW('Work Items'!$A$6)+1),227)),"")</f>
        <v/>
      </c>
      <c r="G231">
        <f t="array" ref="G231">IFERROR(INDEX('Work Items'!$J$6:$J$5000,SMALL(IF('Work Items'!$A$6:$A$5000="CR",ROW('Work Items'!$A$6:$A$5000)-ROW('Work Items'!$A$6)+1),227)),"")</f>
        <v/>
      </c>
      <c r="H231">
        <f t="array" ref="H231">IFERROR(INDEX('Work Items'!$K$6:$K$5000,SMALL(IF('Work Items'!$A$6:$A$5000="CR",ROW('Work Items'!$A$6:$A$5000)-ROW('Work Items'!$A$6)+1),227)),"")</f>
        <v/>
      </c>
      <c r="I231">
        <f t="array" ref="I231">IFERROR(INDEX('Work Items'!$L$6:$L$5000,SMALL(IF('Work Items'!$A$6:$A$5000="CR",ROW('Work Items'!$A$6:$A$5000)-ROW('Work Items'!$A$6)+1),227)),"")</f>
        <v/>
      </c>
      <c r="J231" s="217">
        <f t="array" ref="J231">IFERROR(INDEX('Work Items'!$M$6:$M$5000,SMALL(IF('Work Items'!$A$6:$A$5000="CR",ROW('Work Items'!$A$6:$A$5000)-ROW('Work Items'!$A$6)+1),227)),"")</f>
        <v/>
      </c>
      <c r="K231" s="217">
        <f t="array" ref="K231">IFERROR(INDEX('Work Items'!$Q$6:$Q$5000,SMALL(IF('Work Items'!$A$6:$A$5000="CR",ROW('Work Items'!$A$6:$A$5000)-ROW('Work Items'!$A$6)+1),227)),"")</f>
        <v/>
      </c>
      <c r="L231">
        <f t="array" ref="L231">IFERROR(INDEX('Work Items'!$N$6:$N$5000,SMALL(IF('Work Items'!$A$6:$A$5000="CR",ROW('Work Items'!$A$6:$A$5000)-ROW('Work Items'!$A$6)+1),227)),"")</f>
        <v/>
      </c>
      <c r="M231">
        <f t="array" ref="M231">IFERROR(INDEX('Work Items'!$O$6:$O$5000,SMALL(IF('Work Items'!$A$6:$A$5000="CR",ROW('Work Items'!$A$6:$A$5000)-ROW('Work Items'!$A$6)+1),227)),"")</f>
        <v/>
      </c>
    </row>
    <row r="232">
      <c r="A232">
        <f t="array" ref="A232">IFERROR(INDEX('Work Items'!$A$6:$A$5000,SMALL(IF('Work Items'!$A$6:$A$5000="CR",ROW('Work Items'!$A$6:$A$5000)-ROW('Work Items'!$A$6)+1),228)),"")</f>
        <v/>
      </c>
      <c r="B232">
        <f t="array" ref="B232">IFERROR(INDEX('Work Items'!$B$6:$B$5000,SMALL(IF('Work Items'!$A$6:$A$5000="CR",ROW('Work Items'!$A$6:$A$5000)-ROW('Work Items'!$A$6)+1),228)),"")</f>
        <v/>
      </c>
      <c r="C232">
        <f t="array" ref="C232">IFERROR(INDEX('Work Items'!$C$6:$C$5000,SMALL(IF('Work Items'!$A$6:$A$5000="CR",ROW('Work Items'!$A$6:$A$5000)-ROW('Work Items'!$A$6)+1),228)),"")</f>
        <v/>
      </c>
      <c r="D232">
        <f t="array" ref="D232">IFERROR(INDEX('Work Items'!$D$6:$D$5000,SMALL(IF('Work Items'!$A$6:$A$5000="CR",ROW('Work Items'!$A$6:$A$5000)-ROW('Work Items'!$A$6)+1),228)),"")</f>
        <v/>
      </c>
      <c r="E232">
        <f t="array" ref="E232">IFERROR(INDEX('Work Items'!$E$6:$E$5000,SMALL(IF('Work Items'!$A$6:$A$5000="CR",ROW('Work Items'!$A$6:$A$5000)-ROW('Work Items'!$A$6)+1),228)),"")</f>
        <v/>
      </c>
      <c r="F232">
        <f t="array" ref="F232">IFERROR(INDEX('Work Items'!$F$6:$F$5000,SMALL(IF('Work Items'!$A$6:$A$5000="CR",ROW('Work Items'!$A$6:$A$5000)-ROW('Work Items'!$A$6)+1),228)),"")</f>
        <v/>
      </c>
      <c r="G232">
        <f t="array" ref="G232">IFERROR(INDEX('Work Items'!$J$6:$J$5000,SMALL(IF('Work Items'!$A$6:$A$5000="CR",ROW('Work Items'!$A$6:$A$5000)-ROW('Work Items'!$A$6)+1),228)),"")</f>
        <v/>
      </c>
      <c r="H232">
        <f t="array" ref="H232">IFERROR(INDEX('Work Items'!$K$6:$K$5000,SMALL(IF('Work Items'!$A$6:$A$5000="CR",ROW('Work Items'!$A$6:$A$5000)-ROW('Work Items'!$A$6)+1),228)),"")</f>
        <v/>
      </c>
      <c r="I232">
        <f t="array" ref="I232">IFERROR(INDEX('Work Items'!$L$6:$L$5000,SMALL(IF('Work Items'!$A$6:$A$5000="CR",ROW('Work Items'!$A$6:$A$5000)-ROW('Work Items'!$A$6)+1),228)),"")</f>
        <v/>
      </c>
      <c r="J232" s="217">
        <f t="array" ref="J232">IFERROR(INDEX('Work Items'!$M$6:$M$5000,SMALL(IF('Work Items'!$A$6:$A$5000="CR",ROW('Work Items'!$A$6:$A$5000)-ROW('Work Items'!$A$6)+1),228)),"")</f>
        <v/>
      </c>
      <c r="K232" s="217">
        <f t="array" ref="K232">IFERROR(INDEX('Work Items'!$Q$6:$Q$5000,SMALL(IF('Work Items'!$A$6:$A$5000="CR",ROW('Work Items'!$A$6:$A$5000)-ROW('Work Items'!$A$6)+1),228)),"")</f>
        <v/>
      </c>
      <c r="L232">
        <f t="array" ref="L232">IFERROR(INDEX('Work Items'!$N$6:$N$5000,SMALL(IF('Work Items'!$A$6:$A$5000="CR",ROW('Work Items'!$A$6:$A$5000)-ROW('Work Items'!$A$6)+1),228)),"")</f>
        <v/>
      </c>
      <c r="M232">
        <f t="array" ref="M232">IFERROR(INDEX('Work Items'!$O$6:$O$5000,SMALL(IF('Work Items'!$A$6:$A$5000="CR",ROW('Work Items'!$A$6:$A$5000)-ROW('Work Items'!$A$6)+1),228)),"")</f>
        <v/>
      </c>
    </row>
    <row r="233">
      <c r="A233">
        <f t="array" ref="A233">IFERROR(INDEX('Work Items'!$A$6:$A$5000,SMALL(IF('Work Items'!$A$6:$A$5000="CR",ROW('Work Items'!$A$6:$A$5000)-ROW('Work Items'!$A$6)+1),229)),"")</f>
        <v/>
      </c>
      <c r="B233">
        <f t="array" ref="B233">IFERROR(INDEX('Work Items'!$B$6:$B$5000,SMALL(IF('Work Items'!$A$6:$A$5000="CR",ROW('Work Items'!$A$6:$A$5000)-ROW('Work Items'!$A$6)+1),229)),"")</f>
        <v/>
      </c>
      <c r="C233">
        <f t="array" ref="C233">IFERROR(INDEX('Work Items'!$C$6:$C$5000,SMALL(IF('Work Items'!$A$6:$A$5000="CR",ROW('Work Items'!$A$6:$A$5000)-ROW('Work Items'!$A$6)+1),229)),"")</f>
        <v/>
      </c>
      <c r="D233">
        <f t="array" ref="D233">IFERROR(INDEX('Work Items'!$D$6:$D$5000,SMALL(IF('Work Items'!$A$6:$A$5000="CR",ROW('Work Items'!$A$6:$A$5000)-ROW('Work Items'!$A$6)+1),229)),"")</f>
        <v/>
      </c>
      <c r="E233">
        <f t="array" ref="E233">IFERROR(INDEX('Work Items'!$E$6:$E$5000,SMALL(IF('Work Items'!$A$6:$A$5000="CR",ROW('Work Items'!$A$6:$A$5000)-ROW('Work Items'!$A$6)+1),229)),"")</f>
        <v/>
      </c>
      <c r="F233">
        <f t="array" ref="F233">IFERROR(INDEX('Work Items'!$F$6:$F$5000,SMALL(IF('Work Items'!$A$6:$A$5000="CR",ROW('Work Items'!$A$6:$A$5000)-ROW('Work Items'!$A$6)+1),229)),"")</f>
        <v/>
      </c>
      <c r="G233">
        <f t="array" ref="G233">IFERROR(INDEX('Work Items'!$J$6:$J$5000,SMALL(IF('Work Items'!$A$6:$A$5000="CR",ROW('Work Items'!$A$6:$A$5000)-ROW('Work Items'!$A$6)+1),229)),"")</f>
        <v/>
      </c>
      <c r="H233">
        <f t="array" ref="H233">IFERROR(INDEX('Work Items'!$K$6:$K$5000,SMALL(IF('Work Items'!$A$6:$A$5000="CR",ROW('Work Items'!$A$6:$A$5000)-ROW('Work Items'!$A$6)+1),229)),"")</f>
        <v/>
      </c>
      <c r="I233">
        <f t="array" ref="I233">IFERROR(INDEX('Work Items'!$L$6:$L$5000,SMALL(IF('Work Items'!$A$6:$A$5000="CR",ROW('Work Items'!$A$6:$A$5000)-ROW('Work Items'!$A$6)+1),229)),"")</f>
        <v/>
      </c>
      <c r="J233" s="217">
        <f t="array" ref="J233">IFERROR(INDEX('Work Items'!$M$6:$M$5000,SMALL(IF('Work Items'!$A$6:$A$5000="CR",ROW('Work Items'!$A$6:$A$5000)-ROW('Work Items'!$A$6)+1),229)),"")</f>
        <v/>
      </c>
      <c r="K233" s="217">
        <f t="array" ref="K233">IFERROR(INDEX('Work Items'!$Q$6:$Q$5000,SMALL(IF('Work Items'!$A$6:$A$5000="CR",ROW('Work Items'!$A$6:$A$5000)-ROW('Work Items'!$A$6)+1),229)),"")</f>
        <v/>
      </c>
      <c r="L233">
        <f t="array" ref="L233">IFERROR(INDEX('Work Items'!$N$6:$N$5000,SMALL(IF('Work Items'!$A$6:$A$5000="CR",ROW('Work Items'!$A$6:$A$5000)-ROW('Work Items'!$A$6)+1),229)),"")</f>
        <v/>
      </c>
      <c r="M233">
        <f t="array" ref="M233">IFERROR(INDEX('Work Items'!$O$6:$O$5000,SMALL(IF('Work Items'!$A$6:$A$5000="CR",ROW('Work Items'!$A$6:$A$5000)-ROW('Work Items'!$A$6)+1),229)),"")</f>
        <v/>
      </c>
    </row>
    <row r="234">
      <c r="A234">
        <f t="array" ref="A234">IFERROR(INDEX('Work Items'!$A$6:$A$5000,SMALL(IF('Work Items'!$A$6:$A$5000="CR",ROW('Work Items'!$A$6:$A$5000)-ROW('Work Items'!$A$6)+1),230)),"")</f>
        <v/>
      </c>
      <c r="B234">
        <f t="array" ref="B234">IFERROR(INDEX('Work Items'!$B$6:$B$5000,SMALL(IF('Work Items'!$A$6:$A$5000="CR",ROW('Work Items'!$A$6:$A$5000)-ROW('Work Items'!$A$6)+1),230)),"")</f>
        <v/>
      </c>
      <c r="C234">
        <f t="array" ref="C234">IFERROR(INDEX('Work Items'!$C$6:$C$5000,SMALL(IF('Work Items'!$A$6:$A$5000="CR",ROW('Work Items'!$A$6:$A$5000)-ROW('Work Items'!$A$6)+1),230)),"")</f>
        <v/>
      </c>
      <c r="D234">
        <f t="array" ref="D234">IFERROR(INDEX('Work Items'!$D$6:$D$5000,SMALL(IF('Work Items'!$A$6:$A$5000="CR",ROW('Work Items'!$A$6:$A$5000)-ROW('Work Items'!$A$6)+1),230)),"")</f>
        <v/>
      </c>
      <c r="E234">
        <f t="array" ref="E234">IFERROR(INDEX('Work Items'!$E$6:$E$5000,SMALL(IF('Work Items'!$A$6:$A$5000="CR",ROW('Work Items'!$A$6:$A$5000)-ROW('Work Items'!$A$6)+1),230)),"")</f>
        <v/>
      </c>
      <c r="F234">
        <f t="array" ref="F234">IFERROR(INDEX('Work Items'!$F$6:$F$5000,SMALL(IF('Work Items'!$A$6:$A$5000="CR",ROW('Work Items'!$A$6:$A$5000)-ROW('Work Items'!$A$6)+1),230)),"")</f>
        <v/>
      </c>
      <c r="G234">
        <f t="array" ref="G234">IFERROR(INDEX('Work Items'!$J$6:$J$5000,SMALL(IF('Work Items'!$A$6:$A$5000="CR",ROW('Work Items'!$A$6:$A$5000)-ROW('Work Items'!$A$6)+1),230)),"")</f>
        <v/>
      </c>
      <c r="H234">
        <f t="array" ref="H234">IFERROR(INDEX('Work Items'!$K$6:$K$5000,SMALL(IF('Work Items'!$A$6:$A$5000="CR",ROW('Work Items'!$A$6:$A$5000)-ROW('Work Items'!$A$6)+1),230)),"")</f>
        <v/>
      </c>
      <c r="I234">
        <f t="array" ref="I234">IFERROR(INDEX('Work Items'!$L$6:$L$5000,SMALL(IF('Work Items'!$A$6:$A$5000="CR",ROW('Work Items'!$A$6:$A$5000)-ROW('Work Items'!$A$6)+1),230)),"")</f>
        <v/>
      </c>
      <c r="J234" s="217">
        <f t="array" ref="J234">IFERROR(INDEX('Work Items'!$M$6:$M$5000,SMALL(IF('Work Items'!$A$6:$A$5000="CR",ROW('Work Items'!$A$6:$A$5000)-ROW('Work Items'!$A$6)+1),230)),"")</f>
        <v/>
      </c>
      <c r="K234" s="217">
        <f t="array" ref="K234">IFERROR(INDEX('Work Items'!$Q$6:$Q$5000,SMALL(IF('Work Items'!$A$6:$A$5000="CR",ROW('Work Items'!$A$6:$A$5000)-ROW('Work Items'!$A$6)+1),230)),"")</f>
        <v/>
      </c>
      <c r="L234">
        <f t="array" ref="L234">IFERROR(INDEX('Work Items'!$N$6:$N$5000,SMALL(IF('Work Items'!$A$6:$A$5000="CR",ROW('Work Items'!$A$6:$A$5000)-ROW('Work Items'!$A$6)+1),230)),"")</f>
        <v/>
      </c>
      <c r="M234">
        <f t="array" ref="M234">IFERROR(INDEX('Work Items'!$O$6:$O$5000,SMALL(IF('Work Items'!$A$6:$A$5000="CR",ROW('Work Items'!$A$6:$A$5000)-ROW('Work Items'!$A$6)+1),230)),"")</f>
        <v/>
      </c>
    </row>
    <row r="235">
      <c r="A235">
        <f t="array" ref="A235">IFERROR(INDEX('Work Items'!$A$6:$A$5000,SMALL(IF('Work Items'!$A$6:$A$5000="CR",ROW('Work Items'!$A$6:$A$5000)-ROW('Work Items'!$A$6)+1),231)),"")</f>
        <v/>
      </c>
      <c r="B235">
        <f t="array" ref="B235">IFERROR(INDEX('Work Items'!$B$6:$B$5000,SMALL(IF('Work Items'!$A$6:$A$5000="CR",ROW('Work Items'!$A$6:$A$5000)-ROW('Work Items'!$A$6)+1),231)),"")</f>
        <v/>
      </c>
      <c r="C235">
        <f t="array" ref="C235">IFERROR(INDEX('Work Items'!$C$6:$C$5000,SMALL(IF('Work Items'!$A$6:$A$5000="CR",ROW('Work Items'!$A$6:$A$5000)-ROW('Work Items'!$A$6)+1),231)),"")</f>
        <v/>
      </c>
      <c r="D235">
        <f t="array" ref="D235">IFERROR(INDEX('Work Items'!$D$6:$D$5000,SMALL(IF('Work Items'!$A$6:$A$5000="CR",ROW('Work Items'!$A$6:$A$5000)-ROW('Work Items'!$A$6)+1),231)),"")</f>
        <v/>
      </c>
      <c r="E235">
        <f t="array" ref="E235">IFERROR(INDEX('Work Items'!$E$6:$E$5000,SMALL(IF('Work Items'!$A$6:$A$5000="CR",ROW('Work Items'!$A$6:$A$5000)-ROW('Work Items'!$A$6)+1),231)),"")</f>
        <v/>
      </c>
      <c r="F235">
        <f t="array" ref="F235">IFERROR(INDEX('Work Items'!$F$6:$F$5000,SMALL(IF('Work Items'!$A$6:$A$5000="CR",ROW('Work Items'!$A$6:$A$5000)-ROW('Work Items'!$A$6)+1),231)),"")</f>
        <v/>
      </c>
      <c r="G235">
        <f t="array" ref="G235">IFERROR(INDEX('Work Items'!$J$6:$J$5000,SMALL(IF('Work Items'!$A$6:$A$5000="CR",ROW('Work Items'!$A$6:$A$5000)-ROW('Work Items'!$A$6)+1),231)),"")</f>
        <v/>
      </c>
      <c r="H235">
        <f t="array" ref="H235">IFERROR(INDEX('Work Items'!$K$6:$K$5000,SMALL(IF('Work Items'!$A$6:$A$5000="CR",ROW('Work Items'!$A$6:$A$5000)-ROW('Work Items'!$A$6)+1),231)),"")</f>
        <v/>
      </c>
      <c r="I235">
        <f t="array" ref="I235">IFERROR(INDEX('Work Items'!$L$6:$L$5000,SMALL(IF('Work Items'!$A$6:$A$5000="CR",ROW('Work Items'!$A$6:$A$5000)-ROW('Work Items'!$A$6)+1),231)),"")</f>
        <v/>
      </c>
      <c r="J235" s="217">
        <f t="array" ref="J235">IFERROR(INDEX('Work Items'!$M$6:$M$5000,SMALL(IF('Work Items'!$A$6:$A$5000="CR",ROW('Work Items'!$A$6:$A$5000)-ROW('Work Items'!$A$6)+1),231)),"")</f>
        <v/>
      </c>
      <c r="K235" s="217">
        <f t="array" ref="K235">IFERROR(INDEX('Work Items'!$Q$6:$Q$5000,SMALL(IF('Work Items'!$A$6:$A$5000="CR",ROW('Work Items'!$A$6:$A$5000)-ROW('Work Items'!$A$6)+1),231)),"")</f>
        <v/>
      </c>
      <c r="L235">
        <f t="array" ref="L235">IFERROR(INDEX('Work Items'!$N$6:$N$5000,SMALL(IF('Work Items'!$A$6:$A$5000="CR",ROW('Work Items'!$A$6:$A$5000)-ROW('Work Items'!$A$6)+1),231)),"")</f>
        <v/>
      </c>
      <c r="M235">
        <f t="array" ref="M235">IFERROR(INDEX('Work Items'!$O$6:$O$5000,SMALL(IF('Work Items'!$A$6:$A$5000="CR",ROW('Work Items'!$A$6:$A$5000)-ROW('Work Items'!$A$6)+1),231)),"")</f>
        <v/>
      </c>
    </row>
    <row r="236">
      <c r="A236">
        <f t="array" ref="A236">IFERROR(INDEX('Work Items'!$A$6:$A$5000,SMALL(IF('Work Items'!$A$6:$A$5000="CR",ROW('Work Items'!$A$6:$A$5000)-ROW('Work Items'!$A$6)+1),232)),"")</f>
        <v/>
      </c>
      <c r="B236">
        <f t="array" ref="B236">IFERROR(INDEX('Work Items'!$B$6:$B$5000,SMALL(IF('Work Items'!$A$6:$A$5000="CR",ROW('Work Items'!$A$6:$A$5000)-ROW('Work Items'!$A$6)+1),232)),"")</f>
        <v/>
      </c>
      <c r="C236">
        <f t="array" ref="C236">IFERROR(INDEX('Work Items'!$C$6:$C$5000,SMALL(IF('Work Items'!$A$6:$A$5000="CR",ROW('Work Items'!$A$6:$A$5000)-ROW('Work Items'!$A$6)+1),232)),"")</f>
        <v/>
      </c>
      <c r="D236">
        <f t="array" ref="D236">IFERROR(INDEX('Work Items'!$D$6:$D$5000,SMALL(IF('Work Items'!$A$6:$A$5000="CR",ROW('Work Items'!$A$6:$A$5000)-ROW('Work Items'!$A$6)+1),232)),"")</f>
        <v/>
      </c>
      <c r="E236">
        <f t="array" ref="E236">IFERROR(INDEX('Work Items'!$E$6:$E$5000,SMALL(IF('Work Items'!$A$6:$A$5000="CR",ROW('Work Items'!$A$6:$A$5000)-ROW('Work Items'!$A$6)+1),232)),"")</f>
        <v/>
      </c>
      <c r="F236">
        <f t="array" ref="F236">IFERROR(INDEX('Work Items'!$F$6:$F$5000,SMALL(IF('Work Items'!$A$6:$A$5000="CR",ROW('Work Items'!$A$6:$A$5000)-ROW('Work Items'!$A$6)+1),232)),"")</f>
        <v/>
      </c>
      <c r="G236">
        <f t="array" ref="G236">IFERROR(INDEX('Work Items'!$J$6:$J$5000,SMALL(IF('Work Items'!$A$6:$A$5000="CR",ROW('Work Items'!$A$6:$A$5000)-ROW('Work Items'!$A$6)+1),232)),"")</f>
        <v/>
      </c>
      <c r="H236">
        <f t="array" ref="H236">IFERROR(INDEX('Work Items'!$K$6:$K$5000,SMALL(IF('Work Items'!$A$6:$A$5000="CR",ROW('Work Items'!$A$6:$A$5000)-ROW('Work Items'!$A$6)+1),232)),"")</f>
        <v/>
      </c>
      <c r="I236">
        <f t="array" ref="I236">IFERROR(INDEX('Work Items'!$L$6:$L$5000,SMALL(IF('Work Items'!$A$6:$A$5000="CR",ROW('Work Items'!$A$6:$A$5000)-ROW('Work Items'!$A$6)+1),232)),"")</f>
        <v/>
      </c>
      <c r="J236" s="217">
        <f t="array" ref="J236">IFERROR(INDEX('Work Items'!$M$6:$M$5000,SMALL(IF('Work Items'!$A$6:$A$5000="CR",ROW('Work Items'!$A$6:$A$5000)-ROW('Work Items'!$A$6)+1),232)),"")</f>
        <v/>
      </c>
      <c r="K236" s="217">
        <f t="array" ref="K236">IFERROR(INDEX('Work Items'!$Q$6:$Q$5000,SMALL(IF('Work Items'!$A$6:$A$5000="CR",ROW('Work Items'!$A$6:$A$5000)-ROW('Work Items'!$A$6)+1),232)),"")</f>
        <v/>
      </c>
      <c r="L236">
        <f t="array" ref="L236">IFERROR(INDEX('Work Items'!$N$6:$N$5000,SMALL(IF('Work Items'!$A$6:$A$5000="CR",ROW('Work Items'!$A$6:$A$5000)-ROW('Work Items'!$A$6)+1),232)),"")</f>
        <v/>
      </c>
      <c r="M236">
        <f t="array" ref="M236">IFERROR(INDEX('Work Items'!$O$6:$O$5000,SMALL(IF('Work Items'!$A$6:$A$5000="CR",ROW('Work Items'!$A$6:$A$5000)-ROW('Work Items'!$A$6)+1),232)),"")</f>
        <v/>
      </c>
    </row>
    <row r="237">
      <c r="A237">
        <f t="array" ref="A237">IFERROR(INDEX('Work Items'!$A$6:$A$5000,SMALL(IF('Work Items'!$A$6:$A$5000="CR",ROW('Work Items'!$A$6:$A$5000)-ROW('Work Items'!$A$6)+1),233)),"")</f>
        <v/>
      </c>
      <c r="B237">
        <f t="array" ref="B237">IFERROR(INDEX('Work Items'!$B$6:$B$5000,SMALL(IF('Work Items'!$A$6:$A$5000="CR",ROW('Work Items'!$A$6:$A$5000)-ROW('Work Items'!$A$6)+1),233)),"")</f>
        <v/>
      </c>
      <c r="C237">
        <f t="array" ref="C237">IFERROR(INDEX('Work Items'!$C$6:$C$5000,SMALL(IF('Work Items'!$A$6:$A$5000="CR",ROW('Work Items'!$A$6:$A$5000)-ROW('Work Items'!$A$6)+1),233)),"")</f>
        <v/>
      </c>
      <c r="D237">
        <f t="array" ref="D237">IFERROR(INDEX('Work Items'!$D$6:$D$5000,SMALL(IF('Work Items'!$A$6:$A$5000="CR",ROW('Work Items'!$A$6:$A$5000)-ROW('Work Items'!$A$6)+1),233)),"")</f>
        <v/>
      </c>
      <c r="E237">
        <f t="array" ref="E237">IFERROR(INDEX('Work Items'!$E$6:$E$5000,SMALL(IF('Work Items'!$A$6:$A$5000="CR",ROW('Work Items'!$A$6:$A$5000)-ROW('Work Items'!$A$6)+1),233)),"")</f>
        <v/>
      </c>
      <c r="F237">
        <f t="array" ref="F237">IFERROR(INDEX('Work Items'!$F$6:$F$5000,SMALL(IF('Work Items'!$A$6:$A$5000="CR",ROW('Work Items'!$A$6:$A$5000)-ROW('Work Items'!$A$6)+1),233)),"")</f>
        <v/>
      </c>
      <c r="G237">
        <f t="array" ref="G237">IFERROR(INDEX('Work Items'!$J$6:$J$5000,SMALL(IF('Work Items'!$A$6:$A$5000="CR",ROW('Work Items'!$A$6:$A$5000)-ROW('Work Items'!$A$6)+1),233)),"")</f>
        <v/>
      </c>
      <c r="H237">
        <f t="array" ref="H237">IFERROR(INDEX('Work Items'!$K$6:$K$5000,SMALL(IF('Work Items'!$A$6:$A$5000="CR",ROW('Work Items'!$A$6:$A$5000)-ROW('Work Items'!$A$6)+1),233)),"")</f>
        <v/>
      </c>
      <c r="I237">
        <f t="array" ref="I237">IFERROR(INDEX('Work Items'!$L$6:$L$5000,SMALL(IF('Work Items'!$A$6:$A$5000="CR",ROW('Work Items'!$A$6:$A$5000)-ROW('Work Items'!$A$6)+1),233)),"")</f>
        <v/>
      </c>
      <c r="J237" s="217">
        <f t="array" ref="J237">IFERROR(INDEX('Work Items'!$M$6:$M$5000,SMALL(IF('Work Items'!$A$6:$A$5000="CR",ROW('Work Items'!$A$6:$A$5000)-ROW('Work Items'!$A$6)+1),233)),"")</f>
        <v/>
      </c>
      <c r="K237" s="217">
        <f t="array" ref="K237">IFERROR(INDEX('Work Items'!$Q$6:$Q$5000,SMALL(IF('Work Items'!$A$6:$A$5000="CR",ROW('Work Items'!$A$6:$A$5000)-ROW('Work Items'!$A$6)+1),233)),"")</f>
        <v/>
      </c>
      <c r="L237">
        <f t="array" ref="L237">IFERROR(INDEX('Work Items'!$N$6:$N$5000,SMALL(IF('Work Items'!$A$6:$A$5000="CR",ROW('Work Items'!$A$6:$A$5000)-ROW('Work Items'!$A$6)+1),233)),"")</f>
        <v/>
      </c>
      <c r="M237">
        <f t="array" ref="M237">IFERROR(INDEX('Work Items'!$O$6:$O$5000,SMALL(IF('Work Items'!$A$6:$A$5000="CR",ROW('Work Items'!$A$6:$A$5000)-ROW('Work Items'!$A$6)+1),233)),"")</f>
        <v/>
      </c>
    </row>
    <row r="238">
      <c r="A238">
        <f t="array" ref="A238">IFERROR(INDEX('Work Items'!$A$6:$A$5000,SMALL(IF('Work Items'!$A$6:$A$5000="CR",ROW('Work Items'!$A$6:$A$5000)-ROW('Work Items'!$A$6)+1),234)),"")</f>
        <v/>
      </c>
      <c r="B238">
        <f t="array" ref="B238">IFERROR(INDEX('Work Items'!$B$6:$B$5000,SMALL(IF('Work Items'!$A$6:$A$5000="CR",ROW('Work Items'!$A$6:$A$5000)-ROW('Work Items'!$A$6)+1),234)),"")</f>
        <v/>
      </c>
      <c r="C238">
        <f t="array" ref="C238">IFERROR(INDEX('Work Items'!$C$6:$C$5000,SMALL(IF('Work Items'!$A$6:$A$5000="CR",ROW('Work Items'!$A$6:$A$5000)-ROW('Work Items'!$A$6)+1),234)),"")</f>
        <v/>
      </c>
      <c r="D238">
        <f t="array" ref="D238">IFERROR(INDEX('Work Items'!$D$6:$D$5000,SMALL(IF('Work Items'!$A$6:$A$5000="CR",ROW('Work Items'!$A$6:$A$5000)-ROW('Work Items'!$A$6)+1),234)),"")</f>
        <v/>
      </c>
      <c r="E238">
        <f t="array" ref="E238">IFERROR(INDEX('Work Items'!$E$6:$E$5000,SMALL(IF('Work Items'!$A$6:$A$5000="CR",ROW('Work Items'!$A$6:$A$5000)-ROW('Work Items'!$A$6)+1),234)),"")</f>
        <v/>
      </c>
      <c r="F238">
        <f t="array" ref="F238">IFERROR(INDEX('Work Items'!$F$6:$F$5000,SMALL(IF('Work Items'!$A$6:$A$5000="CR",ROW('Work Items'!$A$6:$A$5000)-ROW('Work Items'!$A$6)+1),234)),"")</f>
        <v/>
      </c>
      <c r="G238">
        <f t="array" ref="G238">IFERROR(INDEX('Work Items'!$J$6:$J$5000,SMALL(IF('Work Items'!$A$6:$A$5000="CR",ROW('Work Items'!$A$6:$A$5000)-ROW('Work Items'!$A$6)+1),234)),"")</f>
        <v/>
      </c>
      <c r="H238">
        <f t="array" ref="H238">IFERROR(INDEX('Work Items'!$K$6:$K$5000,SMALL(IF('Work Items'!$A$6:$A$5000="CR",ROW('Work Items'!$A$6:$A$5000)-ROW('Work Items'!$A$6)+1),234)),"")</f>
        <v/>
      </c>
      <c r="I238">
        <f t="array" ref="I238">IFERROR(INDEX('Work Items'!$L$6:$L$5000,SMALL(IF('Work Items'!$A$6:$A$5000="CR",ROW('Work Items'!$A$6:$A$5000)-ROW('Work Items'!$A$6)+1),234)),"")</f>
        <v/>
      </c>
      <c r="J238" s="217">
        <f t="array" ref="J238">IFERROR(INDEX('Work Items'!$M$6:$M$5000,SMALL(IF('Work Items'!$A$6:$A$5000="CR",ROW('Work Items'!$A$6:$A$5000)-ROW('Work Items'!$A$6)+1),234)),"")</f>
        <v/>
      </c>
      <c r="K238" s="217">
        <f t="array" ref="K238">IFERROR(INDEX('Work Items'!$Q$6:$Q$5000,SMALL(IF('Work Items'!$A$6:$A$5000="CR",ROW('Work Items'!$A$6:$A$5000)-ROW('Work Items'!$A$6)+1),234)),"")</f>
        <v/>
      </c>
      <c r="L238">
        <f t="array" ref="L238">IFERROR(INDEX('Work Items'!$N$6:$N$5000,SMALL(IF('Work Items'!$A$6:$A$5000="CR",ROW('Work Items'!$A$6:$A$5000)-ROW('Work Items'!$A$6)+1),234)),"")</f>
        <v/>
      </c>
      <c r="M238">
        <f t="array" ref="M238">IFERROR(INDEX('Work Items'!$O$6:$O$5000,SMALL(IF('Work Items'!$A$6:$A$5000="CR",ROW('Work Items'!$A$6:$A$5000)-ROW('Work Items'!$A$6)+1),234)),"")</f>
        <v/>
      </c>
    </row>
    <row r="239">
      <c r="A239">
        <f t="array" ref="A239">IFERROR(INDEX('Work Items'!$A$6:$A$5000,SMALL(IF('Work Items'!$A$6:$A$5000="CR",ROW('Work Items'!$A$6:$A$5000)-ROW('Work Items'!$A$6)+1),235)),"")</f>
        <v/>
      </c>
      <c r="B239">
        <f t="array" ref="B239">IFERROR(INDEX('Work Items'!$B$6:$B$5000,SMALL(IF('Work Items'!$A$6:$A$5000="CR",ROW('Work Items'!$A$6:$A$5000)-ROW('Work Items'!$A$6)+1),235)),"")</f>
        <v/>
      </c>
      <c r="C239">
        <f t="array" ref="C239">IFERROR(INDEX('Work Items'!$C$6:$C$5000,SMALL(IF('Work Items'!$A$6:$A$5000="CR",ROW('Work Items'!$A$6:$A$5000)-ROW('Work Items'!$A$6)+1),235)),"")</f>
        <v/>
      </c>
      <c r="D239">
        <f t="array" ref="D239">IFERROR(INDEX('Work Items'!$D$6:$D$5000,SMALL(IF('Work Items'!$A$6:$A$5000="CR",ROW('Work Items'!$A$6:$A$5000)-ROW('Work Items'!$A$6)+1),235)),"")</f>
        <v/>
      </c>
      <c r="E239">
        <f t="array" ref="E239">IFERROR(INDEX('Work Items'!$E$6:$E$5000,SMALL(IF('Work Items'!$A$6:$A$5000="CR",ROW('Work Items'!$A$6:$A$5000)-ROW('Work Items'!$A$6)+1),235)),"")</f>
        <v/>
      </c>
      <c r="F239">
        <f t="array" ref="F239">IFERROR(INDEX('Work Items'!$F$6:$F$5000,SMALL(IF('Work Items'!$A$6:$A$5000="CR",ROW('Work Items'!$A$6:$A$5000)-ROW('Work Items'!$A$6)+1),235)),"")</f>
        <v/>
      </c>
      <c r="G239">
        <f t="array" ref="G239">IFERROR(INDEX('Work Items'!$J$6:$J$5000,SMALL(IF('Work Items'!$A$6:$A$5000="CR",ROW('Work Items'!$A$6:$A$5000)-ROW('Work Items'!$A$6)+1),235)),"")</f>
        <v/>
      </c>
      <c r="H239">
        <f t="array" ref="H239">IFERROR(INDEX('Work Items'!$K$6:$K$5000,SMALL(IF('Work Items'!$A$6:$A$5000="CR",ROW('Work Items'!$A$6:$A$5000)-ROW('Work Items'!$A$6)+1),235)),"")</f>
        <v/>
      </c>
      <c r="I239">
        <f t="array" ref="I239">IFERROR(INDEX('Work Items'!$L$6:$L$5000,SMALL(IF('Work Items'!$A$6:$A$5000="CR",ROW('Work Items'!$A$6:$A$5000)-ROW('Work Items'!$A$6)+1),235)),"")</f>
        <v/>
      </c>
      <c r="J239" s="217">
        <f t="array" ref="J239">IFERROR(INDEX('Work Items'!$M$6:$M$5000,SMALL(IF('Work Items'!$A$6:$A$5000="CR",ROW('Work Items'!$A$6:$A$5000)-ROW('Work Items'!$A$6)+1),235)),"")</f>
        <v/>
      </c>
      <c r="K239" s="217">
        <f t="array" ref="K239">IFERROR(INDEX('Work Items'!$Q$6:$Q$5000,SMALL(IF('Work Items'!$A$6:$A$5000="CR",ROW('Work Items'!$A$6:$A$5000)-ROW('Work Items'!$A$6)+1),235)),"")</f>
        <v/>
      </c>
      <c r="L239">
        <f t="array" ref="L239">IFERROR(INDEX('Work Items'!$N$6:$N$5000,SMALL(IF('Work Items'!$A$6:$A$5000="CR",ROW('Work Items'!$A$6:$A$5000)-ROW('Work Items'!$A$6)+1),235)),"")</f>
        <v/>
      </c>
      <c r="M239">
        <f t="array" ref="M239">IFERROR(INDEX('Work Items'!$O$6:$O$5000,SMALL(IF('Work Items'!$A$6:$A$5000="CR",ROW('Work Items'!$A$6:$A$5000)-ROW('Work Items'!$A$6)+1),235)),"")</f>
        <v/>
      </c>
    </row>
    <row r="240">
      <c r="A240">
        <f t="array" ref="A240">IFERROR(INDEX('Work Items'!$A$6:$A$5000,SMALL(IF('Work Items'!$A$6:$A$5000="CR",ROW('Work Items'!$A$6:$A$5000)-ROW('Work Items'!$A$6)+1),236)),"")</f>
        <v/>
      </c>
      <c r="B240">
        <f t="array" ref="B240">IFERROR(INDEX('Work Items'!$B$6:$B$5000,SMALL(IF('Work Items'!$A$6:$A$5000="CR",ROW('Work Items'!$A$6:$A$5000)-ROW('Work Items'!$A$6)+1),236)),"")</f>
        <v/>
      </c>
      <c r="C240">
        <f t="array" ref="C240">IFERROR(INDEX('Work Items'!$C$6:$C$5000,SMALL(IF('Work Items'!$A$6:$A$5000="CR",ROW('Work Items'!$A$6:$A$5000)-ROW('Work Items'!$A$6)+1),236)),"")</f>
        <v/>
      </c>
      <c r="D240">
        <f t="array" ref="D240">IFERROR(INDEX('Work Items'!$D$6:$D$5000,SMALL(IF('Work Items'!$A$6:$A$5000="CR",ROW('Work Items'!$A$6:$A$5000)-ROW('Work Items'!$A$6)+1),236)),"")</f>
        <v/>
      </c>
      <c r="E240">
        <f t="array" ref="E240">IFERROR(INDEX('Work Items'!$E$6:$E$5000,SMALL(IF('Work Items'!$A$6:$A$5000="CR",ROW('Work Items'!$A$6:$A$5000)-ROW('Work Items'!$A$6)+1),236)),"")</f>
        <v/>
      </c>
      <c r="F240">
        <f t="array" ref="F240">IFERROR(INDEX('Work Items'!$F$6:$F$5000,SMALL(IF('Work Items'!$A$6:$A$5000="CR",ROW('Work Items'!$A$6:$A$5000)-ROW('Work Items'!$A$6)+1),236)),"")</f>
        <v/>
      </c>
      <c r="G240">
        <f t="array" ref="G240">IFERROR(INDEX('Work Items'!$J$6:$J$5000,SMALL(IF('Work Items'!$A$6:$A$5000="CR",ROW('Work Items'!$A$6:$A$5000)-ROW('Work Items'!$A$6)+1),236)),"")</f>
        <v/>
      </c>
      <c r="H240">
        <f t="array" ref="H240">IFERROR(INDEX('Work Items'!$K$6:$K$5000,SMALL(IF('Work Items'!$A$6:$A$5000="CR",ROW('Work Items'!$A$6:$A$5000)-ROW('Work Items'!$A$6)+1),236)),"")</f>
        <v/>
      </c>
      <c r="I240">
        <f t="array" ref="I240">IFERROR(INDEX('Work Items'!$L$6:$L$5000,SMALL(IF('Work Items'!$A$6:$A$5000="CR",ROW('Work Items'!$A$6:$A$5000)-ROW('Work Items'!$A$6)+1),236)),"")</f>
        <v/>
      </c>
      <c r="J240" s="217">
        <f t="array" ref="J240">IFERROR(INDEX('Work Items'!$M$6:$M$5000,SMALL(IF('Work Items'!$A$6:$A$5000="CR",ROW('Work Items'!$A$6:$A$5000)-ROW('Work Items'!$A$6)+1),236)),"")</f>
        <v/>
      </c>
      <c r="K240" s="217">
        <f t="array" ref="K240">IFERROR(INDEX('Work Items'!$Q$6:$Q$5000,SMALL(IF('Work Items'!$A$6:$A$5000="CR",ROW('Work Items'!$A$6:$A$5000)-ROW('Work Items'!$A$6)+1),236)),"")</f>
        <v/>
      </c>
      <c r="L240">
        <f t="array" ref="L240">IFERROR(INDEX('Work Items'!$N$6:$N$5000,SMALL(IF('Work Items'!$A$6:$A$5000="CR",ROW('Work Items'!$A$6:$A$5000)-ROW('Work Items'!$A$6)+1),236)),"")</f>
        <v/>
      </c>
      <c r="M240">
        <f t="array" ref="M240">IFERROR(INDEX('Work Items'!$O$6:$O$5000,SMALL(IF('Work Items'!$A$6:$A$5000="CR",ROW('Work Items'!$A$6:$A$5000)-ROW('Work Items'!$A$6)+1),236)),"")</f>
        <v/>
      </c>
    </row>
    <row r="241">
      <c r="A241">
        <f t="array" ref="A241">IFERROR(INDEX('Work Items'!$A$6:$A$5000,SMALL(IF('Work Items'!$A$6:$A$5000="CR",ROW('Work Items'!$A$6:$A$5000)-ROW('Work Items'!$A$6)+1),237)),"")</f>
        <v/>
      </c>
      <c r="B241">
        <f t="array" ref="B241">IFERROR(INDEX('Work Items'!$B$6:$B$5000,SMALL(IF('Work Items'!$A$6:$A$5000="CR",ROW('Work Items'!$A$6:$A$5000)-ROW('Work Items'!$A$6)+1),237)),"")</f>
        <v/>
      </c>
      <c r="C241">
        <f t="array" ref="C241">IFERROR(INDEX('Work Items'!$C$6:$C$5000,SMALL(IF('Work Items'!$A$6:$A$5000="CR",ROW('Work Items'!$A$6:$A$5000)-ROW('Work Items'!$A$6)+1),237)),"")</f>
        <v/>
      </c>
      <c r="D241">
        <f t="array" ref="D241">IFERROR(INDEX('Work Items'!$D$6:$D$5000,SMALL(IF('Work Items'!$A$6:$A$5000="CR",ROW('Work Items'!$A$6:$A$5000)-ROW('Work Items'!$A$6)+1),237)),"")</f>
        <v/>
      </c>
      <c r="E241">
        <f t="array" ref="E241">IFERROR(INDEX('Work Items'!$E$6:$E$5000,SMALL(IF('Work Items'!$A$6:$A$5000="CR",ROW('Work Items'!$A$6:$A$5000)-ROW('Work Items'!$A$6)+1),237)),"")</f>
        <v/>
      </c>
      <c r="F241">
        <f t="array" ref="F241">IFERROR(INDEX('Work Items'!$F$6:$F$5000,SMALL(IF('Work Items'!$A$6:$A$5000="CR",ROW('Work Items'!$A$6:$A$5000)-ROW('Work Items'!$A$6)+1),237)),"")</f>
        <v/>
      </c>
      <c r="G241">
        <f t="array" ref="G241">IFERROR(INDEX('Work Items'!$J$6:$J$5000,SMALL(IF('Work Items'!$A$6:$A$5000="CR",ROW('Work Items'!$A$6:$A$5000)-ROW('Work Items'!$A$6)+1),237)),"")</f>
        <v/>
      </c>
      <c r="H241">
        <f t="array" ref="H241">IFERROR(INDEX('Work Items'!$K$6:$K$5000,SMALL(IF('Work Items'!$A$6:$A$5000="CR",ROW('Work Items'!$A$6:$A$5000)-ROW('Work Items'!$A$6)+1),237)),"")</f>
        <v/>
      </c>
      <c r="I241">
        <f t="array" ref="I241">IFERROR(INDEX('Work Items'!$L$6:$L$5000,SMALL(IF('Work Items'!$A$6:$A$5000="CR",ROW('Work Items'!$A$6:$A$5000)-ROW('Work Items'!$A$6)+1),237)),"")</f>
        <v/>
      </c>
      <c r="J241" s="217">
        <f t="array" ref="J241">IFERROR(INDEX('Work Items'!$M$6:$M$5000,SMALL(IF('Work Items'!$A$6:$A$5000="CR",ROW('Work Items'!$A$6:$A$5000)-ROW('Work Items'!$A$6)+1),237)),"")</f>
        <v/>
      </c>
      <c r="K241" s="217">
        <f t="array" ref="K241">IFERROR(INDEX('Work Items'!$Q$6:$Q$5000,SMALL(IF('Work Items'!$A$6:$A$5000="CR",ROW('Work Items'!$A$6:$A$5000)-ROW('Work Items'!$A$6)+1),237)),"")</f>
        <v/>
      </c>
      <c r="L241">
        <f t="array" ref="L241">IFERROR(INDEX('Work Items'!$N$6:$N$5000,SMALL(IF('Work Items'!$A$6:$A$5000="CR",ROW('Work Items'!$A$6:$A$5000)-ROW('Work Items'!$A$6)+1),237)),"")</f>
        <v/>
      </c>
      <c r="M241">
        <f t="array" ref="M241">IFERROR(INDEX('Work Items'!$O$6:$O$5000,SMALL(IF('Work Items'!$A$6:$A$5000="CR",ROW('Work Items'!$A$6:$A$5000)-ROW('Work Items'!$A$6)+1),237)),"")</f>
        <v/>
      </c>
    </row>
    <row r="242">
      <c r="A242">
        <f t="array" ref="A242">IFERROR(INDEX('Work Items'!$A$6:$A$5000,SMALL(IF('Work Items'!$A$6:$A$5000="CR",ROW('Work Items'!$A$6:$A$5000)-ROW('Work Items'!$A$6)+1),238)),"")</f>
        <v/>
      </c>
      <c r="B242">
        <f t="array" ref="B242">IFERROR(INDEX('Work Items'!$B$6:$B$5000,SMALL(IF('Work Items'!$A$6:$A$5000="CR",ROW('Work Items'!$A$6:$A$5000)-ROW('Work Items'!$A$6)+1),238)),"")</f>
        <v/>
      </c>
      <c r="C242">
        <f t="array" ref="C242">IFERROR(INDEX('Work Items'!$C$6:$C$5000,SMALL(IF('Work Items'!$A$6:$A$5000="CR",ROW('Work Items'!$A$6:$A$5000)-ROW('Work Items'!$A$6)+1),238)),"")</f>
        <v/>
      </c>
      <c r="D242">
        <f t="array" ref="D242">IFERROR(INDEX('Work Items'!$D$6:$D$5000,SMALL(IF('Work Items'!$A$6:$A$5000="CR",ROW('Work Items'!$A$6:$A$5000)-ROW('Work Items'!$A$6)+1),238)),"")</f>
        <v/>
      </c>
      <c r="E242">
        <f t="array" ref="E242">IFERROR(INDEX('Work Items'!$E$6:$E$5000,SMALL(IF('Work Items'!$A$6:$A$5000="CR",ROW('Work Items'!$A$6:$A$5000)-ROW('Work Items'!$A$6)+1),238)),"")</f>
        <v/>
      </c>
      <c r="F242">
        <f t="array" ref="F242">IFERROR(INDEX('Work Items'!$F$6:$F$5000,SMALL(IF('Work Items'!$A$6:$A$5000="CR",ROW('Work Items'!$A$6:$A$5000)-ROW('Work Items'!$A$6)+1),238)),"")</f>
        <v/>
      </c>
      <c r="G242">
        <f t="array" ref="G242">IFERROR(INDEX('Work Items'!$J$6:$J$5000,SMALL(IF('Work Items'!$A$6:$A$5000="CR",ROW('Work Items'!$A$6:$A$5000)-ROW('Work Items'!$A$6)+1),238)),"")</f>
        <v/>
      </c>
      <c r="H242">
        <f t="array" ref="H242">IFERROR(INDEX('Work Items'!$K$6:$K$5000,SMALL(IF('Work Items'!$A$6:$A$5000="CR",ROW('Work Items'!$A$6:$A$5000)-ROW('Work Items'!$A$6)+1),238)),"")</f>
        <v/>
      </c>
      <c r="I242">
        <f t="array" ref="I242">IFERROR(INDEX('Work Items'!$L$6:$L$5000,SMALL(IF('Work Items'!$A$6:$A$5000="CR",ROW('Work Items'!$A$6:$A$5000)-ROW('Work Items'!$A$6)+1),238)),"")</f>
        <v/>
      </c>
      <c r="J242" s="217">
        <f t="array" ref="J242">IFERROR(INDEX('Work Items'!$M$6:$M$5000,SMALL(IF('Work Items'!$A$6:$A$5000="CR",ROW('Work Items'!$A$6:$A$5000)-ROW('Work Items'!$A$6)+1),238)),"")</f>
        <v/>
      </c>
      <c r="K242" s="217">
        <f t="array" ref="K242">IFERROR(INDEX('Work Items'!$Q$6:$Q$5000,SMALL(IF('Work Items'!$A$6:$A$5000="CR",ROW('Work Items'!$A$6:$A$5000)-ROW('Work Items'!$A$6)+1),238)),"")</f>
        <v/>
      </c>
      <c r="L242">
        <f t="array" ref="L242">IFERROR(INDEX('Work Items'!$N$6:$N$5000,SMALL(IF('Work Items'!$A$6:$A$5000="CR",ROW('Work Items'!$A$6:$A$5000)-ROW('Work Items'!$A$6)+1),238)),"")</f>
        <v/>
      </c>
      <c r="M242">
        <f t="array" ref="M242">IFERROR(INDEX('Work Items'!$O$6:$O$5000,SMALL(IF('Work Items'!$A$6:$A$5000="CR",ROW('Work Items'!$A$6:$A$5000)-ROW('Work Items'!$A$6)+1),238)),"")</f>
        <v/>
      </c>
    </row>
    <row r="243">
      <c r="A243">
        <f t="array" ref="A243">IFERROR(INDEX('Work Items'!$A$6:$A$5000,SMALL(IF('Work Items'!$A$6:$A$5000="CR",ROW('Work Items'!$A$6:$A$5000)-ROW('Work Items'!$A$6)+1),239)),"")</f>
        <v/>
      </c>
      <c r="B243">
        <f t="array" ref="B243">IFERROR(INDEX('Work Items'!$B$6:$B$5000,SMALL(IF('Work Items'!$A$6:$A$5000="CR",ROW('Work Items'!$A$6:$A$5000)-ROW('Work Items'!$A$6)+1),239)),"")</f>
        <v/>
      </c>
      <c r="C243">
        <f t="array" ref="C243">IFERROR(INDEX('Work Items'!$C$6:$C$5000,SMALL(IF('Work Items'!$A$6:$A$5000="CR",ROW('Work Items'!$A$6:$A$5000)-ROW('Work Items'!$A$6)+1),239)),"")</f>
        <v/>
      </c>
      <c r="D243">
        <f t="array" ref="D243">IFERROR(INDEX('Work Items'!$D$6:$D$5000,SMALL(IF('Work Items'!$A$6:$A$5000="CR",ROW('Work Items'!$A$6:$A$5000)-ROW('Work Items'!$A$6)+1),239)),"")</f>
        <v/>
      </c>
      <c r="E243">
        <f t="array" ref="E243">IFERROR(INDEX('Work Items'!$E$6:$E$5000,SMALL(IF('Work Items'!$A$6:$A$5000="CR",ROW('Work Items'!$A$6:$A$5000)-ROW('Work Items'!$A$6)+1),239)),"")</f>
        <v/>
      </c>
      <c r="F243">
        <f t="array" ref="F243">IFERROR(INDEX('Work Items'!$F$6:$F$5000,SMALL(IF('Work Items'!$A$6:$A$5000="CR",ROW('Work Items'!$A$6:$A$5000)-ROW('Work Items'!$A$6)+1),239)),"")</f>
        <v/>
      </c>
      <c r="G243">
        <f t="array" ref="G243">IFERROR(INDEX('Work Items'!$J$6:$J$5000,SMALL(IF('Work Items'!$A$6:$A$5000="CR",ROW('Work Items'!$A$6:$A$5000)-ROW('Work Items'!$A$6)+1),239)),"")</f>
        <v/>
      </c>
      <c r="H243">
        <f t="array" ref="H243">IFERROR(INDEX('Work Items'!$K$6:$K$5000,SMALL(IF('Work Items'!$A$6:$A$5000="CR",ROW('Work Items'!$A$6:$A$5000)-ROW('Work Items'!$A$6)+1),239)),"")</f>
        <v/>
      </c>
      <c r="I243">
        <f t="array" ref="I243">IFERROR(INDEX('Work Items'!$L$6:$L$5000,SMALL(IF('Work Items'!$A$6:$A$5000="CR",ROW('Work Items'!$A$6:$A$5000)-ROW('Work Items'!$A$6)+1),239)),"")</f>
        <v/>
      </c>
      <c r="J243" s="217">
        <f t="array" ref="J243">IFERROR(INDEX('Work Items'!$M$6:$M$5000,SMALL(IF('Work Items'!$A$6:$A$5000="CR",ROW('Work Items'!$A$6:$A$5000)-ROW('Work Items'!$A$6)+1),239)),"")</f>
        <v/>
      </c>
      <c r="K243" s="217">
        <f t="array" ref="K243">IFERROR(INDEX('Work Items'!$Q$6:$Q$5000,SMALL(IF('Work Items'!$A$6:$A$5000="CR",ROW('Work Items'!$A$6:$A$5000)-ROW('Work Items'!$A$6)+1),239)),"")</f>
        <v/>
      </c>
      <c r="L243">
        <f t="array" ref="L243">IFERROR(INDEX('Work Items'!$N$6:$N$5000,SMALL(IF('Work Items'!$A$6:$A$5000="CR",ROW('Work Items'!$A$6:$A$5000)-ROW('Work Items'!$A$6)+1),239)),"")</f>
        <v/>
      </c>
      <c r="M243">
        <f t="array" ref="M243">IFERROR(INDEX('Work Items'!$O$6:$O$5000,SMALL(IF('Work Items'!$A$6:$A$5000="CR",ROW('Work Items'!$A$6:$A$5000)-ROW('Work Items'!$A$6)+1),239)),"")</f>
        <v/>
      </c>
    </row>
    <row r="244">
      <c r="A244">
        <f t="array" ref="A244">IFERROR(INDEX('Work Items'!$A$6:$A$5000,SMALL(IF('Work Items'!$A$6:$A$5000="CR",ROW('Work Items'!$A$6:$A$5000)-ROW('Work Items'!$A$6)+1),240)),"")</f>
        <v/>
      </c>
      <c r="B244">
        <f t="array" ref="B244">IFERROR(INDEX('Work Items'!$B$6:$B$5000,SMALL(IF('Work Items'!$A$6:$A$5000="CR",ROW('Work Items'!$A$6:$A$5000)-ROW('Work Items'!$A$6)+1),240)),"")</f>
        <v/>
      </c>
      <c r="C244">
        <f t="array" ref="C244">IFERROR(INDEX('Work Items'!$C$6:$C$5000,SMALL(IF('Work Items'!$A$6:$A$5000="CR",ROW('Work Items'!$A$6:$A$5000)-ROW('Work Items'!$A$6)+1),240)),"")</f>
        <v/>
      </c>
      <c r="D244">
        <f t="array" ref="D244">IFERROR(INDEX('Work Items'!$D$6:$D$5000,SMALL(IF('Work Items'!$A$6:$A$5000="CR",ROW('Work Items'!$A$6:$A$5000)-ROW('Work Items'!$A$6)+1),240)),"")</f>
        <v/>
      </c>
      <c r="E244">
        <f t="array" ref="E244">IFERROR(INDEX('Work Items'!$E$6:$E$5000,SMALL(IF('Work Items'!$A$6:$A$5000="CR",ROW('Work Items'!$A$6:$A$5000)-ROW('Work Items'!$A$6)+1),240)),"")</f>
        <v/>
      </c>
      <c r="F244">
        <f t="array" ref="F244">IFERROR(INDEX('Work Items'!$F$6:$F$5000,SMALL(IF('Work Items'!$A$6:$A$5000="CR",ROW('Work Items'!$A$6:$A$5000)-ROW('Work Items'!$A$6)+1),240)),"")</f>
        <v/>
      </c>
      <c r="G244">
        <f t="array" ref="G244">IFERROR(INDEX('Work Items'!$J$6:$J$5000,SMALL(IF('Work Items'!$A$6:$A$5000="CR",ROW('Work Items'!$A$6:$A$5000)-ROW('Work Items'!$A$6)+1),240)),"")</f>
        <v/>
      </c>
      <c r="H244">
        <f t="array" ref="H244">IFERROR(INDEX('Work Items'!$K$6:$K$5000,SMALL(IF('Work Items'!$A$6:$A$5000="CR",ROW('Work Items'!$A$6:$A$5000)-ROW('Work Items'!$A$6)+1),240)),"")</f>
        <v/>
      </c>
      <c r="I244">
        <f t="array" ref="I244">IFERROR(INDEX('Work Items'!$L$6:$L$5000,SMALL(IF('Work Items'!$A$6:$A$5000="CR",ROW('Work Items'!$A$6:$A$5000)-ROW('Work Items'!$A$6)+1),240)),"")</f>
        <v/>
      </c>
      <c r="J244" s="217">
        <f t="array" ref="J244">IFERROR(INDEX('Work Items'!$M$6:$M$5000,SMALL(IF('Work Items'!$A$6:$A$5000="CR",ROW('Work Items'!$A$6:$A$5000)-ROW('Work Items'!$A$6)+1),240)),"")</f>
        <v/>
      </c>
      <c r="K244" s="217">
        <f t="array" ref="K244">IFERROR(INDEX('Work Items'!$Q$6:$Q$5000,SMALL(IF('Work Items'!$A$6:$A$5000="CR",ROW('Work Items'!$A$6:$A$5000)-ROW('Work Items'!$A$6)+1),240)),"")</f>
        <v/>
      </c>
      <c r="L244">
        <f t="array" ref="L244">IFERROR(INDEX('Work Items'!$N$6:$N$5000,SMALL(IF('Work Items'!$A$6:$A$5000="CR",ROW('Work Items'!$A$6:$A$5000)-ROW('Work Items'!$A$6)+1),240)),"")</f>
        <v/>
      </c>
      <c r="M244">
        <f t="array" ref="M244">IFERROR(INDEX('Work Items'!$O$6:$O$5000,SMALL(IF('Work Items'!$A$6:$A$5000="CR",ROW('Work Items'!$A$6:$A$5000)-ROW('Work Items'!$A$6)+1),240)),"")</f>
        <v/>
      </c>
    </row>
    <row r="245">
      <c r="A245">
        <f t="array" ref="A245">IFERROR(INDEX('Work Items'!$A$6:$A$5000,SMALL(IF('Work Items'!$A$6:$A$5000="CR",ROW('Work Items'!$A$6:$A$5000)-ROW('Work Items'!$A$6)+1),241)),"")</f>
        <v/>
      </c>
      <c r="B245">
        <f t="array" ref="B245">IFERROR(INDEX('Work Items'!$B$6:$B$5000,SMALL(IF('Work Items'!$A$6:$A$5000="CR",ROW('Work Items'!$A$6:$A$5000)-ROW('Work Items'!$A$6)+1),241)),"")</f>
        <v/>
      </c>
      <c r="C245">
        <f t="array" ref="C245">IFERROR(INDEX('Work Items'!$C$6:$C$5000,SMALL(IF('Work Items'!$A$6:$A$5000="CR",ROW('Work Items'!$A$6:$A$5000)-ROW('Work Items'!$A$6)+1),241)),"")</f>
        <v/>
      </c>
      <c r="D245">
        <f t="array" ref="D245">IFERROR(INDEX('Work Items'!$D$6:$D$5000,SMALL(IF('Work Items'!$A$6:$A$5000="CR",ROW('Work Items'!$A$6:$A$5000)-ROW('Work Items'!$A$6)+1),241)),"")</f>
        <v/>
      </c>
      <c r="E245">
        <f t="array" ref="E245">IFERROR(INDEX('Work Items'!$E$6:$E$5000,SMALL(IF('Work Items'!$A$6:$A$5000="CR",ROW('Work Items'!$A$6:$A$5000)-ROW('Work Items'!$A$6)+1),241)),"")</f>
        <v/>
      </c>
      <c r="F245">
        <f t="array" ref="F245">IFERROR(INDEX('Work Items'!$F$6:$F$5000,SMALL(IF('Work Items'!$A$6:$A$5000="CR",ROW('Work Items'!$A$6:$A$5000)-ROW('Work Items'!$A$6)+1),241)),"")</f>
        <v/>
      </c>
      <c r="G245">
        <f t="array" ref="G245">IFERROR(INDEX('Work Items'!$J$6:$J$5000,SMALL(IF('Work Items'!$A$6:$A$5000="CR",ROW('Work Items'!$A$6:$A$5000)-ROW('Work Items'!$A$6)+1),241)),"")</f>
        <v/>
      </c>
      <c r="H245">
        <f t="array" ref="H245">IFERROR(INDEX('Work Items'!$K$6:$K$5000,SMALL(IF('Work Items'!$A$6:$A$5000="CR",ROW('Work Items'!$A$6:$A$5000)-ROW('Work Items'!$A$6)+1),241)),"")</f>
        <v/>
      </c>
      <c r="I245">
        <f t="array" ref="I245">IFERROR(INDEX('Work Items'!$L$6:$L$5000,SMALL(IF('Work Items'!$A$6:$A$5000="CR",ROW('Work Items'!$A$6:$A$5000)-ROW('Work Items'!$A$6)+1),241)),"")</f>
        <v/>
      </c>
      <c r="J245" s="217">
        <f t="array" ref="J245">IFERROR(INDEX('Work Items'!$M$6:$M$5000,SMALL(IF('Work Items'!$A$6:$A$5000="CR",ROW('Work Items'!$A$6:$A$5000)-ROW('Work Items'!$A$6)+1),241)),"")</f>
        <v/>
      </c>
      <c r="K245" s="217">
        <f t="array" ref="K245">IFERROR(INDEX('Work Items'!$Q$6:$Q$5000,SMALL(IF('Work Items'!$A$6:$A$5000="CR",ROW('Work Items'!$A$6:$A$5000)-ROW('Work Items'!$A$6)+1),241)),"")</f>
        <v/>
      </c>
      <c r="L245">
        <f t="array" ref="L245">IFERROR(INDEX('Work Items'!$N$6:$N$5000,SMALL(IF('Work Items'!$A$6:$A$5000="CR",ROW('Work Items'!$A$6:$A$5000)-ROW('Work Items'!$A$6)+1),241)),"")</f>
        <v/>
      </c>
      <c r="M245">
        <f t="array" ref="M245">IFERROR(INDEX('Work Items'!$O$6:$O$5000,SMALL(IF('Work Items'!$A$6:$A$5000="CR",ROW('Work Items'!$A$6:$A$5000)-ROW('Work Items'!$A$6)+1),241)),"")</f>
        <v/>
      </c>
    </row>
    <row r="246">
      <c r="A246">
        <f t="array" ref="A246">IFERROR(INDEX('Work Items'!$A$6:$A$5000,SMALL(IF('Work Items'!$A$6:$A$5000="CR",ROW('Work Items'!$A$6:$A$5000)-ROW('Work Items'!$A$6)+1),242)),"")</f>
        <v/>
      </c>
      <c r="B246">
        <f t="array" ref="B246">IFERROR(INDEX('Work Items'!$B$6:$B$5000,SMALL(IF('Work Items'!$A$6:$A$5000="CR",ROW('Work Items'!$A$6:$A$5000)-ROW('Work Items'!$A$6)+1),242)),"")</f>
        <v/>
      </c>
      <c r="C246">
        <f t="array" ref="C246">IFERROR(INDEX('Work Items'!$C$6:$C$5000,SMALL(IF('Work Items'!$A$6:$A$5000="CR",ROW('Work Items'!$A$6:$A$5000)-ROW('Work Items'!$A$6)+1),242)),"")</f>
        <v/>
      </c>
      <c r="D246">
        <f t="array" ref="D246">IFERROR(INDEX('Work Items'!$D$6:$D$5000,SMALL(IF('Work Items'!$A$6:$A$5000="CR",ROW('Work Items'!$A$6:$A$5000)-ROW('Work Items'!$A$6)+1),242)),"")</f>
        <v/>
      </c>
      <c r="E246">
        <f t="array" ref="E246">IFERROR(INDEX('Work Items'!$E$6:$E$5000,SMALL(IF('Work Items'!$A$6:$A$5000="CR",ROW('Work Items'!$A$6:$A$5000)-ROW('Work Items'!$A$6)+1),242)),"")</f>
        <v/>
      </c>
      <c r="F246">
        <f t="array" ref="F246">IFERROR(INDEX('Work Items'!$F$6:$F$5000,SMALL(IF('Work Items'!$A$6:$A$5000="CR",ROW('Work Items'!$A$6:$A$5000)-ROW('Work Items'!$A$6)+1),242)),"")</f>
        <v/>
      </c>
      <c r="G246">
        <f t="array" ref="G246">IFERROR(INDEX('Work Items'!$J$6:$J$5000,SMALL(IF('Work Items'!$A$6:$A$5000="CR",ROW('Work Items'!$A$6:$A$5000)-ROW('Work Items'!$A$6)+1),242)),"")</f>
        <v/>
      </c>
      <c r="H246">
        <f t="array" ref="H246">IFERROR(INDEX('Work Items'!$K$6:$K$5000,SMALL(IF('Work Items'!$A$6:$A$5000="CR",ROW('Work Items'!$A$6:$A$5000)-ROW('Work Items'!$A$6)+1),242)),"")</f>
        <v/>
      </c>
      <c r="I246">
        <f t="array" ref="I246">IFERROR(INDEX('Work Items'!$L$6:$L$5000,SMALL(IF('Work Items'!$A$6:$A$5000="CR",ROW('Work Items'!$A$6:$A$5000)-ROW('Work Items'!$A$6)+1),242)),"")</f>
        <v/>
      </c>
      <c r="J246" s="217">
        <f t="array" ref="J246">IFERROR(INDEX('Work Items'!$M$6:$M$5000,SMALL(IF('Work Items'!$A$6:$A$5000="CR",ROW('Work Items'!$A$6:$A$5000)-ROW('Work Items'!$A$6)+1),242)),"")</f>
        <v/>
      </c>
      <c r="K246" s="217">
        <f t="array" ref="K246">IFERROR(INDEX('Work Items'!$Q$6:$Q$5000,SMALL(IF('Work Items'!$A$6:$A$5000="CR",ROW('Work Items'!$A$6:$A$5000)-ROW('Work Items'!$A$6)+1),242)),"")</f>
        <v/>
      </c>
      <c r="L246">
        <f t="array" ref="L246">IFERROR(INDEX('Work Items'!$N$6:$N$5000,SMALL(IF('Work Items'!$A$6:$A$5000="CR",ROW('Work Items'!$A$6:$A$5000)-ROW('Work Items'!$A$6)+1),242)),"")</f>
        <v/>
      </c>
      <c r="M246">
        <f t="array" ref="M246">IFERROR(INDEX('Work Items'!$O$6:$O$5000,SMALL(IF('Work Items'!$A$6:$A$5000="CR",ROW('Work Items'!$A$6:$A$5000)-ROW('Work Items'!$A$6)+1),242)),"")</f>
        <v/>
      </c>
    </row>
    <row r="247">
      <c r="A247">
        <f t="array" ref="A247">IFERROR(INDEX('Work Items'!$A$6:$A$5000,SMALL(IF('Work Items'!$A$6:$A$5000="CR",ROW('Work Items'!$A$6:$A$5000)-ROW('Work Items'!$A$6)+1),243)),"")</f>
        <v/>
      </c>
      <c r="B247">
        <f t="array" ref="B247">IFERROR(INDEX('Work Items'!$B$6:$B$5000,SMALL(IF('Work Items'!$A$6:$A$5000="CR",ROW('Work Items'!$A$6:$A$5000)-ROW('Work Items'!$A$6)+1),243)),"")</f>
        <v/>
      </c>
      <c r="C247">
        <f t="array" ref="C247">IFERROR(INDEX('Work Items'!$C$6:$C$5000,SMALL(IF('Work Items'!$A$6:$A$5000="CR",ROW('Work Items'!$A$6:$A$5000)-ROW('Work Items'!$A$6)+1),243)),"")</f>
        <v/>
      </c>
      <c r="D247">
        <f t="array" ref="D247">IFERROR(INDEX('Work Items'!$D$6:$D$5000,SMALL(IF('Work Items'!$A$6:$A$5000="CR",ROW('Work Items'!$A$6:$A$5000)-ROW('Work Items'!$A$6)+1),243)),"")</f>
        <v/>
      </c>
      <c r="E247">
        <f t="array" ref="E247">IFERROR(INDEX('Work Items'!$E$6:$E$5000,SMALL(IF('Work Items'!$A$6:$A$5000="CR",ROW('Work Items'!$A$6:$A$5000)-ROW('Work Items'!$A$6)+1),243)),"")</f>
        <v/>
      </c>
      <c r="F247">
        <f t="array" ref="F247">IFERROR(INDEX('Work Items'!$F$6:$F$5000,SMALL(IF('Work Items'!$A$6:$A$5000="CR",ROW('Work Items'!$A$6:$A$5000)-ROW('Work Items'!$A$6)+1),243)),"")</f>
        <v/>
      </c>
      <c r="G247">
        <f t="array" ref="G247">IFERROR(INDEX('Work Items'!$J$6:$J$5000,SMALL(IF('Work Items'!$A$6:$A$5000="CR",ROW('Work Items'!$A$6:$A$5000)-ROW('Work Items'!$A$6)+1),243)),"")</f>
        <v/>
      </c>
      <c r="H247">
        <f t="array" ref="H247">IFERROR(INDEX('Work Items'!$K$6:$K$5000,SMALL(IF('Work Items'!$A$6:$A$5000="CR",ROW('Work Items'!$A$6:$A$5000)-ROW('Work Items'!$A$6)+1),243)),"")</f>
        <v/>
      </c>
      <c r="I247">
        <f t="array" ref="I247">IFERROR(INDEX('Work Items'!$L$6:$L$5000,SMALL(IF('Work Items'!$A$6:$A$5000="CR",ROW('Work Items'!$A$6:$A$5000)-ROW('Work Items'!$A$6)+1),243)),"")</f>
        <v/>
      </c>
      <c r="J247" s="217">
        <f t="array" ref="J247">IFERROR(INDEX('Work Items'!$M$6:$M$5000,SMALL(IF('Work Items'!$A$6:$A$5000="CR",ROW('Work Items'!$A$6:$A$5000)-ROW('Work Items'!$A$6)+1),243)),"")</f>
        <v/>
      </c>
      <c r="K247" s="217">
        <f t="array" ref="K247">IFERROR(INDEX('Work Items'!$Q$6:$Q$5000,SMALL(IF('Work Items'!$A$6:$A$5000="CR",ROW('Work Items'!$A$6:$A$5000)-ROW('Work Items'!$A$6)+1),243)),"")</f>
        <v/>
      </c>
      <c r="L247">
        <f t="array" ref="L247">IFERROR(INDEX('Work Items'!$N$6:$N$5000,SMALL(IF('Work Items'!$A$6:$A$5000="CR",ROW('Work Items'!$A$6:$A$5000)-ROW('Work Items'!$A$6)+1),243)),"")</f>
        <v/>
      </c>
      <c r="M247">
        <f t="array" ref="M247">IFERROR(INDEX('Work Items'!$O$6:$O$5000,SMALL(IF('Work Items'!$A$6:$A$5000="CR",ROW('Work Items'!$A$6:$A$5000)-ROW('Work Items'!$A$6)+1),243)),"")</f>
        <v/>
      </c>
    </row>
    <row r="248">
      <c r="A248">
        <f t="array" ref="A248">IFERROR(INDEX('Work Items'!$A$6:$A$5000,SMALL(IF('Work Items'!$A$6:$A$5000="CR",ROW('Work Items'!$A$6:$A$5000)-ROW('Work Items'!$A$6)+1),244)),"")</f>
        <v/>
      </c>
      <c r="B248">
        <f t="array" ref="B248">IFERROR(INDEX('Work Items'!$B$6:$B$5000,SMALL(IF('Work Items'!$A$6:$A$5000="CR",ROW('Work Items'!$A$6:$A$5000)-ROW('Work Items'!$A$6)+1),244)),"")</f>
        <v/>
      </c>
      <c r="C248">
        <f t="array" ref="C248">IFERROR(INDEX('Work Items'!$C$6:$C$5000,SMALL(IF('Work Items'!$A$6:$A$5000="CR",ROW('Work Items'!$A$6:$A$5000)-ROW('Work Items'!$A$6)+1),244)),"")</f>
        <v/>
      </c>
      <c r="D248">
        <f t="array" ref="D248">IFERROR(INDEX('Work Items'!$D$6:$D$5000,SMALL(IF('Work Items'!$A$6:$A$5000="CR",ROW('Work Items'!$A$6:$A$5000)-ROW('Work Items'!$A$6)+1),244)),"")</f>
        <v/>
      </c>
      <c r="E248">
        <f t="array" ref="E248">IFERROR(INDEX('Work Items'!$E$6:$E$5000,SMALL(IF('Work Items'!$A$6:$A$5000="CR",ROW('Work Items'!$A$6:$A$5000)-ROW('Work Items'!$A$6)+1),244)),"")</f>
        <v/>
      </c>
      <c r="F248">
        <f t="array" ref="F248">IFERROR(INDEX('Work Items'!$F$6:$F$5000,SMALL(IF('Work Items'!$A$6:$A$5000="CR",ROW('Work Items'!$A$6:$A$5000)-ROW('Work Items'!$A$6)+1),244)),"")</f>
        <v/>
      </c>
      <c r="G248">
        <f t="array" ref="G248">IFERROR(INDEX('Work Items'!$J$6:$J$5000,SMALL(IF('Work Items'!$A$6:$A$5000="CR",ROW('Work Items'!$A$6:$A$5000)-ROW('Work Items'!$A$6)+1),244)),"")</f>
        <v/>
      </c>
      <c r="H248">
        <f t="array" ref="H248">IFERROR(INDEX('Work Items'!$K$6:$K$5000,SMALL(IF('Work Items'!$A$6:$A$5000="CR",ROW('Work Items'!$A$6:$A$5000)-ROW('Work Items'!$A$6)+1),244)),"")</f>
        <v/>
      </c>
      <c r="I248">
        <f t="array" ref="I248">IFERROR(INDEX('Work Items'!$L$6:$L$5000,SMALL(IF('Work Items'!$A$6:$A$5000="CR",ROW('Work Items'!$A$6:$A$5000)-ROW('Work Items'!$A$6)+1),244)),"")</f>
        <v/>
      </c>
      <c r="J248" s="217">
        <f t="array" ref="J248">IFERROR(INDEX('Work Items'!$M$6:$M$5000,SMALL(IF('Work Items'!$A$6:$A$5000="CR",ROW('Work Items'!$A$6:$A$5000)-ROW('Work Items'!$A$6)+1),244)),"")</f>
        <v/>
      </c>
      <c r="K248" s="217">
        <f t="array" ref="K248">IFERROR(INDEX('Work Items'!$Q$6:$Q$5000,SMALL(IF('Work Items'!$A$6:$A$5000="CR",ROW('Work Items'!$A$6:$A$5000)-ROW('Work Items'!$A$6)+1),244)),"")</f>
        <v/>
      </c>
      <c r="L248">
        <f t="array" ref="L248">IFERROR(INDEX('Work Items'!$N$6:$N$5000,SMALL(IF('Work Items'!$A$6:$A$5000="CR",ROW('Work Items'!$A$6:$A$5000)-ROW('Work Items'!$A$6)+1),244)),"")</f>
        <v/>
      </c>
      <c r="M248">
        <f t="array" ref="M248">IFERROR(INDEX('Work Items'!$O$6:$O$5000,SMALL(IF('Work Items'!$A$6:$A$5000="CR",ROW('Work Items'!$A$6:$A$5000)-ROW('Work Items'!$A$6)+1),244)),"")</f>
        <v/>
      </c>
    </row>
    <row r="249">
      <c r="A249">
        <f t="array" ref="A249">IFERROR(INDEX('Work Items'!$A$6:$A$5000,SMALL(IF('Work Items'!$A$6:$A$5000="CR",ROW('Work Items'!$A$6:$A$5000)-ROW('Work Items'!$A$6)+1),245)),"")</f>
        <v/>
      </c>
      <c r="B249">
        <f t="array" ref="B249">IFERROR(INDEX('Work Items'!$B$6:$B$5000,SMALL(IF('Work Items'!$A$6:$A$5000="CR",ROW('Work Items'!$A$6:$A$5000)-ROW('Work Items'!$A$6)+1),245)),"")</f>
        <v/>
      </c>
      <c r="C249">
        <f t="array" ref="C249">IFERROR(INDEX('Work Items'!$C$6:$C$5000,SMALL(IF('Work Items'!$A$6:$A$5000="CR",ROW('Work Items'!$A$6:$A$5000)-ROW('Work Items'!$A$6)+1),245)),"")</f>
        <v/>
      </c>
      <c r="D249">
        <f t="array" ref="D249">IFERROR(INDEX('Work Items'!$D$6:$D$5000,SMALL(IF('Work Items'!$A$6:$A$5000="CR",ROW('Work Items'!$A$6:$A$5000)-ROW('Work Items'!$A$6)+1),245)),"")</f>
        <v/>
      </c>
      <c r="E249">
        <f t="array" ref="E249">IFERROR(INDEX('Work Items'!$E$6:$E$5000,SMALL(IF('Work Items'!$A$6:$A$5000="CR",ROW('Work Items'!$A$6:$A$5000)-ROW('Work Items'!$A$6)+1),245)),"")</f>
        <v/>
      </c>
      <c r="F249">
        <f t="array" ref="F249">IFERROR(INDEX('Work Items'!$F$6:$F$5000,SMALL(IF('Work Items'!$A$6:$A$5000="CR",ROW('Work Items'!$A$6:$A$5000)-ROW('Work Items'!$A$6)+1),245)),"")</f>
        <v/>
      </c>
      <c r="G249">
        <f t="array" ref="G249">IFERROR(INDEX('Work Items'!$J$6:$J$5000,SMALL(IF('Work Items'!$A$6:$A$5000="CR",ROW('Work Items'!$A$6:$A$5000)-ROW('Work Items'!$A$6)+1),245)),"")</f>
        <v/>
      </c>
      <c r="H249">
        <f t="array" ref="H249">IFERROR(INDEX('Work Items'!$K$6:$K$5000,SMALL(IF('Work Items'!$A$6:$A$5000="CR",ROW('Work Items'!$A$6:$A$5000)-ROW('Work Items'!$A$6)+1),245)),"")</f>
        <v/>
      </c>
      <c r="I249">
        <f t="array" ref="I249">IFERROR(INDEX('Work Items'!$L$6:$L$5000,SMALL(IF('Work Items'!$A$6:$A$5000="CR",ROW('Work Items'!$A$6:$A$5000)-ROW('Work Items'!$A$6)+1),245)),"")</f>
        <v/>
      </c>
      <c r="J249" s="217">
        <f t="array" ref="J249">IFERROR(INDEX('Work Items'!$M$6:$M$5000,SMALL(IF('Work Items'!$A$6:$A$5000="CR",ROW('Work Items'!$A$6:$A$5000)-ROW('Work Items'!$A$6)+1),245)),"")</f>
        <v/>
      </c>
      <c r="K249" s="217">
        <f t="array" ref="K249">IFERROR(INDEX('Work Items'!$Q$6:$Q$5000,SMALL(IF('Work Items'!$A$6:$A$5000="CR",ROW('Work Items'!$A$6:$A$5000)-ROW('Work Items'!$A$6)+1),245)),"")</f>
        <v/>
      </c>
      <c r="L249">
        <f t="array" ref="L249">IFERROR(INDEX('Work Items'!$N$6:$N$5000,SMALL(IF('Work Items'!$A$6:$A$5000="CR",ROW('Work Items'!$A$6:$A$5000)-ROW('Work Items'!$A$6)+1),245)),"")</f>
        <v/>
      </c>
      <c r="M249">
        <f t="array" ref="M249">IFERROR(INDEX('Work Items'!$O$6:$O$5000,SMALL(IF('Work Items'!$A$6:$A$5000="CR",ROW('Work Items'!$A$6:$A$5000)-ROW('Work Items'!$A$6)+1),245)),"")</f>
        <v/>
      </c>
    </row>
    <row r="250">
      <c r="A250">
        <f t="array" ref="A250">IFERROR(INDEX('Work Items'!$A$6:$A$5000,SMALL(IF('Work Items'!$A$6:$A$5000="CR",ROW('Work Items'!$A$6:$A$5000)-ROW('Work Items'!$A$6)+1),246)),"")</f>
        <v/>
      </c>
      <c r="B250">
        <f t="array" ref="B250">IFERROR(INDEX('Work Items'!$B$6:$B$5000,SMALL(IF('Work Items'!$A$6:$A$5000="CR",ROW('Work Items'!$A$6:$A$5000)-ROW('Work Items'!$A$6)+1),246)),"")</f>
        <v/>
      </c>
      <c r="C250">
        <f t="array" ref="C250">IFERROR(INDEX('Work Items'!$C$6:$C$5000,SMALL(IF('Work Items'!$A$6:$A$5000="CR",ROW('Work Items'!$A$6:$A$5000)-ROW('Work Items'!$A$6)+1),246)),"")</f>
        <v/>
      </c>
      <c r="D250">
        <f t="array" ref="D250">IFERROR(INDEX('Work Items'!$D$6:$D$5000,SMALL(IF('Work Items'!$A$6:$A$5000="CR",ROW('Work Items'!$A$6:$A$5000)-ROW('Work Items'!$A$6)+1),246)),"")</f>
        <v/>
      </c>
      <c r="E250">
        <f t="array" ref="E250">IFERROR(INDEX('Work Items'!$E$6:$E$5000,SMALL(IF('Work Items'!$A$6:$A$5000="CR",ROW('Work Items'!$A$6:$A$5000)-ROW('Work Items'!$A$6)+1),246)),"")</f>
        <v/>
      </c>
      <c r="F250">
        <f t="array" ref="F250">IFERROR(INDEX('Work Items'!$F$6:$F$5000,SMALL(IF('Work Items'!$A$6:$A$5000="CR",ROW('Work Items'!$A$6:$A$5000)-ROW('Work Items'!$A$6)+1),246)),"")</f>
        <v/>
      </c>
      <c r="G250">
        <f t="array" ref="G250">IFERROR(INDEX('Work Items'!$J$6:$J$5000,SMALL(IF('Work Items'!$A$6:$A$5000="CR",ROW('Work Items'!$A$6:$A$5000)-ROW('Work Items'!$A$6)+1),246)),"")</f>
        <v/>
      </c>
      <c r="H250">
        <f t="array" ref="H250">IFERROR(INDEX('Work Items'!$K$6:$K$5000,SMALL(IF('Work Items'!$A$6:$A$5000="CR",ROW('Work Items'!$A$6:$A$5000)-ROW('Work Items'!$A$6)+1),246)),"")</f>
        <v/>
      </c>
      <c r="I250">
        <f t="array" ref="I250">IFERROR(INDEX('Work Items'!$L$6:$L$5000,SMALL(IF('Work Items'!$A$6:$A$5000="CR",ROW('Work Items'!$A$6:$A$5000)-ROW('Work Items'!$A$6)+1),246)),"")</f>
        <v/>
      </c>
      <c r="J250" s="217">
        <f t="array" ref="J250">IFERROR(INDEX('Work Items'!$M$6:$M$5000,SMALL(IF('Work Items'!$A$6:$A$5000="CR",ROW('Work Items'!$A$6:$A$5000)-ROW('Work Items'!$A$6)+1),246)),"")</f>
        <v/>
      </c>
      <c r="K250" s="217">
        <f t="array" ref="K250">IFERROR(INDEX('Work Items'!$Q$6:$Q$5000,SMALL(IF('Work Items'!$A$6:$A$5000="CR",ROW('Work Items'!$A$6:$A$5000)-ROW('Work Items'!$A$6)+1),246)),"")</f>
        <v/>
      </c>
      <c r="L250">
        <f t="array" ref="L250">IFERROR(INDEX('Work Items'!$N$6:$N$5000,SMALL(IF('Work Items'!$A$6:$A$5000="CR",ROW('Work Items'!$A$6:$A$5000)-ROW('Work Items'!$A$6)+1),246)),"")</f>
        <v/>
      </c>
      <c r="M250">
        <f t="array" ref="M250">IFERROR(INDEX('Work Items'!$O$6:$O$5000,SMALL(IF('Work Items'!$A$6:$A$5000="CR",ROW('Work Items'!$A$6:$A$5000)-ROW('Work Items'!$A$6)+1),246)),"")</f>
        <v/>
      </c>
    </row>
    <row r="251">
      <c r="A251">
        <f t="array" ref="A251">IFERROR(INDEX('Work Items'!$A$6:$A$5000,SMALL(IF('Work Items'!$A$6:$A$5000="CR",ROW('Work Items'!$A$6:$A$5000)-ROW('Work Items'!$A$6)+1),247)),"")</f>
        <v/>
      </c>
      <c r="B251">
        <f t="array" ref="B251">IFERROR(INDEX('Work Items'!$B$6:$B$5000,SMALL(IF('Work Items'!$A$6:$A$5000="CR",ROW('Work Items'!$A$6:$A$5000)-ROW('Work Items'!$A$6)+1),247)),"")</f>
        <v/>
      </c>
      <c r="C251">
        <f t="array" ref="C251">IFERROR(INDEX('Work Items'!$C$6:$C$5000,SMALL(IF('Work Items'!$A$6:$A$5000="CR",ROW('Work Items'!$A$6:$A$5000)-ROW('Work Items'!$A$6)+1),247)),"")</f>
        <v/>
      </c>
      <c r="D251">
        <f t="array" ref="D251">IFERROR(INDEX('Work Items'!$D$6:$D$5000,SMALL(IF('Work Items'!$A$6:$A$5000="CR",ROW('Work Items'!$A$6:$A$5000)-ROW('Work Items'!$A$6)+1),247)),"")</f>
        <v/>
      </c>
      <c r="E251">
        <f t="array" ref="E251">IFERROR(INDEX('Work Items'!$E$6:$E$5000,SMALL(IF('Work Items'!$A$6:$A$5000="CR",ROW('Work Items'!$A$6:$A$5000)-ROW('Work Items'!$A$6)+1),247)),"")</f>
        <v/>
      </c>
      <c r="F251">
        <f t="array" ref="F251">IFERROR(INDEX('Work Items'!$F$6:$F$5000,SMALL(IF('Work Items'!$A$6:$A$5000="CR",ROW('Work Items'!$A$6:$A$5000)-ROW('Work Items'!$A$6)+1),247)),"")</f>
        <v/>
      </c>
      <c r="G251">
        <f t="array" ref="G251">IFERROR(INDEX('Work Items'!$J$6:$J$5000,SMALL(IF('Work Items'!$A$6:$A$5000="CR",ROW('Work Items'!$A$6:$A$5000)-ROW('Work Items'!$A$6)+1),247)),"")</f>
        <v/>
      </c>
      <c r="H251">
        <f t="array" ref="H251">IFERROR(INDEX('Work Items'!$K$6:$K$5000,SMALL(IF('Work Items'!$A$6:$A$5000="CR",ROW('Work Items'!$A$6:$A$5000)-ROW('Work Items'!$A$6)+1),247)),"")</f>
        <v/>
      </c>
      <c r="I251">
        <f t="array" ref="I251">IFERROR(INDEX('Work Items'!$L$6:$L$5000,SMALL(IF('Work Items'!$A$6:$A$5000="CR",ROW('Work Items'!$A$6:$A$5000)-ROW('Work Items'!$A$6)+1),247)),"")</f>
        <v/>
      </c>
      <c r="J251" s="217">
        <f t="array" ref="J251">IFERROR(INDEX('Work Items'!$M$6:$M$5000,SMALL(IF('Work Items'!$A$6:$A$5000="CR",ROW('Work Items'!$A$6:$A$5000)-ROW('Work Items'!$A$6)+1),247)),"")</f>
        <v/>
      </c>
      <c r="K251" s="217">
        <f t="array" ref="K251">IFERROR(INDEX('Work Items'!$Q$6:$Q$5000,SMALL(IF('Work Items'!$A$6:$A$5000="CR",ROW('Work Items'!$A$6:$A$5000)-ROW('Work Items'!$A$6)+1),247)),"")</f>
        <v/>
      </c>
      <c r="L251">
        <f t="array" ref="L251">IFERROR(INDEX('Work Items'!$N$6:$N$5000,SMALL(IF('Work Items'!$A$6:$A$5000="CR",ROW('Work Items'!$A$6:$A$5000)-ROW('Work Items'!$A$6)+1),247)),"")</f>
        <v/>
      </c>
      <c r="M251">
        <f t="array" ref="M251">IFERROR(INDEX('Work Items'!$O$6:$O$5000,SMALL(IF('Work Items'!$A$6:$A$5000="CR",ROW('Work Items'!$A$6:$A$5000)-ROW('Work Items'!$A$6)+1),247)),"")</f>
        <v/>
      </c>
    </row>
    <row r="252">
      <c r="A252">
        <f t="array" ref="A252">IFERROR(INDEX('Work Items'!$A$6:$A$5000,SMALL(IF('Work Items'!$A$6:$A$5000="CR",ROW('Work Items'!$A$6:$A$5000)-ROW('Work Items'!$A$6)+1),248)),"")</f>
        <v/>
      </c>
      <c r="B252">
        <f t="array" ref="B252">IFERROR(INDEX('Work Items'!$B$6:$B$5000,SMALL(IF('Work Items'!$A$6:$A$5000="CR",ROW('Work Items'!$A$6:$A$5000)-ROW('Work Items'!$A$6)+1),248)),"")</f>
        <v/>
      </c>
      <c r="C252">
        <f t="array" ref="C252">IFERROR(INDEX('Work Items'!$C$6:$C$5000,SMALL(IF('Work Items'!$A$6:$A$5000="CR",ROW('Work Items'!$A$6:$A$5000)-ROW('Work Items'!$A$6)+1),248)),"")</f>
        <v/>
      </c>
      <c r="D252">
        <f t="array" ref="D252">IFERROR(INDEX('Work Items'!$D$6:$D$5000,SMALL(IF('Work Items'!$A$6:$A$5000="CR",ROW('Work Items'!$A$6:$A$5000)-ROW('Work Items'!$A$6)+1),248)),"")</f>
        <v/>
      </c>
      <c r="E252">
        <f t="array" ref="E252">IFERROR(INDEX('Work Items'!$E$6:$E$5000,SMALL(IF('Work Items'!$A$6:$A$5000="CR",ROW('Work Items'!$A$6:$A$5000)-ROW('Work Items'!$A$6)+1),248)),"")</f>
        <v/>
      </c>
      <c r="F252">
        <f t="array" ref="F252">IFERROR(INDEX('Work Items'!$F$6:$F$5000,SMALL(IF('Work Items'!$A$6:$A$5000="CR",ROW('Work Items'!$A$6:$A$5000)-ROW('Work Items'!$A$6)+1),248)),"")</f>
        <v/>
      </c>
      <c r="G252">
        <f t="array" ref="G252">IFERROR(INDEX('Work Items'!$J$6:$J$5000,SMALL(IF('Work Items'!$A$6:$A$5000="CR",ROW('Work Items'!$A$6:$A$5000)-ROW('Work Items'!$A$6)+1),248)),"")</f>
        <v/>
      </c>
      <c r="H252">
        <f t="array" ref="H252">IFERROR(INDEX('Work Items'!$K$6:$K$5000,SMALL(IF('Work Items'!$A$6:$A$5000="CR",ROW('Work Items'!$A$6:$A$5000)-ROW('Work Items'!$A$6)+1),248)),"")</f>
        <v/>
      </c>
      <c r="I252">
        <f t="array" ref="I252">IFERROR(INDEX('Work Items'!$L$6:$L$5000,SMALL(IF('Work Items'!$A$6:$A$5000="CR",ROW('Work Items'!$A$6:$A$5000)-ROW('Work Items'!$A$6)+1),248)),"")</f>
        <v/>
      </c>
      <c r="J252" s="217">
        <f t="array" ref="J252">IFERROR(INDEX('Work Items'!$M$6:$M$5000,SMALL(IF('Work Items'!$A$6:$A$5000="CR",ROW('Work Items'!$A$6:$A$5000)-ROW('Work Items'!$A$6)+1),248)),"")</f>
        <v/>
      </c>
      <c r="K252" s="217">
        <f t="array" ref="K252">IFERROR(INDEX('Work Items'!$Q$6:$Q$5000,SMALL(IF('Work Items'!$A$6:$A$5000="CR",ROW('Work Items'!$A$6:$A$5000)-ROW('Work Items'!$A$6)+1),248)),"")</f>
        <v/>
      </c>
      <c r="L252">
        <f t="array" ref="L252">IFERROR(INDEX('Work Items'!$N$6:$N$5000,SMALL(IF('Work Items'!$A$6:$A$5000="CR",ROW('Work Items'!$A$6:$A$5000)-ROW('Work Items'!$A$6)+1),248)),"")</f>
        <v/>
      </c>
      <c r="M252">
        <f t="array" ref="M252">IFERROR(INDEX('Work Items'!$O$6:$O$5000,SMALL(IF('Work Items'!$A$6:$A$5000="CR",ROW('Work Items'!$A$6:$A$5000)-ROW('Work Items'!$A$6)+1),248)),"")</f>
        <v/>
      </c>
    </row>
    <row r="253">
      <c r="A253">
        <f t="array" ref="A253">IFERROR(INDEX('Work Items'!$A$6:$A$5000,SMALL(IF('Work Items'!$A$6:$A$5000="CR",ROW('Work Items'!$A$6:$A$5000)-ROW('Work Items'!$A$6)+1),249)),"")</f>
        <v/>
      </c>
      <c r="B253">
        <f t="array" ref="B253">IFERROR(INDEX('Work Items'!$B$6:$B$5000,SMALL(IF('Work Items'!$A$6:$A$5000="CR",ROW('Work Items'!$A$6:$A$5000)-ROW('Work Items'!$A$6)+1),249)),"")</f>
        <v/>
      </c>
      <c r="C253">
        <f t="array" ref="C253">IFERROR(INDEX('Work Items'!$C$6:$C$5000,SMALL(IF('Work Items'!$A$6:$A$5000="CR",ROW('Work Items'!$A$6:$A$5000)-ROW('Work Items'!$A$6)+1),249)),"")</f>
        <v/>
      </c>
      <c r="D253">
        <f t="array" ref="D253">IFERROR(INDEX('Work Items'!$D$6:$D$5000,SMALL(IF('Work Items'!$A$6:$A$5000="CR",ROW('Work Items'!$A$6:$A$5000)-ROW('Work Items'!$A$6)+1),249)),"")</f>
        <v/>
      </c>
      <c r="E253">
        <f t="array" ref="E253">IFERROR(INDEX('Work Items'!$E$6:$E$5000,SMALL(IF('Work Items'!$A$6:$A$5000="CR",ROW('Work Items'!$A$6:$A$5000)-ROW('Work Items'!$A$6)+1),249)),"")</f>
        <v/>
      </c>
      <c r="F253">
        <f t="array" ref="F253">IFERROR(INDEX('Work Items'!$F$6:$F$5000,SMALL(IF('Work Items'!$A$6:$A$5000="CR",ROW('Work Items'!$A$6:$A$5000)-ROW('Work Items'!$A$6)+1),249)),"")</f>
        <v/>
      </c>
      <c r="G253">
        <f t="array" ref="G253">IFERROR(INDEX('Work Items'!$J$6:$J$5000,SMALL(IF('Work Items'!$A$6:$A$5000="CR",ROW('Work Items'!$A$6:$A$5000)-ROW('Work Items'!$A$6)+1),249)),"")</f>
        <v/>
      </c>
      <c r="H253">
        <f t="array" ref="H253">IFERROR(INDEX('Work Items'!$K$6:$K$5000,SMALL(IF('Work Items'!$A$6:$A$5000="CR",ROW('Work Items'!$A$6:$A$5000)-ROW('Work Items'!$A$6)+1),249)),"")</f>
        <v/>
      </c>
      <c r="I253">
        <f t="array" ref="I253">IFERROR(INDEX('Work Items'!$L$6:$L$5000,SMALL(IF('Work Items'!$A$6:$A$5000="CR",ROW('Work Items'!$A$6:$A$5000)-ROW('Work Items'!$A$6)+1),249)),"")</f>
        <v/>
      </c>
      <c r="J253" s="217">
        <f t="array" ref="J253">IFERROR(INDEX('Work Items'!$M$6:$M$5000,SMALL(IF('Work Items'!$A$6:$A$5000="CR",ROW('Work Items'!$A$6:$A$5000)-ROW('Work Items'!$A$6)+1),249)),"")</f>
        <v/>
      </c>
      <c r="K253" s="217">
        <f t="array" ref="K253">IFERROR(INDEX('Work Items'!$Q$6:$Q$5000,SMALL(IF('Work Items'!$A$6:$A$5000="CR",ROW('Work Items'!$A$6:$A$5000)-ROW('Work Items'!$A$6)+1),249)),"")</f>
        <v/>
      </c>
      <c r="L253">
        <f t="array" ref="L253">IFERROR(INDEX('Work Items'!$N$6:$N$5000,SMALL(IF('Work Items'!$A$6:$A$5000="CR",ROW('Work Items'!$A$6:$A$5000)-ROW('Work Items'!$A$6)+1),249)),"")</f>
        <v/>
      </c>
      <c r="M253">
        <f t="array" ref="M253">IFERROR(INDEX('Work Items'!$O$6:$O$5000,SMALL(IF('Work Items'!$A$6:$A$5000="CR",ROW('Work Items'!$A$6:$A$5000)-ROW('Work Items'!$A$6)+1),249)),"")</f>
        <v/>
      </c>
    </row>
    <row r="254">
      <c r="A254">
        <f t="array" ref="A254">IFERROR(INDEX('Work Items'!$A$6:$A$5000,SMALL(IF('Work Items'!$A$6:$A$5000="CR",ROW('Work Items'!$A$6:$A$5000)-ROW('Work Items'!$A$6)+1),250)),"")</f>
        <v/>
      </c>
      <c r="B254">
        <f t="array" ref="B254">IFERROR(INDEX('Work Items'!$B$6:$B$5000,SMALL(IF('Work Items'!$A$6:$A$5000="CR",ROW('Work Items'!$A$6:$A$5000)-ROW('Work Items'!$A$6)+1),250)),"")</f>
        <v/>
      </c>
      <c r="C254">
        <f t="array" ref="C254">IFERROR(INDEX('Work Items'!$C$6:$C$5000,SMALL(IF('Work Items'!$A$6:$A$5000="CR",ROW('Work Items'!$A$6:$A$5000)-ROW('Work Items'!$A$6)+1),250)),"")</f>
        <v/>
      </c>
      <c r="D254">
        <f t="array" ref="D254">IFERROR(INDEX('Work Items'!$D$6:$D$5000,SMALL(IF('Work Items'!$A$6:$A$5000="CR",ROW('Work Items'!$A$6:$A$5000)-ROW('Work Items'!$A$6)+1),250)),"")</f>
        <v/>
      </c>
      <c r="E254">
        <f t="array" ref="E254">IFERROR(INDEX('Work Items'!$E$6:$E$5000,SMALL(IF('Work Items'!$A$6:$A$5000="CR",ROW('Work Items'!$A$6:$A$5000)-ROW('Work Items'!$A$6)+1),250)),"")</f>
        <v/>
      </c>
      <c r="F254">
        <f t="array" ref="F254">IFERROR(INDEX('Work Items'!$F$6:$F$5000,SMALL(IF('Work Items'!$A$6:$A$5000="CR",ROW('Work Items'!$A$6:$A$5000)-ROW('Work Items'!$A$6)+1),250)),"")</f>
        <v/>
      </c>
      <c r="G254">
        <f t="array" ref="G254">IFERROR(INDEX('Work Items'!$J$6:$J$5000,SMALL(IF('Work Items'!$A$6:$A$5000="CR",ROW('Work Items'!$A$6:$A$5000)-ROW('Work Items'!$A$6)+1),250)),"")</f>
        <v/>
      </c>
      <c r="H254">
        <f t="array" ref="H254">IFERROR(INDEX('Work Items'!$K$6:$K$5000,SMALL(IF('Work Items'!$A$6:$A$5000="CR",ROW('Work Items'!$A$6:$A$5000)-ROW('Work Items'!$A$6)+1),250)),"")</f>
        <v/>
      </c>
      <c r="I254">
        <f t="array" ref="I254">IFERROR(INDEX('Work Items'!$L$6:$L$5000,SMALL(IF('Work Items'!$A$6:$A$5000="CR",ROW('Work Items'!$A$6:$A$5000)-ROW('Work Items'!$A$6)+1),250)),"")</f>
        <v/>
      </c>
      <c r="J254" s="217">
        <f t="array" ref="J254">IFERROR(INDEX('Work Items'!$M$6:$M$5000,SMALL(IF('Work Items'!$A$6:$A$5000="CR",ROW('Work Items'!$A$6:$A$5000)-ROW('Work Items'!$A$6)+1),250)),"")</f>
        <v/>
      </c>
      <c r="K254" s="217">
        <f t="array" ref="K254">IFERROR(INDEX('Work Items'!$Q$6:$Q$5000,SMALL(IF('Work Items'!$A$6:$A$5000="CR",ROW('Work Items'!$A$6:$A$5000)-ROW('Work Items'!$A$6)+1),250)),"")</f>
        <v/>
      </c>
      <c r="L254">
        <f t="array" ref="L254">IFERROR(INDEX('Work Items'!$N$6:$N$5000,SMALL(IF('Work Items'!$A$6:$A$5000="CR",ROW('Work Items'!$A$6:$A$5000)-ROW('Work Items'!$A$6)+1),250)),"")</f>
        <v/>
      </c>
      <c r="M254">
        <f t="array" ref="M254">IFERROR(INDEX('Work Items'!$O$6:$O$5000,SMALL(IF('Work Items'!$A$6:$A$5000="CR",ROW('Work Items'!$A$6:$A$5000)-ROW('Work Items'!$A$6)+1),250)),"")</f>
        <v/>
      </c>
    </row>
    <row r="255">
      <c r="A255">
        <f t="array" ref="A255">IFERROR(INDEX('Work Items'!$A$6:$A$5000,SMALL(IF('Work Items'!$A$6:$A$5000="CR",ROW('Work Items'!$A$6:$A$5000)-ROW('Work Items'!$A$6)+1),251)),"")</f>
        <v/>
      </c>
      <c r="B255">
        <f t="array" ref="B255">IFERROR(INDEX('Work Items'!$B$6:$B$5000,SMALL(IF('Work Items'!$A$6:$A$5000="CR",ROW('Work Items'!$A$6:$A$5000)-ROW('Work Items'!$A$6)+1),251)),"")</f>
        <v/>
      </c>
      <c r="C255">
        <f t="array" ref="C255">IFERROR(INDEX('Work Items'!$C$6:$C$5000,SMALL(IF('Work Items'!$A$6:$A$5000="CR",ROW('Work Items'!$A$6:$A$5000)-ROW('Work Items'!$A$6)+1),251)),"")</f>
        <v/>
      </c>
      <c r="D255">
        <f t="array" ref="D255">IFERROR(INDEX('Work Items'!$D$6:$D$5000,SMALL(IF('Work Items'!$A$6:$A$5000="CR",ROW('Work Items'!$A$6:$A$5000)-ROW('Work Items'!$A$6)+1),251)),"")</f>
        <v/>
      </c>
      <c r="E255">
        <f t="array" ref="E255">IFERROR(INDEX('Work Items'!$E$6:$E$5000,SMALL(IF('Work Items'!$A$6:$A$5000="CR",ROW('Work Items'!$A$6:$A$5000)-ROW('Work Items'!$A$6)+1),251)),"")</f>
        <v/>
      </c>
      <c r="F255">
        <f t="array" ref="F255">IFERROR(INDEX('Work Items'!$F$6:$F$5000,SMALL(IF('Work Items'!$A$6:$A$5000="CR",ROW('Work Items'!$A$6:$A$5000)-ROW('Work Items'!$A$6)+1),251)),"")</f>
        <v/>
      </c>
      <c r="G255">
        <f t="array" ref="G255">IFERROR(INDEX('Work Items'!$J$6:$J$5000,SMALL(IF('Work Items'!$A$6:$A$5000="CR",ROW('Work Items'!$A$6:$A$5000)-ROW('Work Items'!$A$6)+1),251)),"")</f>
        <v/>
      </c>
      <c r="H255">
        <f t="array" ref="H255">IFERROR(INDEX('Work Items'!$K$6:$K$5000,SMALL(IF('Work Items'!$A$6:$A$5000="CR",ROW('Work Items'!$A$6:$A$5000)-ROW('Work Items'!$A$6)+1),251)),"")</f>
        <v/>
      </c>
      <c r="I255">
        <f t="array" ref="I255">IFERROR(INDEX('Work Items'!$L$6:$L$5000,SMALL(IF('Work Items'!$A$6:$A$5000="CR",ROW('Work Items'!$A$6:$A$5000)-ROW('Work Items'!$A$6)+1),251)),"")</f>
        <v/>
      </c>
      <c r="J255" s="217">
        <f t="array" ref="J255">IFERROR(INDEX('Work Items'!$M$6:$M$5000,SMALL(IF('Work Items'!$A$6:$A$5000="CR",ROW('Work Items'!$A$6:$A$5000)-ROW('Work Items'!$A$6)+1),251)),"")</f>
        <v/>
      </c>
      <c r="K255" s="217">
        <f t="array" ref="K255">IFERROR(INDEX('Work Items'!$Q$6:$Q$5000,SMALL(IF('Work Items'!$A$6:$A$5000="CR",ROW('Work Items'!$A$6:$A$5000)-ROW('Work Items'!$A$6)+1),251)),"")</f>
        <v/>
      </c>
      <c r="L255">
        <f t="array" ref="L255">IFERROR(INDEX('Work Items'!$N$6:$N$5000,SMALL(IF('Work Items'!$A$6:$A$5000="CR",ROW('Work Items'!$A$6:$A$5000)-ROW('Work Items'!$A$6)+1),251)),"")</f>
        <v/>
      </c>
      <c r="M255">
        <f t="array" ref="M255">IFERROR(INDEX('Work Items'!$O$6:$O$5000,SMALL(IF('Work Items'!$A$6:$A$5000="CR",ROW('Work Items'!$A$6:$A$5000)-ROW('Work Items'!$A$6)+1),251)),"")</f>
        <v/>
      </c>
    </row>
    <row r="256">
      <c r="A256">
        <f t="array" ref="A256">IFERROR(INDEX('Work Items'!$A$6:$A$5000,SMALL(IF('Work Items'!$A$6:$A$5000="CR",ROW('Work Items'!$A$6:$A$5000)-ROW('Work Items'!$A$6)+1),252)),"")</f>
        <v/>
      </c>
      <c r="B256">
        <f t="array" ref="B256">IFERROR(INDEX('Work Items'!$B$6:$B$5000,SMALL(IF('Work Items'!$A$6:$A$5000="CR",ROW('Work Items'!$A$6:$A$5000)-ROW('Work Items'!$A$6)+1),252)),"")</f>
        <v/>
      </c>
      <c r="C256">
        <f t="array" ref="C256">IFERROR(INDEX('Work Items'!$C$6:$C$5000,SMALL(IF('Work Items'!$A$6:$A$5000="CR",ROW('Work Items'!$A$6:$A$5000)-ROW('Work Items'!$A$6)+1),252)),"")</f>
        <v/>
      </c>
      <c r="D256">
        <f t="array" ref="D256">IFERROR(INDEX('Work Items'!$D$6:$D$5000,SMALL(IF('Work Items'!$A$6:$A$5000="CR",ROW('Work Items'!$A$6:$A$5000)-ROW('Work Items'!$A$6)+1),252)),"")</f>
        <v/>
      </c>
      <c r="E256">
        <f t="array" ref="E256">IFERROR(INDEX('Work Items'!$E$6:$E$5000,SMALL(IF('Work Items'!$A$6:$A$5000="CR",ROW('Work Items'!$A$6:$A$5000)-ROW('Work Items'!$A$6)+1),252)),"")</f>
        <v/>
      </c>
      <c r="F256">
        <f t="array" ref="F256">IFERROR(INDEX('Work Items'!$F$6:$F$5000,SMALL(IF('Work Items'!$A$6:$A$5000="CR",ROW('Work Items'!$A$6:$A$5000)-ROW('Work Items'!$A$6)+1),252)),"")</f>
        <v/>
      </c>
      <c r="G256">
        <f t="array" ref="G256">IFERROR(INDEX('Work Items'!$J$6:$J$5000,SMALL(IF('Work Items'!$A$6:$A$5000="CR",ROW('Work Items'!$A$6:$A$5000)-ROW('Work Items'!$A$6)+1),252)),"")</f>
        <v/>
      </c>
      <c r="H256">
        <f t="array" ref="H256">IFERROR(INDEX('Work Items'!$K$6:$K$5000,SMALL(IF('Work Items'!$A$6:$A$5000="CR",ROW('Work Items'!$A$6:$A$5000)-ROW('Work Items'!$A$6)+1),252)),"")</f>
        <v/>
      </c>
      <c r="I256">
        <f t="array" ref="I256">IFERROR(INDEX('Work Items'!$L$6:$L$5000,SMALL(IF('Work Items'!$A$6:$A$5000="CR",ROW('Work Items'!$A$6:$A$5000)-ROW('Work Items'!$A$6)+1),252)),"")</f>
        <v/>
      </c>
      <c r="J256" s="217">
        <f t="array" ref="J256">IFERROR(INDEX('Work Items'!$M$6:$M$5000,SMALL(IF('Work Items'!$A$6:$A$5000="CR",ROW('Work Items'!$A$6:$A$5000)-ROW('Work Items'!$A$6)+1),252)),"")</f>
        <v/>
      </c>
      <c r="K256" s="217">
        <f t="array" ref="K256">IFERROR(INDEX('Work Items'!$Q$6:$Q$5000,SMALL(IF('Work Items'!$A$6:$A$5000="CR",ROW('Work Items'!$A$6:$A$5000)-ROW('Work Items'!$A$6)+1),252)),"")</f>
        <v/>
      </c>
      <c r="L256">
        <f t="array" ref="L256">IFERROR(INDEX('Work Items'!$N$6:$N$5000,SMALL(IF('Work Items'!$A$6:$A$5000="CR",ROW('Work Items'!$A$6:$A$5000)-ROW('Work Items'!$A$6)+1),252)),"")</f>
        <v/>
      </c>
      <c r="M256">
        <f t="array" ref="M256">IFERROR(INDEX('Work Items'!$O$6:$O$5000,SMALL(IF('Work Items'!$A$6:$A$5000="CR",ROW('Work Items'!$A$6:$A$5000)-ROW('Work Items'!$A$6)+1),252)),"")</f>
        <v/>
      </c>
    </row>
    <row r="257">
      <c r="A257">
        <f t="array" ref="A257">IFERROR(INDEX('Work Items'!$A$6:$A$5000,SMALL(IF('Work Items'!$A$6:$A$5000="CR",ROW('Work Items'!$A$6:$A$5000)-ROW('Work Items'!$A$6)+1),253)),"")</f>
        <v/>
      </c>
      <c r="B257">
        <f t="array" ref="B257">IFERROR(INDEX('Work Items'!$B$6:$B$5000,SMALL(IF('Work Items'!$A$6:$A$5000="CR",ROW('Work Items'!$A$6:$A$5000)-ROW('Work Items'!$A$6)+1),253)),"")</f>
        <v/>
      </c>
      <c r="C257">
        <f t="array" ref="C257">IFERROR(INDEX('Work Items'!$C$6:$C$5000,SMALL(IF('Work Items'!$A$6:$A$5000="CR",ROW('Work Items'!$A$6:$A$5000)-ROW('Work Items'!$A$6)+1),253)),"")</f>
        <v/>
      </c>
      <c r="D257">
        <f t="array" ref="D257">IFERROR(INDEX('Work Items'!$D$6:$D$5000,SMALL(IF('Work Items'!$A$6:$A$5000="CR",ROW('Work Items'!$A$6:$A$5000)-ROW('Work Items'!$A$6)+1),253)),"")</f>
        <v/>
      </c>
      <c r="E257">
        <f t="array" ref="E257">IFERROR(INDEX('Work Items'!$E$6:$E$5000,SMALL(IF('Work Items'!$A$6:$A$5000="CR",ROW('Work Items'!$A$6:$A$5000)-ROW('Work Items'!$A$6)+1),253)),"")</f>
        <v/>
      </c>
      <c r="F257">
        <f t="array" ref="F257">IFERROR(INDEX('Work Items'!$F$6:$F$5000,SMALL(IF('Work Items'!$A$6:$A$5000="CR",ROW('Work Items'!$A$6:$A$5000)-ROW('Work Items'!$A$6)+1),253)),"")</f>
        <v/>
      </c>
      <c r="G257">
        <f t="array" ref="G257">IFERROR(INDEX('Work Items'!$J$6:$J$5000,SMALL(IF('Work Items'!$A$6:$A$5000="CR",ROW('Work Items'!$A$6:$A$5000)-ROW('Work Items'!$A$6)+1),253)),"")</f>
        <v/>
      </c>
      <c r="H257">
        <f t="array" ref="H257">IFERROR(INDEX('Work Items'!$K$6:$K$5000,SMALL(IF('Work Items'!$A$6:$A$5000="CR",ROW('Work Items'!$A$6:$A$5000)-ROW('Work Items'!$A$6)+1),253)),"")</f>
        <v/>
      </c>
      <c r="I257">
        <f t="array" ref="I257">IFERROR(INDEX('Work Items'!$L$6:$L$5000,SMALL(IF('Work Items'!$A$6:$A$5000="CR",ROW('Work Items'!$A$6:$A$5000)-ROW('Work Items'!$A$6)+1),253)),"")</f>
        <v/>
      </c>
      <c r="J257" s="217">
        <f t="array" ref="J257">IFERROR(INDEX('Work Items'!$M$6:$M$5000,SMALL(IF('Work Items'!$A$6:$A$5000="CR",ROW('Work Items'!$A$6:$A$5000)-ROW('Work Items'!$A$6)+1),253)),"")</f>
        <v/>
      </c>
      <c r="K257" s="217">
        <f t="array" ref="K257">IFERROR(INDEX('Work Items'!$Q$6:$Q$5000,SMALL(IF('Work Items'!$A$6:$A$5000="CR",ROW('Work Items'!$A$6:$A$5000)-ROW('Work Items'!$A$6)+1),253)),"")</f>
        <v/>
      </c>
      <c r="L257">
        <f t="array" ref="L257">IFERROR(INDEX('Work Items'!$N$6:$N$5000,SMALL(IF('Work Items'!$A$6:$A$5000="CR",ROW('Work Items'!$A$6:$A$5000)-ROW('Work Items'!$A$6)+1),253)),"")</f>
        <v/>
      </c>
      <c r="M257">
        <f t="array" ref="M257">IFERROR(INDEX('Work Items'!$O$6:$O$5000,SMALL(IF('Work Items'!$A$6:$A$5000="CR",ROW('Work Items'!$A$6:$A$5000)-ROW('Work Items'!$A$6)+1),253)),"")</f>
        <v/>
      </c>
    </row>
    <row r="258">
      <c r="A258">
        <f t="array" ref="A258">IFERROR(INDEX('Work Items'!$A$6:$A$5000,SMALL(IF('Work Items'!$A$6:$A$5000="CR",ROW('Work Items'!$A$6:$A$5000)-ROW('Work Items'!$A$6)+1),254)),"")</f>
        <v/>
      </c>
      <c r="B258">
        <f t="array" ref="B258">IFERROR(INDEX('Work Items'!$B$6:$B$5000,SMALL(IF('Work Items'!$A$6:$A$5000="CR",ROW('Work Items'!$A$6:$A$5000)-ROW('Work Items'!$A$6)+1),254)),"")</f>
        <v/>
      </c>
      <c r="C258">
        <f t="array" ref="C258">IFERROR(INDEX('Work Items'!$C$6:$C$5000,SMALL(IF('Work Items'!$A$6:$A$5000="CR",ROW('Work Items'!$A$6:$A$5000)-ROW('Work Items'!$A$6)+1),254)),"")</f>
        <v/>
      </c>
      <c r="D258">
        <f t="array" ref="D258">IFERROR(INDEX('Work Items'!$D$6:$D$5000,SMALL(IF('Work Items'!$A$6:$A$5000="CR",ROW('Work Items'!$A$6:$A$5000)-ROW('Work Items'!$A$6)+1),254)),"")</f>
        <v/>
      </c>
      <c r="E258">
        <f t="array" ref="E258">IFERROR(INDEX('Work Items'!$E$6:$E$5000,SMALL(IF('Work Items'!$A$6:$A$5000="CR",ROW('Work Items'!$A$6:$A$5000)-ROW('Work Items'!$A$6)+1),254)),"")</f>
        <v/>
      </c>
      <c r="F258">
        <f t="array" ref="F258">IFERROR(INDEX('Work Items'!$F$6:$F$5000,SMALL(IF('Work Items'!$A$6:$A$5000="CR",ROW('Work Items'!$A$6:$A$5000)-ROW('Work Items'!$A$6)+1),254)),"")</f>
        <v/>
      </c>
      <c r="G258">
        <f t="array" ref="G258">IFERROR(INDEX('Work Items'!$J$6:$J$5000,SMALL(IF('Work Items'!$A$6:$A$5000="CR",ROW('Work Items'!$A$6:$A$5000)-ROW('Work Items'!$A$6)+1),254)),"")</f>
        <v/>
      </c>
      <c r="H258">
        <f t="array" ref="H258">IFERROR(INDEX('Work Items'!$K$6:$K$5000,SMALL(IF('Work Items'!$A$6:$A$5000="CR",ROW('Work Items'!$A$6:$A$5000)-ROW('Work Items'!$A$6)+1),254)),"")</f>
        <v/>
      </c>
      <c r="I258">
        <f t="array" ref="I258">IFERROR(INDEX('Work Items'!$L$6:$L$5000,SMALL(IF('Work Items'!$A$6:$A$5000="CR",ROW('Work Items'!$A$6:$A$5000)-ROW('Work Items'!$A$6)+1),254)),"")</f>
        <v/>
      </c>
      <c r="J258" s="217">
        <f t="array" ref="J258">IFERROR(INDEX('Work Items'!$M$6:$M$5000,SMALL(IF('Work Items'!$A$6:$A$5000="CR",ROW('Work Items'!$A$6:$A$5000)-ROW('Work Items'!$A$6)+1),254)),"")</f>
        <v/>
      </c>
      <c r="K258" s="217">
        <f t="array" ref="K258">IFERROR(INDEX('Work Items'!$Q$6:$Q$5000,SMALL(IF('Work Items'!$A$6:$A$5000="CR",ROW('Work Items'!$A$6:$A$5000)-ROW('Work Items'!$A$6)+1),254)),"")</f>
        <v/>
      </c>
      <c r="L258">
        <f t="array" ref="L258">IFERROR(INDEX('Work Items'!$N$6:$N$5000,SMALL(IF('Work Items'!$A$6:$A$5000="CR",ROW('Work Items'!$A$6:$A$5000)-ROW('Work Items'!$A$6)+1),254)),"")</f>
        <v/>
      </c>
      <c r="M258">
        <f t="array" ref="M258">IFERROR(INDEX('Work Items'!$O$6:$O$5000,SMALL(IF('Work Items'!$A$6:$A$5000="CR",ROW('Work Items'!$A$6:$A$5000)-ROW('Work Items'!$A$6)+1),254)),"")</f>
        <v/>
      </c>
    </row>
    <row r="259">
      <c r="A259">
        <f t="array" ref="A259">IFERROR(INDEX('Work Items'!$A$6:$A$5000,SMALL(IF('Work Items'!$A$6:$A$5000="CR",ROW('Work Items'!$A$6:$A$5000)-ROW('Work Items'!$A$6)+1),255)),"")</f>
        <v/>
      </c>
      <c r="B259">
        <f t="array" ref="B259">IFERROR(INDEX('Work Items'!$B$6:$B$5000,SMALL(IF('Work Items'!$A$6:$A$5000="CR",ROW('Work Items'!$A$6:$A$5000)-ROW('Work Items'!$A$6)+1),255)),"")</f>
        <v/>
      </c>
      <c r="C259">
        <f t="array" ref="C259">IFERROR(INDEX('Work Items'!$C$6:$C$5000,SMALL(IF('Work Items'!$A$6:$A$5000="CR",ROW('Work Items'!$A$6:$A$5000)-ROW('Work Items'!$A$6)+1),255)),"")</f>
        <v/>
      </c>
      <c r="D259">
        <f t="array" ref="D259">IFERROR(INDEX('Work Items'!$D$6:$D$5000,SMALL(IF('Work Items'!$A$6:$A$5000="CR",ROW('Work Items'!$A$6:$A$5000)-ROW('Work Items'!$A$6)+1),255)),"")</f>
        <v/>
      </c>
      <c r="E259">
        <f t="array" ref="E259">IFERROR(INDEX('Work Items'!$E$6:$E$5000,SMALL(IF('Work Items'!$A$6:$A$5000="CR",ROW('Work Items'!$A$6:$A$5000)-ROW('Work Items'!$A$6)+1),255)),"")</f>
        <v/>
      </c>
      <c r="F259">
        <f t="array" ref="F259">IFERROR(INDEX('Work Items'!$F$6:$F$5000,SMALL(IF('Work Items'!$A$6:$A$5000="CR",ROW('Work Items'!$A$6:$A$5000)-ROW('Work Items'!$A$6)+1),255)),"")</f>
        <v/>
      </c>
      <c r="G259">
        <f t="array" ref="G259">IFERROR(INDEX('Work Items'!$J$6:$J$5000,SMALL(IF('Work Items'!$A$6:$A$5000="CR",ROW('Work Items'!$A$6:$A$5000)-ROW('Work Items'!$A$6)+1),255)),"")</f>
        <v/>
      </c>
      <c r="H259">
        <f t="array" ref="H259">IFERROR(INDEX('Work Items'!$K$6:$K$5000,SMALL(IF('Work Items'!$A$6:$A$5000="CR",ROW('Work Items'!$A$6:$A$5000)-ROW('Work Items'!$A$6)+1),255)),"")</f>
        <v/>
      </c>
      <c r="I259">
        <f t="array" ref="I259">IFERROR(INDEX('Work Items'!$L$6:$L$5000,SMALL(IF('Work Items'!$A$6:$A$5000="CR",ROW('Work Items'!$A$6:$A$5000)-ROW('Work Items'!$A$6)+1),255)),"")</f>
        <v/>
      </c>
      <c r="J259" s="217">
        <f t="array" ref="J259">IFERROR(INDEX('Work Items'!$M$6:$M$5000,SMALL(IF('Work Items'!$A$6:$A$5000="CR",ROW('Work Items'!$A$6:$A$5000)-ROW('Work Items'!$A$6)+1),255)),"")</f>
        <v/>
      </c>
      <c r="K259" s="217">
        <f t="array" ref="K259">IFERROR(INDEX('Work Items'!$Q$6:$Q$5000,SMALL(IF('Work Items'!$A$6:$A$5000="CR",ROW('Work Items'!$A$6:$A$5000)-ROW('Work Items'!$A$6)+1),255)),"")</f>
        <v/>
      </c>
      <c r="L259">
        <f t="array" ref="L259">IFERROR(INDEX('Work Items'!$N$6:$N$5000,SMALL(IF('Work Items'!$A$6:$A$5000="CR",ROW('Work Items'!$A$6:$A$5000)-ROW('Work Items'!$A$6)+1),255)),"")</f>
        <v/>
      </c>
      <c r="M259">
        <f t="array" ref="M259">IFERROR(INDEX('Work Items'!$O$6:$O$5000,SMALL(IF('Work Items'!$A$6:$A$5000="CR",ROW('Work Items'!$A$6:$A$5000)-ROW('Work Items'!$A$6)+1),255)),"")</f>
        <v/>
      </c>
    </row>
    <row r="260">
      <c r="A260">
        <f t="array" ref="A260">IFERROR(INDEX('Work Items'!$A$6:$A$5000,SMALL(IF('Work Items'!$A$6:$A$5000="CR",ROW('Work Items'!$A$6:$A$5000)-ROW('Work Items'!$A$6)+1),256)),"")</f>
        <v/>
      </c>
      <c r="B260">
        <f t="array" ref="B260">IFERROR(INDEX('Work Items'!$B$6:$B$5000,SMALL(IF('Work Items'!$A$6:$A$5000="CR",ROW('Work Items'!$A$6:$A$5000)-ROW('Work Items'!$A$6)+1),256)),"")</f>
        <v/>
      </c>
      <c r="C260">
        <f t="array" ref="C260">IFERROR(INDEX('Work Items'!$C$6:$C$5000,SMALL(IF('Work Items'!$A$6:$A$5000="CR",ROW('Work Items'!$A$6:$A$5000)-ROW('Work Items'!$A$6)+1),256)),"")</f>
        <v/>
      </c>
      <c r="D260">
        <f t="array" ref="D260">IFERROR(INDEX('Work Items'!$D$6:$D$5000,SMALL(IF('Work Items'!$A$6:$A$5000="CR",ROW('Work Items'!$A$6:$A$5000)-ROW('Work Items'!$A$6)+1),256)),"")</f>
        <v/>
      </c>
      <c r="E260">
        <f t="array" ref="E260">IFERROR(INDEX('Work Items'!$E$6:$E$5000,SMALL(IF('Work Items'!$A$6:$A$5000="CR",ROW('Work Items'!$A$6:$A$5000)-ROW('Work Items'!$A$6)+1),256)),"")</f>
        <v/>
      </c>
      <c r="F260">
        <f t="array" ref="F260">IFERROR(INDEX('Work Items'!$F$6:$F$5000,SMALL(IF('Work Items'!$A$6:$A$5000="CR",ROW('Work Items'!$A$6:$A$5000)-ROW('Work Items'!$A$6)+1),256)),"")</f>
        <v/>
      </c>
      <c r="G260">
        <f t="array" ref="G260">IFERROR(INDEX('Work Items'!$J$6:$J$5000,SMALL(IF('Work Items'!$A$6:$A$5000="CR",ROW('Work Items'!$A$6:$A$5000)-ROW('Work Items'!$A$6)+1),256)),"")</f>
        <v/>
      </c>
      <c r="H260">
        <f t="array" ref="H260">IFERROR(INDEX('Work Items'!$K$6:$K$5000,SMALL(IF('Work Items'!$A$6:$A$5000="CR",ROW('Work Items'!$A$6:$A$5000)-ROW('Work Items'!$A$6)+1),256)),"")</f>
        <v/>
      </c>
      <c r="I260">
        <f t="array" ref="I260">IFERROR(INDEX('Work Items'!$L$6:$L$5000,SMALL(IF('Work Items'!$A$6:$A$5000="CR",ROW('Work Items'!$A$6:$A$5000)-ROW('Work Items'!$A$6)+1),256)),"")</f>
        <v/>
      </c>
      <c r="J260" s="217">
        <f t="array" ref="J260">IFERROR(INDEX('Work Items'!$M$6:$M$5000,SMALL(IF('Work Items'!$A$6:$A$5000="CR",ROW('Work Items'!$A$6:$A$5000)-ROW('Work Items'!$A$6)+1),256)),"")</f>
        <v/>
      </c>
      <c r="K260" s="217">
        <f t="array" ref="K260">IFERROR(INDEX('Work Items'!$Q$6:$Q$5000,SMALL(IF('Work Items'!$A$6:$A$5000="CR",ROW('Work Items'!$A$6:$A$5000)-ROW('Work Items'!$A$6)+1),256)),"")</f>
        <v/>
      </c>
      <c r="L260">
        <f t="array" ref="L260">IFERROR(INDEX('Work Items'!$N$6:$N$5000,SMALL(IF('Work Items'!$A$6:$A$5000="CR",ROW('Work Items'!$A$6:$A$5000)-ROW('Work Items'!$A$6)+1),256)),"")</f>
        <v/>
      </c>
      <c r="M260">
        <f t="array" ref="M260">IFERROR(INDEX('Work Items'!$O$6:$O$5000,SMALL(IF('Work Items'!$A$6:$A$5000="CR",ROW('Work Items'!$A$6:$A$5000)-ROW('Work Items'!$A$6)+1),256)),"")</f>
        <v/>
      </c>
    </row>
    <row r="261">
      <c r="A261">
        <f t="array" ref="A261">IFERROR(INDEX('Work Items'!$A$6:$A$5000,SMALL(IF('Work Items'!$A$6:$A$5000="CR",ROW('Work Items'!$A$6:$A$5000)-ROW('Work Items'!$A$6)+1),257)),"")</f>
        <v/>
      </c>
      <c r="B261">
        <f t="array" ref="B261">IFERROR(INDEX('Work Items'!$B$6:$B$5000,SMALL(IF('Work Items'!$A$6:$A$5000="CR",ROW('Work Items'!$A$6:$A$5000)-ROW('Work Items'!$A$6)+1),257)),"")</f>
        <v/>
      </c>
      <c r="C261">
        <f t="array" ref="C261">IFERROR(INDEX('Work Items'!$C$6:$C$5000,SMALL(IF('Work Items'!$A$6:$A$5000="CR",ROW('Work Items'!$A$6:$A$5000)-ROW('Work Items'!$A$6)+1),257)),"")</f>
        <v/>
      </c>
      <c r="D261">
        <f t="array" ref="D261">IFERROR(INDEX('Work Items'!$D$6:$D$5000,SMALL(IF('Work Items'!$A$6:$A$5000="CR",ROW('Work Items'!$A$6:$A$5000)-ROW('Work Items'!$A$6)+1),257)),"")</f>
        <v/>
      </c>
      <c r="E261">
        <f t="array" ref="E261">IFERROR(INDEX('Work Items'!$E$6:$E$5000,SMALL(IF('Work Items'!$A$6:$A$5000="CR",ROW('Work Items'!$A$6:$A$5000)-ROW('Work Items'!$A$6)+1),257)),"")</f>
        <v/>
      </c>
      <c r="F261">
        <f t="array" ref="F261">IFERROR(INDEX('Work Items'!$F$6:$F$5000,SMALL(IF('Work Items'!$A$6:$A$5000="CR",ROW('Work Items'!$A$6:$A$5000)-ROW('Work Items'!$A$6)+1),257)),"")</f>
        <v/>
      </c>
      <c r="G261">
        <f t="array" ref="G261">IFERROR(INDEX('Work Items'!$J$6:$J$5000,SMALL(IF('Work Items'!$A$6:$A$5000="CR",ROW('Work Items'!$A$6:$A$5000)-ROW('Work Items'!$A$6)+1),257)),"")</f>
        <v/>
      </c>
      <c r="H261">
        <f t="array" ref="H261">IFERROR(INDEX('Work Items'!$K$6:$K$5000,SMALL(IF('Work Items'!$A$6:$A$5000="CR",ROW('Work Items'!$A$6:$A$5000)-ROW('Work Items'!$A$6)+1),257)),"")</f>
        <v/>
      </c>
      <c r="I261">
        <f t="array" ref="I261">IFERROR(INDEX('Work Items'!$L$6:$L$5000,SMALL(IF('Work Items'!$A$6:$A$5000="CR",ROW('Work Items'!$A$6:$A$5000)-ROW('Work Items'!$A$6)+1),257)),"")</f>
        <v/>
      </c>
      <c r="J261" s="217">
        <f t="array" ref="J261">IFERROR(INDEX('Work Items'!$M$6:$M$5000,SMALL(IF('Work Items'!$A$6:$A$5000="CR",ROW('Work Items'!$A$6:$A$5000)-ROW('Work Items'!$A$6)+1),257)),"")</f>
        <v/>
      </c>
      <c r="K261" s="217">
        <f t="array" ref="K261">IFERROR(INDEX('Work Items'!$Q$6:$Q$5000,SMALL(IF('Work Items'!$A$6:$A$5000="CR",ROW('Work Items'!$A$6:$A$5000)-ROW('Work Items'!$A$6)+1),257)),"")</f>
        <v/>
      </c>
      <c r="L261">
        <f t="array" ref="L261">IFERROR(INDEX('Work Items'!$N$6:$N$5000,SMALL(IF('Work Items'!$A$6:$A$5000="CR",ROW('Work Items'!$A$6:$A$5000)-ROW('Work Items'!$A$6)+1),257)),"")</f>
        <v/>
      </c>
      <c r="M261">
        <f t="array" ref="M261">IFERROR(INDEX('Work Items'!$O$6:$O$5000,SMALL(IF('Work Items'!$A$6:$A$5000="CR",ROW('Work Items'!$A$6:$A$5000)-ROW('Work Items'!$A$6)+1),257)),"")</f>
        <v/>
      </c>
    </row>
    <row r="262">
      <c r="A262">
        <f t="array" ref="A262">IFERROR(INDEX('Work Items'!$A$6:$A$5000,SMALL(IF('Work Items'!$A$6:$A$5000="CR",ROW('Work Items'!$A$6:$A$5000)-ROW('Work Items'!$A$6)+1),258)),"")</f>
        <v/>
      </c>
      <c r="B262">
        <f t="array" ref="B262">IFERROR(INDEX('Work Items'!$B$6:$B$5000,SMALL(IF('Work Items'!$A$6:$A$5000="CR",ROW('Work Items'!$A$6:$A$5000)-ROW('Work Items'!$A$6)+1),258)),"")</f>
        <v/>
      </c>
      <c r="C262">
        <f t="array" ref="C262">IFERROR(INDEX('Work Items'!$C$6:$C$5000,SMALL(IF('Work Items'!$A$6:$A$5000="CR",ROW('Work Items'!$A$6:$A$5000)-ROW('Work Items'!$A$6)+1),258)),"")</f>
        <v/>
      </c>
      <c r="D262">
        <f t="array" ref="D262">IFERROR(INDEX('Work Items'!$D$6:$D$5000,SMALL(IF('Work Items'!$A$6:$A$5000="CR",ROW('Work Items'!$A$6:$A$5000)-ROW('Work Items'!$A$6)+1),258)),"")</f>
        <v/>
      </c>
      <c r="E262">
        <f t="array" ref="E262">IFERROR(INDEX('Work Items'!$E$6:$E$5000,SMALL(IF('Work Items'!$A$6:$A$5000="CR",ROW('Work Items'!$A$6:$A$5000)-ROW('Work Items'!$A$6)+1),258)),"")</f>
        <v/>
      </c>
      <c r="F262">
        <f t="array" ref="F262">IFERROR(INDEX('Work Items'!$F$6:$F$5000,SMALL(IF('Work Items'!$A$6:$A$5000="CR",ROW('Work Items'!$A$6:$A$5000)-ROW('Work Items'!$A$6)+1),258)),"")</f>
        <v/>
      </c>
      <c r="G262">
        <f t="array" ref="G262">IFERROR(INDEX('Work Items'!$J$6:$J$5000,SMALL(IF('Work Items'!$A$6:$A$5000="CR",ROW('Work Items'!$A$6:$A$5000)-ROW('Work Items'!$A$6)+1),258)),"")</f>
        <v/>
      </c>
      <c r="H262">
        <f t="array" ref="H262">IFERROR(INDEX('Work Items'!$K$6:$K$5000,SMALL(IF('Work Items'!$A$6:$A$5000="CR",ROW('Work Items'!$A$6:$A$5000)-ROW('Work Items'!$A$6)+1),258)),"")</f>
        <v/>
      </c>
      <c r="I262">
        <f t="array" ref="I262">IFERROR(INDEX('Work Items'!$L$6:$L$5000,SMALL(IF('Work Items'!$A$6:$A$5000="CR",ROW('Work Items'!$A$6:$A$5000)-ROW('Work Items'!$A$6)+1),258)),"")</f>
        <v/>
      </c>
      <c r="J262" s="217">
        <f t="array" ref="J262">IFERROR(INDEX('Work Items'!$M$6:$M$5000,SMALL(IF('Work Items'!$A$6:$A$5000="CR",ROW('Work Items'!$A$6:$A$5000)-ROW('Work Items'!$A$6)+1),258)),"")</f>
        <v/>
      </c>
      <c r="K262" s="217">
        <f t="array" ref="K262">IFERROR(INDEX('Work Items'!$Q$6:$Q$5000,SMALL(IF('Work Items'!$A$6:$A$5000="CR",ROW('Work Items'!$A$6:$A$5000)-ROW('Work Items'!$A$6)+1),258)),"")</f>
        <v/>
      </c>
      <c r="L262">
        <f t="array" ref="L262">IFERROR(INDEX('Work Items'!$N$6:$N$5000,SMALL(IF('Work Items'!$A$6:$A$5000="CR",ROW('Work Items'!$A$6:$A$5000)-ROW('Work Items'!$A$6)+1),258)),"")</f>
        <v/>
      </c>
      <c r="M262">
        <f t="array" ref="M262">IFERROR(INDEX('Work Items'!$O$6:$O$5000,SMALL(IF('Work Items'!$A$6:$A$5000="CR",ROW('Work Items'!$A$6:$A$5000)-ROW('Work Items'!$A$6)+1),258)),"")</f>
        <v/>
      </c>
    </row>
    <row r="263">
      <c r="A263">
        <f t="array" ref="A263">IFERROR(INDEX('Work Items'!$A$6:$A$5000,SMALL(IF('Work Items'!$A$6:$A$5000="CR",ROW('Work Items'!$A$6:$A$5000)-ROW('Work Items'!$A$6)+1),259)),"")</f>
        <v/>
      </c>
      <c r="B263">
        <f t="array" ref="B263">IFERROR(INDEX('Work Items'!$B$6:$B$5000,SMALL(IF('Work Items'!$A$6:$A$5000="CR",ROW('Work Items'!$A$6:$A$5000)-ROW('Work Items'!$A$6)+1),259)),"")</f>
        <v/>
      </c>
      <c r="C263">
        <f t="array" ref="C263">IFERROR(INDEX('Work Items'!$C$6:$C$5000,SMALL(IF('Work Items'!$A$6:$A$5000="CR",ROW('Work Items'!$A$6:$A$5000)-ROW('Work Items'!$A$6)+1),259)),"")</f>
        <v/>
      </c>
      <c r="D263">
        <f t="array" ref="D263">IFERROR(INDEX('Work Items'!$D$6:$D$5000,SMALL(IF('Work Items'!$A$6:$A$5000="CR",ROW('Work Items'!$A$6:$A$5000)-ROW('Work Items'!$A$6)+1),259)),"")</f>
        <v/>
      </c>
      <c r="E263">
        <f t="array" ref="E263">IFERROR(INDEX('Work Items'!$E$6:$E$5000,SMALL(IF('Work Items'!$A$6:$A$5000="CR",ROW('Work Items'!$A$6:$A$5000)-ROW('Work Items'!$A$6)+1),259)),"")</f>
        <v/>
      </c>
      <c r="F263">
        <f t="array" ref="F263">IFERROR(INDEX('Work Items'!$F$6:$F$5000,SMALL(IF('Work Items'!$A$6:$A$5000="CR",ROW('Work Items'!$A$6:$A$5000)-ROW('Work Items'!$A$6)+1),259)),"")</f>
        <v/>
      </c>
      <c r="G263">
        <f t="array" ref="G263">IFERROR(INDEX('Work Items'!$J$6:$J$5000,SMALL(IF('Work Items'!$A$6:$A$5000="CR",ROW('Work Items'!$A$6:$A$5000)-ROW('Work Items'!$A$6)+1),259)),"")</f>
        <v/>
      </c>
      <c r="H263">
        <f t="array" ref="H263">IFERROR(INDEX('Work Items'!$K$6:$K$5000,SMALL(IF('Work Items'!$A$6:$A$5000="CR",ROW('Work Items'!$A$6:$A$5000)-ROW('Work Items'!$A$6)+1),259)),"")</f>
        <v/>
      </c>
      <c r="I263">
        <f t="array" ref="I263">IFERROR(INDEX('Work Items'!$L$6:$L$5000,SMALL(IF('Work Items'!$A$6:$A$5000="CR",ROW('Work Items'!$A$6:$A$5000)-ROW('Work Items'!$A$6)+1),259)),"")</f>
        <v/>
      </c>
      <c r="J263" s="217">
        <f t="array" ref="J263">IFERROR(INDEX('Work Items'!$M$6:$M$5000,SMALL(IF('Work Items'!$A$6:$A$5000="CR",ROW('Work Items'!$A$6:$A$5000)-ROW('Work Items'!$A$6)+1),259)),"")</f>
        <v/>
      </c>
      <c r="K263" s="217">
        <f t="array" ref="K263">IFERROR(INDEX('Work Items'!$Q$6:$Q$5000,SMALL(IF('Work Items'!$A$6:$A$5000="CR",ROW('Work Items'!$A$6:$A$5000)-ROW('Work Items'!$A$6)+1),259)),"")</f>
        <v/>
      </c>
      <c r="L263">
        <f t="array" ref="L263">IFERROR(INDEX('Work Items'!$N$6:$N$5000,SMALL(IF('Work Items'!$A$6:$A$5000="CR",ROW('Work Items'!$A$6:$A$5000)-ROW('Work Items'!$A$6)+1),259)),"")</f>
        <v/>
      </c>
      <c r="M263">
        <f t="array" ref="M263">IFERROR(INDEX('Work Items'!$O$6:$O$5000,SMALL(IF('Work Items'!$A$6:$A$5000="CR",ROW('Work Items'!$A$6:$A$5000)-ROW('Work Items'!$A$6)+1),259)),"")</f>
        <v/>
      </c>
    </row>
    <row r="264">
      <c r="A264">
        <f t="array" ref="A264">IFERROR(INDEX('Work Items'!$A$6:$A$5000,SMALL(IF('Work Items'!$A$6:$A$5000="CR",ROW('Work Items'!$A$6:$A$5000)-ROW('Work Items'!$A$6)+1),260)),"")</f>
        <v/>
      </c>
      <c r="B264">
        <f t="array" ref="B264">IFERROR(INDEX('Work Items'!$B$6:$B$5000,SMALL(IF('Work Items'!$A$6:$A$5000="CR",ROW('Work Items'!$A$6:$A$5000)-ROW('Work Items'!$A$6)+1),260)),"")</f>
        <v/>
      </c>
      <c r="C264">
        <f t="array" ref="C264">IFERROR(INDEX('Work Items'!$C$6:$C$5000,SMALL(IF('Work Items'!$A$6:$A$5000="CR",ROW('Work Items'!$A$6:$A$5000)-ROW('Work Items'!$A$6)+1),260)),"")</f>
        <v/>
      </c>
      <c r="D264">
        <f t="array" ref="D264">IFERROR(INDEX('Work Items'!$D$6:$D$5000,SMALL(IF('Work Items'!$A$6:$A$5000="CR",ROW('Work Items'!$A$6:$A$5000)-ROW('Work Items'!$A$6)+1),260)),"")</f>
        <v/>
      </c>
      <c r="E264">
        <f t="array" ref="E264">IFERROR(INDEX('Work Items'!$E$6:$E$5000,SMALL(IF('Work Items'!$A$6:$A$5000="CR",ROW('Work Items'!$A$6:$A$5000)-ROW('Work Items'!$A$6)+1),260)),"")</f>
        <v/>
      </c>
      <c r="F264">
        <f t="array" ref="F264">IFERROR(INDEX('Work Items'!$F$6:$F$5000,SMALL(IF('Work Items'!$A$6:$A$5000="CR",ROW('Work Items'!$A$6:$A$5000)-ROW('Work Items'!$A$6)+1),260)),"")</f>
        <v/>
      </c>
      <c r="G264">
        <f t="array" ref="G264">IFERROR(INDEX('Work Items'!$J$6:$J$5000,SMALL(IF('Work Items'!$A$6:$A$5000="CR",ROW('Work Items'!$A$6:$A$5000)-ROW('Work Items'!$A$6)+1),260)),"")</f>
        <v/>
      </c>
      <c r="H264">
        <f t="array" ref="H264">IFERROR(INDEX('Work Items'!$K$6:$K$5000,SMALL(IF('Work Items'!$A$6:$A$5000="CR",ROW('Work Items'!$A$6:$A$5000)-ROW('Work Items'!$A$6)+1),260)),"")</f>
        <v/>
      </c>
      <c r="I264">
        <f t="array" ref="I264">IFERROR(INDEX('Work Items'!$L$6:$L$5000,SMALL(IF('Work Items'!$A$6:$A$5000="CR",ROW('Work Items'!$A$6:$A$5000)-ROW('Work Items'!$A$6)+1),260)),"")</f>
        <v/>
      </c>
      <c r="J264" s="217">
        <f t="array" ref="J264">IFERROR(INDEX('Work Items'!$M$6:$M$5000,SMALL(IF('Work Items'!$A$6:$A$5000="CR",ROW('Work Items'!$A$6:$A$5000)-ROW('Work Items'!$A$6)+1),260)),"")</f>
        <v/>
      </c>
      <c r="K264" s="217">
        <f t="array" ref="K264">IFERROR(INDEX('Work Items'!$Q$6:$Q$5000,SMALL(IF('Work Items'!$A$6:$A$5000="CR",ROW('Work Items'!$A$6:$A$5000)-ROW('Work Items'!$A$6)+1),260)),"")</f>
        <v/>
      </c>
      <c r="L264">
        <f t="array" ref="L264">IFERROR(INDEX('Work Items'!$N$6:$N$5000,SMALL(IF('Work Items'!$A$6:$A$5000="CR",ROW('Work Items'!$A$6:$A$5000)-ROW('Work Items'!$A$6)+1),260)),"")</f>
        <v/>
      </c>
      <c r="M264">
        <f t="array" ref="M264">IFERROR(INDEX('Work Items'!$O$6:$O$5000,SMALL(IF('Work Items'!$A$6:$A$5000="CR",ROW('Work Items'!$A$6:$A$5000)-ROW('Work Items'!$A$6)+1),260)),"")</f>
        <v/>
      </c>
    </row>
    <row r="265">
      <c r="A265">
        <f t="array" ref="A265">IFERROR(INDEX('Work Items'!$A$6:$A$5000,SMALL(IF('Work Items'!$A$6:$A$5000="CR",ROW('Work Items'!$A$6:$A$5000)-ROW('Work Items'!$A$6)+1),261)),"")</f>
        <v/>
      </c>
      <c r="B265">
        <f t="array" ref="B265">IFERROR(INDEX('Work Items'!$B$6:$B$5000,SMALL(IF('Work Items'!$A$6:$A$5000="CR",ROW('Work Items'!$A$6:$A$5000)-ROW('Work Items'!$A$6)+1),261)),"")</f>
        <v/>
      </c>
      <c r="C265">
        <f t="array" ref="C265">IFERROR(INDEX('Work Items'!$C$6:$C$5000,SMALL(IF('Work Items'!$A$6:$A$5000="CR",ROW('Work Items'!$A$6:$A$5000)-ROW('Work Items'!$A$6)+1),261)),"")</f>
        <v/>
      </c>
      <c r="D265">
        <f t="array" ref="D265">IFERROR(INDEX('Work Items'!$D$6:$D$5000,SMALL(IF('Work Items'!$A$6:$A$5000="CR",ROW('Work Items'!$A$6:$A$5000)-ROW('Work Items'!$A$6)+1),261)),"")</f>
        <v/>
      </c>
      <c r="E265">
        <f t="array" ref="E265">IFERROR(INDEX('Work Items'!$E$6:$E$5000,SMALL(IF('Work Items'!$A$6:$A$5000="CR",ROW('Work Items'!$A$6:$A$5000)-ROW('Work Items'!$A$6)+1),261)),"")</f>
        <v/>
      </c>
      <c r="F265">
        <f t="array" ref="F265">IFERROR(INDEX('Work Items'!$F$6:$F$5000,SMALL(IF('Work Items'!$A$6:$A$5000="CR",ROW('Work Items'!$A$6:$A$5000)-ROW('Work Items'!$A$6)+1),261)),"")</f>
        <v/>
      </c>
      <c r="G265">
        <f t="array" ref="G265">IFERROR(INDEX('Work Items'!$J$6:$J$5000,SMALL(IF('Work Items'!$A$6:$A$5000="CR",ROW('Work Items'!$A$6:$A$5000)-ROW('Work Items'!$A$6)+1),261)),"")</f>
        <v/>
      </c>
      <c r="H265">
        <f t="array" ref="H265">IFERROR(INDEX('Work Items'!$K$6:$K$5000,SMALL(IF('Work Items'!$A$6:$A$5000="CR",ROW('Work Items'!$A$6:$A$5000)-ROW('Work Items'!$A$6)+1),261)),"")</f>
        <v/>
      </c>
      <c r="I265">
        <f t="array" ref="I265">IFERROR(INDEX('Work Items'!$L$6:$L$5000,SMALL(IF('Work Items'!$A$6:$A$5000="CR",ROW('Work Items'!$A$6:$A$5000)-ROW('Work Items'!$A$6)+1),261)),"")</f>
        <v/>
      </c>
      <c r="J265" s="217">
        <f t="array" ref="J265">IFERROR(INDEX('Work Items'!$M$6:$M$5000,SMALL(IF('Work Items'!$A$6:$A$5000="CR",ROW('Work Items'!$A$6:$A$5000)-ROW('Work Items'!$A$6)+1),261)),"")</f>
        <v/>
      </c>
      <c r="K265" s="217">
        <f t="array" ref="K265">IFERROR(INDEX('Work Items'!$Q$6:$Q$5000,SMALL(IF('Work Items'!$A$6:$A$5000="CR",ROW('Work Items'!$A$6:$A$5000)-ROW('Work Items'!$A$6)+1),261)),"")</f>
        <v/>
      </c>
      <c r="L265">
        <f t="array" ref="L265">IFERROR(INDEX('Work Items'!$N$6:$N$5000,SMALL(IF('Work Items'!$A$6:$A$5000="CR",ROW('Work Items'!$A$6:$A$5000)-ROW('Work Items'!$A$6)+1),261)),"")</f>
        <v/>
      </c>
      <c r="M265">
        <f t="array" ref="M265">IFERROR(INDEX('Work Items'!$O$6:$O$5000,SMALL(IF('Work Items'!$A$6:$A$5000="CR",ROW('Work Items'!$A$6:$A$5000)-ROW('Work Items'!$A$6)+1),261)),"")</f>
        <v/>
      </c>
    </row>
    <row r="266">
      <c r="A266">
        <f t="array" ref="A266">IFERROR(INDEX('Work Items'!$A$6:$A$5000,SMALL(IF('Work Items'!$A$6:$A$5000="CR",ROW('Work Items'!$A$6:$A$5000)-ROW('Work Items'!$A$6)+1),262)),"")</f>
        <v/>
      </c>
      <c r="B266">
        <f t="array" ref="B266">IFERROR(INDEX('Work Items'!$B$6:$B$5000,SMALL(IF('Work Items'!$A$6:$A$5000="CR",ROW('Work Items'!$A$6:$A$5000)-ROW('Work Items'!$A$6)+1),262)),"")</f>
        <v/>
      </c>
      <c r="C266">
        <f t="array" ref="C266">IFERROR(INDEX('Work Items'!$C$6:$C$5000,SMALL(IF('Work Items'!$A$6:$A$5000="CR",ROW('Work Items'!$A$6:$A$5000)-ROW('Work Items'!$A$6)+1),262)),"")</f>
        <v/>
      </c>
      <c r="D266">
        <f t="array" ref="D266">IFERROR(INDEX('Work Items'!$D$6:$D$5000,SMALL(IF('Work Items'!$A$6:$A$5000="CR",ROW('Work Items'!$A$6:$A$5000)-ROW('Work Items'!$A$6)+1),262)),"")</f>
        <v/>
      </c>
      <c r="E266">
        <f t="array" ref="E266">IFERROR(INDEX('Work Items'!$E$6:$E$5000,SMALL(IF('Work Items'!$A$6:$A$5000="CR",ROW('Work Items'!$A$6:$A$5000)-ROW('Work Items'!$A$6)+1),262)),"")</f>
        <v/>
      </c>
      <c r="F266">
        <f t="array" ref="F266">IFERROR(INDEX('Work Items'!$F$6:$F$5000,SMALL(IF('Work Items'!$A$6:$A$5000="CR",ROW('Work Items'!$A$6:$A$5000)-ROW('Work Items'!$A$6)+1),262)),"")</f>
        <v/>
      </c>
      <c r="G266">
        <f t="array" ref="G266">IFERROR(INDEX('Work Items'!$J$6:$J$5000,SMALL(IF('Work Items'!$A$6:$A$5000="CR",ROW('Work Items'!$A$6:$A$5000)-ROW('Work Items'!$A$6)+1),262)),"")</f>
        <v/>
      </c>
      <c r="H266">
        <f t="array" ref="H266">IFERROR(INDEX('Work Items'!$K$6:$K$5000,SMALL(IF('Work Items'!$A$6:$A$5000="CR",ROW('Work Items'!$A$6:$A$5000)-ROW('Work Items'!$A$6)+1),262)),"")</f>
        <v/>
      </c>
      <c r="I266">
        <f t="array" ref="I266">IFERROR(INDEX('Work Items'!$L$6:$L$5000,SMALL(IF('Work Items'!$A$6:$A$5000="CR",ROW('Work Items'!$A$6:$A$5000)-ROW('Work Items'!$A$6)+1),262)),"")</f>
        <v/>
      </c>
      <c r="J266" s="217">
        <f t="array" ref="J266">IFERROR(INDEX('Work Items'!$M$6:$M$5000,SMALL(IF('Work Items'!$A$6:$A$5000="CR",ROW('Work Items'!$A$6:$A$5000)-ROW('Work Items'!$A$6)+1),262)),"")</f>
        <v/>
      </c>
      <c r="K266" s="217">
        <f t="array" ref="K266">IFERROR(INDEX('Work Items'!$Q$6:$Q$5000,SMALL(IF('Work Items'!$A$6:$A$5000="CR",ROW('Work Items'!$A$6:$A$5000)-ROW('Work Items'!$A$6)+1),262)),"")</f>
        <v/>
      </c>
      <c r="L266">
        <f t="array" ref="L266">IFERROR(INDEX('Work Items'!$N$6:$N$5000,SMALL(IF('Work Items'!$A$6:$A$5000="CR",ROW('Work Items'!$A$6:$A$5000)-ROW('Work Items'!$A$6)+1),262)),"")</f>
        <v/>
      </c>
      <c r="M266">
        <f t="array" ref="M266">IFERROR(INDEX('Work Items'!$O$6:$O$5000,SMALL(IF('Work Items'!$A$6:$A$5000="CR",ROW('Work Items'!$A$6:$A$5000)-ROW('Work Items'!$A$6)+1),262)),"")</f>
        <v/>
      </c>
    </row>
    <row r="267">
      <c r="A267">
        <f t="array" ref="A267">IFERROR(INDEX('Work Items'!$A$6:$A$5000,SMALL(IF('Work Items'!$A$6:$A$5000="CR",ROW('Work Items'!$A$6:$A$5000)-ROW('Work Items'!$A$6)+1),263)),"")</f>
        <v/>
      </c>
      <c r="B267">
        <f t="array" ref="B267">IFERROR(INDEX('Work Items'!$B$6:$B$5000,SMALL(IF('Work Items'!$A$6:$A$5000="CR",ROW('Work Items'!$A$6:$A$5000)-ROW('Work Items'!$A$6)+1),263)),"")</f>
        <v/>
      </c>
      <c r="C267">
        <f t="array" ref="C267">IFERROR(INDEX('Work Items'!$C$6:$C$5000,SMALL(IF('Work Items'!$A$6:$A$5000="CR",ROW('Work Items'!$A$6:$A$5000)-ROW('Work Items'!$A$6)+1),263)),"")</f>
        <v/>
      </c>
      <c r="D267">
        <f t="array" ref="D267">IFERROR(INDEX('Work Items'!$D$6:$D$5000,SMALL(IF('Work Items'!$A$6:$A$5000="CR",ROW('Work Items'!$A$6:$A$5000)-ROW('Work Items'!$A$6)+1),263)),"")</f>
        <v/>
      </c>
      <c r="E267">
        <f t="array" ref="E267">IFERROR(INDEX('Work Items'!$E$6:$E$5000,SMALL(IF('Work Items'!$A$6:$A$5000="CR",ROW('Work Items'!$A$6:$A$5000)-ROW('Work Items'!$A$6)+1),263)),"")</f>
        <v/>
      </c>
      <c r="F267">
        <f t="array" ref="F267">IFERROR(INDEX('Work Items'!$F$6:$F$5000,SMALL(IF('Work Items'!$A$6:$A$5000="CR",ROW('Work Items'!$A$6:$A$5000)-ROW('Work Items'!$A$6)+1),263)),"")</f>
        <v/>
      </c>
      <c r="G267">
        <f t="array" ref="G267">IFERROR(INDEX('Work Items'!$J$6:$J$5000,SMALL(IF('Work Items'!$A$6:$A$5000="CR",ROW('Work Items'!$A$6:$A$5000)-ROW('Work Items'!$A$6)+1),263)),"")</f>
        <v/>
      </c>
      <c r="H267">
        <f t="array" ref="H267">IFERROR(INDEX('Work Items'!$K$6:$K$5000,SMALL(IF('Work Items'!$A$6:$A$5000="CR",ROW('Work Items'!$A$6:$A$5000)-ROW('Work Items'!$A$6)+1),263)),"")</f>
        <v/>
      </c>
      <c r="I267">
        <f t="array" ref="I267">IFERROR(INDEX('Work Items'!$L$6:$L$5000,SMALL(IF('Work Items'!$A$6:$A$5000="CR",ROW('Work Items'!$A$6:$A$5000)-ROW('Work Items'!$A$6)+1),263)),"")</f>
        <v/>
      </c>
      <c r="J267" s="217">
        <f t="array" ref="J267">IFERROR(INDEX('Work Items'!$M$6:$M$5000,SMALL(IF('Work Items'!$A$6:$A$5000="CR",ROW('Work Items'!$A$6:$A$5000)-ROW('Work Items'!$A$6)+1),263)),"")</f>
        <v/>
      </c>
      <c r="K267" s="217">
        <f t="array" ref="K267">IFERROR(INDEX('Work Items'!$Q$6:$Q$5000,SMALL(IF('Work Items'!$A$6:$A$5000="CR",ROW('Work Items'!$A$6:$A$5000)-ROW('Work Items'!$A$6)+1),263)),"")</f>
        <v/>
      </c>
      <c r="L267">
        <f t="array" ref="L267">IFERROR(INDEX('Work Items'!$N$6:$N$5000,SMALL(IF('Work Items'!$A$6:$A$5000="CR",ROW('Work Items'!$A$6:$A$5000)-ROW('Work Items'!$A$6)+1),263)),"")</f>
        <v/>
      </c>
      <c r="M267">
        <f t="array" ref="M267">IFERROR(INDEX('Work Items'!$O$6:$O$5000,SMALL(IF('Work Items'!$A$6:$A$5000="CR",ROW('Work Items'!$A$6:$A$5000)-ROW('Work Items'!$A$6)+1),263)),"")</f>
        <v/>
      </c>
    </row>
    <row r="268">
      <c r="A268">
        <f t="array" ref="A268">IFERROR(INDEX('Work Items'!$A$6:$A$5000,SMALL(IF('Work Items'!$A$6:$A$5000="CR",ROW('Work Items'!$A$6:$A$5000)-ROW('Work Items'!$A$6)+1),264)),"")</f>
        <v/>
      </c>
      <c r="B268">
        <f t="array" ref="B268">IFERROR(INDEX('Work Items'!$B$6:$B$5000,SMALL(IF('Work Items'!$A$6:$A$5000="CR",ROW('Work Items'!$A$6:$A$5000)-ROW('Work Items'!$A$6)+1),264)),"")</f>
        <v/>
      </c>
      <c r="C268">
        <f t="array" ref="C268">IFERROR(INDEX('Work Items'!$C$6:$C$5000,SMALL(IF('Work Items'!$A$6:$A$5000="CR",ROW('Work Items'!$A$6:$A$5000)-ROW('Work Items'!$A$6)+1),264)),"")</f>
        <v/>
      </c>
      <c r="D268">
        <f t="array" ref="D268">IFERROR(INDEX('Work Items'!$D$6:$D$5000,SMALL(IF('Work Items'!$A$6:$A$5000="CR",ROW('Work Items'!$A$6:$A$5000)-ROW('Work Items'!$A$6)+1),264)),"")</f>
        <v/>
      </c>
      <c r="E268">
        <f t="array" ref="E268">IFERROR(INDEX('Work Items'!$E$6:$E$5000,SMALL(IF('Work Items'!$A$6:$A$5000="CR",ROW('Work Items'!$A$6:$A$5000)-ROW('Work Items'!$A$6)+1),264)),"")</f>
        <v/>
      </c>
      <c r="F268">
        <f t="array" ref="F268">IFERROR(INDEX('Work Items'!$F$6:$F$5000,SMALL(IF('Work Items'!$A$6:$A$5000="CR",ROW('Work Items'!$A$6:$A$5000)-ROW('Work Items'!$A$6)+1),264)),"")</f>
        <v/>
      </c>
      <c r="G268">
        <f t="array" ref="G268">IFERROR(INDEX('Work Items'!$J$6:$J$5000,SMALL(IF('Work Items'!$A$6:$A$5000="CR",ROW('Work Items'!$A$6:$A$5000)-ROW('Work Items'!$A$6)+1),264)),"")</f>
        <v/>
      </c>
      <c r="H268">
        <f t="array" ref="H268">IFERROR(INDEX('Work Items'!$K$6:$K$5000,SMALL(IF('Work Items'!$A$6:$A$5000="CR",ROW('Work Items'!$A$6:$A$5000)-ROW('Work Items'!$A$6)+1),264)),"")</f>
        <v/>
      </c>
      <c r="I268">
        <f t="array" ref="I268">IFERROR(INDEX('Work Items'!$L$6:$L$5000,SMALL(IF('Work Items'!$A$6:$A$5000="CR",ROW('Work Items'!$A$6:$A$5000)-ROW('Work Items'!$A$6)+1),264)),"")</f>
        <v/>
      </c>
      <c r="J268" s="217">
        <f t="array" ref="J268">IFERROR(INDEX('Work Items'!$M$6:$M$5000,SMALL(IF('Work Items'!$A$6:$A$5000="CR",ROW('Work Items'!$A$6:$A$5000)-ROW('Work Items'!$A$6)+1),264)),"")</f>
        <v/>
      </c>
      <c r="K268" s="217">
        <f t="array" ref="K268">IFERROR(INDEX('Work Items'!$Q$6:$Q$5000,SMALL(IF('Work Items'!$A$6:$A$5000="CR",ROW('Work Items'!$A$6:$A$5000)-ROW('Work Items'!$A$6)+1),264)),"")</f>
        <v/>
      </c>
      <c r="L268">
        <f t="array" ref="L268">IFERROR(INDEX('Work Items'!$N$6:$N$5000,SMALL(IF('Work Items'!$A$6:$A$5000="CR",ROW('Work Items'!$A$6:$A$5000)-ROW('Work Items'!$A$6)+1),264)),"")</f>
        <v/>
      </c>
      <c r="M268">
        <f t="array" ref="M268">IFERROR(INDEX('Work Items'!$O$6:$O$5000,SMALL(IF('Work Items'!$A$6:$A$5000="CR",ROW('Work Items'!$A$6:$A$5000)-ROW('Work Items'!$A$6)+1),264)),"")</f>
        <v/>
      </c>
    </row>
    <row r="269">
      <c r="A269">
        <f t="array" ref="A269">IFERROR(INDEX('Work Items'!$A$6:$A$5000,SMALL(IF('Work Items'!$A$6:$A$5000="CR",ROW('Work Items'!$A$6:$A$5000)-ROW('Work Items'!$A$6)+1),265)),"")</f>
        <v/>
      </c>
      <c r="B269">
        <f t="array" ref="B269">IFERROR(INDEX('Work Items'!$B$6:$B$5000,SMALL(IF('Work Items'!$A$6:$A$5000="CR",ROW('Work Items'!$A$6:$A$5000)-ROW('Work Items'!$A$6)+1),265)),"")</f>
        <v/>
      </c>
      <c r="C269">
        <f t="array" ref="C269">IFERROR(INDEX('Work Items'!$C$6:$C$5000,SMALL(IF('Work Items'!$A$6:$A$5000="CR",ROW('Work Items'!$A$6:$A$5000)-ROW('Work Items'!$A$6)+1),265)),"")</f>
        <v/>
      </c>
      <c r="D269">
        <f t="array" ref="D269">IFERROR(INDEX('Work Items'!$D$6:$D$5000,SMALL(IF('Work Items'!$A$6:$A$5000="CR",ROW('Work Items'!$A$6:$A$5000)-ROW('Work Items'!$A$6)+1),265)),"")</f>
        <v/>
      </c>
      <c r="E269">
        <f t="array" ref="E269">IFERROR(INDEX('Work Items'!$E$6:$E$5000,SMALL(IF('Work Items'!$A$6:$A$5000="CR",ROW('Work Items'!$A$6:$A$5000)-ROW('Work Items'!$A$6)+1),265)),"")</f>
        <v/>
      </c>
      <c r="F269">
        <f t="array" ref="F269">IFERROR(INDEX('Work Items'!$F$6:$F$5000,SMALL(IF('Work Items'!$A$6:$A$5000="CR",ROW('Work Items'!$A$6:$A$5000)-ROW('Work Items'!$A$6)+1),265)),"")</f>
        <v/>
      </c>
      <c r="G269">
        <f t="array" ref="G269">IFERROR(INDEX('Work Items'!$J$6:$J$5000,SMALL(IF('Work Items'!$A$6:$A$5000="CR",ROW('Work Items'!$A$6:$A$5000)-ROW('Work Items'!$A$6)+1),265)),"")</f>
        <v/>
      </c>
      <c r="H269">
        <f t="array" ref="H269">IFERROR(INDEX('Work Items'!$K$6:$K$5000,SMALL(IF('Work Items'!$A$6:$A$5000="CR",ROW('Work Items'!$A$6:$A$5000)-ROW('Work Items'!$A$6)+1),265)),"")</f>
        <v/>
      </c>
      <c r="I269">
        <f t="array" ref="I269">IFERROR(INDEX('Work Items'!$L$6:$L$5000,SMALL(IF('Work Items'!$A$6:$A$5000="CR",ROW('Work Items'!$A$6:$A$5000)-ROW('Work Items'!$A$6)+1),265)),"")</f>
        <v/>
      </c>
      <c r="J269" s="217">
        <f t="array" ref="J269">IFERROR(INDEX('Work Items'!$M$6:$M$5000,SMALL(IF('Work Items'!$A$6:$A$5000="CR",ROW('Work Items'!$A$6:$A$5000)-ROW('Work Items'!$A$6)+1),265)),"")</f>
        <v/>
      </c>
      <c r="K269" s="217">
        <f t="array" ref="K269">IFERROR(INDEX('Work Items'!$Q$6:$Q$5000,SMALL(IF('Work Items'!$A$6:$A$5000="CR",ROW('Work Items'!$A$6:$A$5000)-ROW('Work Items'!$A$6)+1),265)),"")</f>
        <v/>
      </c>
      <c r="L269">
        <f t="array" ref="L269">IFERROR(INDEX('Work Items'!$N$6:$N$5000,SMALL(IF('Work Items'!$A$6:$A$5000="CR",ROW('Work Items'!$A$6:$A$5000)-ROW('Work Items'!$A$6)+1),265)),"")</f>
        <v/>
      </c>
      <c r="M269">
        <f t="array" ref="M269">IFERROR(INDEX('Work Items'!$O$6:$O$5000,SMALL(IF('Work Items'!$A$6:$A$5000="CR",ROW('Work Items'!$A$6:$A$5000)-ROW('Work Items'!$A$6)+1),265)),"")</f>
        <v/>
      </c>
    </row>
    <row r="270">
      <c r="A270">
        <f t="array" ref="A270">IFERROR(INDEX('Work Items'!$A$6:$A$5000,SMALL(IF('Work Items'!$A$6:$A$5000="CR",ROW('Work Items'!$A$6:$A$5000)-ROW('Work Items'!$A$6)+1),266)),"")</f>
        <v/>
      </c>
      <c r="B270">
        <f t="array" ref="B270">IFERROR(INDEX('Work Items'!$B$6:$B$5000,SMALL(IF('Work Items'!$A$6:$A$5000="CR",ROW('Work Items'!$A$6:$A$5000)-ROW('Work Items'!$A$6)+1),266)),"")</f>
        <v/>
      </c>
      <c r="C270">
        <f t="array" ref="C270">IFERROR(INDEX('Work Items'!$C$6:$C$5000,SMALL(IF('Work Items'!$A$6:$A$5000="CR",ROW('Work Items'!$A$6:$A$5000)-ROW('Work Items'!$A$6)+1),266)),"")</f>
        <v/>
      </c>
      <c r="D270">
        <f t="array" ref="D270">IFERROR(INDEX('Work Items'!$D$6:$D$5000,SMALL(IF('Work Items'!$A$6:$A$5000="CR",ROW('Work Items'!$A$6:$A$5000)-ROW('Work Items'!$A$6)+1),266)),"")</f>
        <v/>
      </c>
      <c r="E270">
        <f t="array" ref="E270">IFERROR(INDEX('Work Items'!$E$6:$E$5000,SMALL(IF('Work Items'!$A$6:$A$5000="CR",ROW('Work Items'!$A$6:$A$5000)-ROW('Work Items'!$A$6)+1),266)),"")</f>
        <v/>
      </c>
      <c r="F270">
        <f t="array" ref="F270">IFERROR(INDEX('Work Items'!$F$6:$F$5000,SMALL(IF('Work Items'!$A$6:$A$5000="CR",ROW('Work Items'!$A$6:$A$5000)-ROW('Work Items'!$A$6)+1),266)),"")</f>
        <v/>
      </c>
      <c r="G270">
        <f t="array" ref="G270">IFERROR(INDEX('Work Items'!$J$6:$J$5000,SMALL(IF('Work Items'!$A$6:$A$5000="CR",ROW('Work Items'!$A$6:$A$5000)-ROW('Work Items'!$A$6)+1),266)),"")</f>
        <v/>
      </c>
      <c r="H270">
        <f t="array" ref="H270">IFERROR(INDEX('Work Items'!$K$6:$K$5000,SMALL(IF('Work Items'!$A$6:$A$5000="CR",ROW('Work Items'!$A$6:$A$5000)-ROW('Work Items'!$A$6)+1),266)),"")</f>
        <v/>
      </c>
      <c r="I270">
        <f t="array" ref="I270">IFERROR(INDEX('Work Items'!$L$6:$L$5000,SMALL(IF('Work Items'!$A$6:$A$5000="CR",ROW('Work Items'!$A$6:$A$5000)-ROW('Work Items'!$A$6)+1),266)),"")</f>
        <v/>
      </c>
      <c r="J270" s="217">
        <f t="array" ref="J270">IFERROR(INDEX('Work Items'!$M$6:$M$5000,SMALL(IF('Work Items'!$A$6:$A$5000="CR",ROW('Work Items'!$A$6:$A$5000)-ROW('Work Items'!$A$6)+1),266)),"")</f>
        <v/>
      </c>
      <c r="K270" s="217">
        <f t="array" ref="K270">IFERROR(INDEX('Work Items'!$Q$6:$Q$5000,SMALL(IF('Work Items'!$A$6:$A$5000="CR",ROW('Work Items'!$A$6:$A$5000)-ROW('Work Items'!$A$6)+1),266)),"")</f>
        <v/>
      </c>
      <c r="L270">
        <f t="array" ref="L270">IFERROR(INDEX('Work Items'!$N$6:$N$5000,SMALL(IF('Work Items'!$A$6:$A$5000="CR",ROW('Work Items'!$A$6:$A$5000)-ROW('Work Items'!$A$6)+1),266)),"")</f>
        <v/>
      </c>
      <c r="M270">
        <f t="array" ref="M270">IFERROR(INDEX('Work Items'!$O$6:$O$5000,SMALL(IF('Work Items'!$A$6:$A$5000="CR",ROW('Work Items'!$A$6:$A$5000)-ROW('Work Items'!$A$6)+1),266)),"")</f>
        <v/>
      </c>
    </row>
    <row r="271">
      <c r="A271">
        <f t="array" ref="A271">IFERROR(INDEX('Work Items'!$A$6:$A$5000,SMALL(IF('Work Items'!$A$6:$A$5000="CR",ROW('Work Items'!$A$6:$A$5000)-ROW('Work Items'!$A$6)+1),267)),"")</f>
        <v/>
      </c>
      <c r="B271">
        <f t="array" ref="B271">IFERROR(INDEX('Work Items'!$B$6:$B$5000,SMALL(IF('Work Items'!$A$6:$A$5000="CR",ROW('Work Items'!$A$6:$A$5000)-ROW('Work Items'!$A$6)+1),267)),"")</f>
        <v/>
      </c>
      <c r="C271">
        <f t="array" ref="C271">IFERROR(INDEX('Work Items'!$C$6:$C$5000,SMALL(IF('Work Items'!$A$6:$A$5000="CR",ROW('Work Items'!$A$6:$A$5000)-ROW('Work Items'!$A$6)+1),267)),"")</f>
        <v/>
      </c>
      <c r="D271">
        <f t="array" ref="D271">IFERROR(INDEX('Work Items'!$D$6:$D$5000,SMALL(IF('Work Items'!$A$6:$A$5000="CR",ROW('Work Items'!$A$6:$A$5000)-ROW('Work Items'!$A$6)+1),267)),"")</f>
        <v/>
      </c>
      <c r="E271">
        <f t="array" ref="E271">IFERROR(INDEX('Work Items'!$E$6:$E$5000,SMALL(IF('Work Items'!$A$6:$A$5000="CR",ROW('Work Items'!$A$6:$A$5000)-ROW('Work Items'!$A$6)+1),267)),"")</f>
        <v/>
      </c>
      <c r="F271">
        <f t="array" ref="F271">IFERROR(INDEX('Work Items'!$F$6:$F$5000,SMALL(IF('Work Items'!$A$6:$A$5000="CR",ROW('Work Items'!$A$6:$A$5000)-ROW('Work Items'!$A$6)+1),267)),"")</f>
        <v/>
      </c>
      <c r="G271">
        <f t="array" ref="G271">IFERROR(INDEX('Work Items'!$J$6:$J$5000,SMALL(IF('Work Items'!$A$6:$A$5000="CR",ROW('Work Items'!$A$6:$A$5000)-ROW('Work Items'!$A$6)+1),267)),"")</f>
        <v/>
      </c>
      <c r="H271">
        <f t="array" ref="H271">IFERROR(INDEX('Work Items'!$K$6:$K$5000,SMALL(IF('Work Items'!$A$6:$A$5000="CR",ROW('Work Items'!$A$6:$A$5000)-ROW('Work Items'!$A$6)+1),267)),"")</f>
        <v/>
      </c>
      <c r="I271">
        <f t="array" ref="I271">IFERROR(INDEX('Work Items'!$L$6:$L$5000,SMALL(IF('Work Items'!$A$6:$A$5000="CR",ROW('Work Items'!$A$6:$A$5000)-ROW('Work Items'!$A$6)+1),267)),"")</f>
        <v/>
      </c>
      <c r="J271" s="217">
        <f t="array" ref="J271">IFERROR(INDEX('Work Items'!$M$6:$M$5000,SMALL(IF('Work Items'!$A$6:$A$5000="CR",ROW('Work Items'!$A$6:$A$5000)-ROW('Work Items'!$A$6)+1),267)),"")</f>
        <v/>
      </c>
      <c r="K271" s="217">
        <f t="array" ref="K271">IFERROR(INDEX('Work Items'!$Q$6:$Q$5000,SMALL(IF('Work Items'!$A$6:$A$5000="CR",ROW('Work Items'!$A$6:$A$5000)-ROW('Work Items'!$A$6)+1),267)),"")</f>
        <v/>
      </c>
      <c r="L271">
        <f t="array" ref="L271">IFERROR(INDEX('Work Items'!$N$6:$N$5000,SMALL(IF('Work Items'!$A$6:$A$5000="CR",ROW('Work Items'!$A$6:$A$5000)-ROW('Work Items'!$A$6)+1),267)),"")</f>
        <v/>
      </c>
      <c r="M271">
        <f t="array" ref="M271">IFERROR(INDEX('Work Items'!$O$6:$O$5000,SMALL(IF('Work Items'!$A$6:$A$5000="CR",ROW('Work Items'!$A$6:$A$5000)-ROW('Work Items'!$A$6)+1),267)),"")</f>
        <v/>
      </c>
    </row>
    <row r="272">
      <c r="A272">
        <f t="array" ref="A272">IFERROR(INDEX('Work Items'!$A$6:$A$5000,SMALL(IF('Work Items'!$A$6:$A$5000="CR",ROW('Work Items'!$A$6:$A$5000)-ROW('Work Items'!$A$6)+1),268)),"")</f>
        <v/>
      </c>
      <c r="B272">
        <f t="array" ref="B272">IFERROR(INDEX('Work Items'!$B$6:$B$5000,SMALL(IF('Work Items'!$A$6:$A$5000="CR",ROW('Work Items'!$A$6:$A$5000)-ROW('Work Items'!$A$6)+1),268)),"")</f>
        <v/>
      </c>
      <c r="C272">
        <f t="array" ref="C272">IFERROR(INDEX('Work Items'!$C$6:$C$5000,SMALL(IF('Work Items'!$A$6:$A$5000="CR",ROW('Work Items'!$A$6:$A$5000)-ROW('Work Items'!$A$6)+1),268)),"")</f>
        <v/>
      </c>
      <c r="D272">
        <f t="array" ref="D272">IFERROR(INDEX('Work Items'!$D$6:$D$5000,SMALL(IF('Work Items'!$A$6:$A$5000="CR",ROW('Work Items'!$A$6:$A$5000)-ROW('Work Items'!$A$6)+1),268)),"")</f>
        <v/>
      </c>
      <c r="E272">
        <f t="array" ref="E272">IFERROR(INDEX('Work Items'!$E$6:$E$5000,SMALL(IF('Work Items'!$A$6:$A$5000="CR",ROW('Work Items'!$A$6:$A$5000)-ROW('Work Items'!$A$6)+1),268)),"")</f>
        <v/>
      </c>
      <c r="F272">
        <f t="array" ref="F272">IFERROR(INDEX('Work Items'!$F$6:$F$5000,SMALL(IF('Work Items'!$A$6:$A$5000="CR",ROW('Work Items'!$A$6:$A$5000)-ROW('Work Items'!$A$6)+1),268)),"")</f>
        <v/>
      </c>
      <c r="G272">
        <f t="array" ref="G272">IFERROR(INDEX('Work Items'!$J$6:$J$5000,SMALL(IF('Work Items'!$A$6:$A$5000="CR",ROW('Work Items'!$A$6:$A$5000)-ROW('Work Items'!$A$6)+1),268)),"")</f>
        <v/>
      </c>
      <c r="H272">
        <f t="array" ref="H272">IFERROR(INDEX('Work Items'!$K$6:$K$5000,SMALL(IF('Work Items'!$A$6:$A$5000="CR",ROW('Work Items'!$A$6:$A$5000)-ROW('Work Items'!$A$6)+1),268)),"")</f>
        <v/>
      </c>
      <c r="I272">
        <f t="array" ref="I272">IFERROR(INDEX('Work Items'!$L$6:$L$5000,SMALL(IF('Work Items'!$A$6:$A$5000="CR",ROW('Work Items'!$A$6:$A$5000)-ROW('Work Items'!$A$6)+1),268)),"")</f>
        <v/>
      </c>
      <c r="J272" s="217">
        <f t="array" ref="J272">IFERROR(INDEX('Work Items'!$M$6:$M$5000,SMALL(IF('Work Items'!$A$6:$A$5000="CR",ROW('Work Items'!$A$6:$A$5000)-ROW('Work Items'!$A$6)+1),268)),"")</f>
        <v/>
      </c>
      <c r="K272" s="217">
        <f t="array" ref="K272">IFERROR(INDEX('Work Items'!$Q$6:$Q$5000,SMALL(IF('Work Items'!$A$6:$A$5000="CR",ROW('Work Items'!$A$6:$A$5000)-ROW('Work Items'!$A$6)+1),268)),"")</f>
        <v/>
      </c>
      <c r="L272">
        <f t="array" ref="L272">IFERROR(INDEX('Work Items'!$N$6:$N$5000,SMALL(IF('Work Items'!$A$6:$A$5000="CR",ROW('Work Items'!$A$6:$A$5000)-ROW('Work Items'!$A$6)+1),268)),"")</f>
        <v/>
      </c>
      <c r="M272">
        <f t="array" ref="M272">IFERROR(INDEX('Work Items'!$O$6:$O$5000,SMALL(IF('Work Items'!$A$6:$A$5000="CR",ROW('Work Items'!$A$6:$A$5000)-ROW('Work Items'!$A$6)+1),268)),"")</f>
        <v/>
      </c>
    </row>
    <row r="273">
      <c r="A273">
        <f t="array" ref="A273">IFERROR(INDEX('Work Items'!$A$6:$A$5000,SMALL(IF('Work Items'!$A$6:$A$5000="CR",ROW('Work Items'!$A$6:$A$5000)-ROW('Work Items'!$A$6)+1),269)),"")</f>
        <v/>
      </c>
      <c r="B273">
        <f t="array" ref="B273">IFERROR(INDEX('Work Items'!$B$6:$B$5000,SMALL(IF('Work Items'!$A$6:$A$5000="CR",ROW('Work Items'!$A$6:$A$5000)-ROW('Work Items'!$A$6)+1),269)),"")</f>
        <v/>
      </c>
      <c r="C273">
        <f t="array" ref="C273">IFERROR(INDEX('Work Items'!$C$6:$C$5000,SMALL(IF('Work Items'!$A$6:$A$5000="CR",ROW('Work Items'!$A$6:$A$5000)-ROW('Work Items'!$A$6)+1),269)),"")</f>
        <v/>
      </c>
      <c r="D273">
        <f t="array" ref="D273">IFERROR(INDEX('Work Items'!$D$6:$D$5000,SMALL(IF('Work Items'!$A$6:$A$5000="CR",ROW('Work Items'!$A$6:$A$5000)-ROW('Work Items'!$A$6)+1),269)),"")</f>
        <v/>
      </c>
      <c r="E273">
        <f t="array" ref="E273">IFERROR(INDEX('Work Items'!$E$6:$E$5000,SMALL(IF('Work Items'!$A$6:$A$5000="CR",ROW('Work Items'!$A$6:$A$5000)-ROW('Work Items'!$A$6)+1),269)),"")</f>
        <v/>
      </c>
      <c r="F273">
        <f t="array" ref="F273">IFERROR(INDEX('Work Items'!$F$6:$F$5000,SMALL(IF('Work Items'!$A$6:$A$5000="CR",ROW('Work Items'!$A$6:$A$5000)-ROW('Work Items'!$A$6)+1),269)),"")</f>
        <v/>
      </c>
      <c r="G273">
        <f t="array" ref="G273">IFERROR(INDEX('Work Items'!$J$6:$J$5000,SMALL(IF('Work Items'!$A$6:$A$5000="CR",ROW('Work Items'!$A$6:$A$5000)-ROW('Work Items'!$A$6)+1),269)),"")</f>
        <v/>
      </c>
      <c r="H273">
        <f t="array" ref="H273">IFERROR(INDEX('Work Items'!$K$6:$K$5000,SMALL(IF('Work Items'!$A$6:$A$5000="CR",ROW('Work Items'!$A$6:$A$5000)-ROW('Work Items'!$A$6)+1),269)),"")</f>
        <v/>
      </c>
      <c r="I273">
        <f t="array" ref="I273">IFERROR(INDEX('Work Items'!$L$6:$L$5000,SMALL(IF('Work Items'!$A$6:$A$5000="CR",ROW('Work Items'!$A$6:$A$5000)-ROW('Work Items'!$A$6)+1),269)),"")</f>
        <v/>
      </c>
      <c r="J273" s="217">
        <f t="array" ref="J273">IFERROR(INDEX('Work Items'!$M$6:$M$5000,SMALL(IF('Work Items'!$A$6:$A$5000="CR",ROW('Work Items'!$A$6:$A$5000)-ROW('Work Items'!$A$6)+1),269)),"")</f>
        <v/>
      </c>
      <c r="K273" s="217">
        <f t="array" ref="K273">IFERROR(INDEX('Work Items'!$Q$6:$Q$5000,SMALL(IF('Work Items'!$A$6:$A$5000="CR",ROW('Work Items'!$A$6:$A$5000)-ROW('Work Items'!$A$6)+1),269)),"")</f>
        <v/>
      </c>
      <c r="L273">
        <f t="array" ref="L273">IFERROR(INDEX('Work Items'!$N$6:$N$5000,SMALL(IF('Work Items'!$A$6:$A$5000="CR",ROW('Work Items'!$A$6:$A$5000)-ROW('Work Items'!$A$6)+1),269)),"")</f>
        <v/>
      </c>
      <c r="M273">
        <f t="array" ref="M273">IFERROR(INDEX('Work Items'!$O$6:$O$5000,SMALL(IF('Work Items'!$A$6:$A$5000="CR",ROW('Work Items'!$A$6:$A$5000)-ROW('Work Items'!$A$6)+1),269)),"")</f>
        <v/>
      </c>
    </row>
    <row r="274">
      <c r="A274">
        <f t="array" ref="A274">IFERROR(INDEX('Work Items'!$A$6:$A$5000,SMALL(IF('Work Items'!$A$6:$A$5000="CR",ROW('Work Items'!$A$6:$A$5000)-ROW('Work Items'!$A$6)+1),270)),"")</f>
        <v/>
      </c>
      <c r="B274">
        <f t="array" ref="B274">IFERROR(INDEX('Work Items'!$B$6:$B$5000,SMALL(IF('Work Items'!$A$6:$A$5000="CR",ROW('Work Items'!$A$6:$A$5000)-ROW('Work Items'!$A$6)+1),270)),"")</f>
        <v/>
      </c>
      <c r="C274">
        <f t="array" ref="C274">IFERROR(INDEX('Work Items'!$C$6:$C$5000,SMALL(IF('Work Items'!$A$6:$A$5000="CR",ROW('Work Items'!$A$6:$A$5000)-ROW('Work Items'!$A$6)+1),270)),"")</f>
        <v/>
      </c>
      <c r="D274">
        <f t="array" ref="D274">IFERROR(INDEX('Work Items'!$D$6:$D$5000,SMALL(IF('Work Items'!$A$6:$A$5000="CR",ROW('Work Items'!$A$6:$A$5000)-ROW('Work Items'!$A$6)+1),270)),"")</f>
        <v/>
      </c>
      <c r="E274">
        <f t="array" ref="E274">IFERROR(INDEX('Work Items'!$E$6:$E$5000,SMALL(IF('Work Items'!$A$6:$A$5000="CR",ROW('Work Items'!$A$6:$A$5000)-ROW('Work Items'!$A$6)+1),270)),"")</f>
        <v/>
      </c>
      <c r="F274">
        <f t="array" ref="F274">IFERROR(INDEX('Work Items'!$F$6:$F$5000,SMALL(IF('Work Items'!$A$6:$A$5000="CR",ROW('Work Items'!$A$6:$A$5000)-ROW('Work Items'!$A$6)+1),270)),"")</f>
        <v/>
      </c>
      <c r="G274">
        <f t="array" ref="G274">IFERROR(INDEX('Work Items'!$J$6:$J$5000,SMALL(IF('Work Items'!$A$6:$A$5000="CR",ROW('Work Items'!$A$6:$A$5000)-ROW('Work Items'!$A$6)+1),270)),"")</f>
        <v/>
      </c>
      <c r="H274">
        <f t="array" ref="H274">IFERROR(INDEX('Work Items'!$K$6:$K$5000,SMALL(IF('Work Items'!$A$6:$A$5000="CR",ROW('Work Items'!$A$6:$A$5000)-ROW('Work Items'!$A$6)+1),270)),"")</f>
        <v/>
      </c>
      <c r="I274">
        <f t="array" ref="I274">IFERROR(INDEX('Work Items'!$L$6:$L$5000,SMALL(IF('Work Items'!$A$6:$A$5000="CR",ROW('Work Items'!$A$6:$A$5000)-ROW('Work Items'!$A$6)+1),270)),"")</f>
        <v/>
      </c>
      <c r="J274" s="217">
        <f t="array" ref="J274">IFERROR(INDEX('Work Items'!$M$6:$M$5000,SMALL(IF('Work Items'!$A$6:$A$5000="CR",ROW('Work Items'!$A$6:$A$5000)-ROW('Work Items'!$A$6)+1),270)),"")</f>
        <v/>
      </c>
      <c r="K274" s="217">
        <f t="array" ref="K274">IFERROR(INDEX('Work Items'!$Q$6:$Q$5000,SMALL(IF('Work Items'!$A$6:$A$5000="CR",ROW('Work Items'!$A$6:$A$5000)-ROW('Work Items'!$A$6)+1),270)),"")</f>
        <v/>
      </c>
      <c r="L274">
        <f t="array" ref="L274">IFERROR(INDEX('Work Items'!$N$6:$N$5000,SMALL(IF('Work Items'!$A$6:$A$5000="CR",ROW('Work Items'!$A$6:$A$5000)-ROW('Work Items'!$A$6)+1),270)),"")</f>
        <v/>
      </c>
      <c r="M274">
        <f t="array" ref="M274">IFERROR(INDEX('Work Items'!$O$6:$O$5000,SMALL(IF('Work Items'!$A$6:$A$5000="CR",ROW('Work Items'!$A$6:$A$5000)-ROW('Work Items'!$A$6)+1),270)),"")</f>
        <v/>
      </c>
    </row>
    <row r="275">
      <c r="A275">
        <f t="array" ref="A275">IFERROR(INDEX('Work Items'!$A$6:$A$5000,SMALL(IF('Work Items'!$A$6:$A$5000="CR",ROW('Work Items'!$A$6:$A$5000)-ROW('Work Items'!$A$6)+1),271)),"")</f>
        <v/>
      </c>
      <c r="B275">
        <f t="array" ref="B275">IFERROR(INDEX('Work Items'!$B$6:$B$5000,SMALL(IF('Work Items'!$A$6:$A$5000="CR",ROW('Work Items'!$A$6:$A$5000)-ROW('Work Items'!$A$6)+1),271)),"")</f>
        <v/>
      </c>
      <c r="C275">
        <f t="array" ref="C275">IFERROR(INDEX('Work Items'!$C$6:$C$5000,SMALL(IF('Work Items'!$A$6:$A$5000="CR",ROW('Work Items'!$A$6:$A$5000)-ROW('Work Items'!$A$6)+1),271)),"")</f>
        <v/>
      </c>
      <c r="D275">
        <f t="array" ref="D275">IFERROR(INDEX('Work Items'!$D$6:$D$5000,SMALL(IF('Work Items'!$A$6:$A$5000="CR",ROW('Work Items'!$A$6:$A$5000)-ROW('Work Items'!$A$6)+1),271)),"")</f>
        <v/>
      </c>
      <c r="E275">
        <f t="array" ref="E275">IFERROR(INDEX('Work Items'!$E$6:$E$5000,SMALL(IF('Work Items'!$A$6:$A$5000="CR",ROW('Work Items'!$A$6:$A$5000)-ROW('Work Items'!$A$6)+1),271)),"")</f>
        <v/>
      </c>
      <c r="F275">
        <f t="array" ref="F275">IFERROR(INDEX('Work Items'!$F$6:$F$5000,SMALL(IF('Work Items'!$A$6:$A$5000="CR",ROW('Work Items'!$A$6:$A$5000)-ROW('Work Items'!$A$6)+1),271)),"")</f>
        <v/>
      </c>
      <c r="G275">
        <f t="array" ref="G275">IFERROR(INDEX('Work Items'!$J$6:$J$5000,SMALL(IF('Work Items'!$A$6:$A$5000="CR",ROW('Work Items'!$A$6:$A$5000)-ROW('Work Items'!$A$6)+1),271)),"")</f>
        <v/>
      </c>
      <c r="H275">
        <f t="array" ref="H275">IFERROR(INDEX('Work Items'!$K$6:$K$5000,SMALL(IF('Work Items'!$A$6:$A$5000="CR",ROW('Work Items'!$A$6:$A$5000)-ROW('Work Items'!$A$6)+1),271)),"")</f>
        <v/>
      </c>
      <c r="I275">
        <f t="array" ref="I275">IFERROR(INDEX('Work Items'!$L$6:$L$5000,SMALL(IF('Work Items'!$A$6:$A$5000="CR",ROW('Work Items'!$A$6:$A$5000)-ROW('Work Items'!$A$6)+1),271)),"")</f>
        <v/>
      </c>
      <c r="J275" s="217">
        <f t="array" ref="J275">IFERROR(INDEX('Work Items'!$M$6:$M$5000,SMALL(IF('Work Items'!$A$6:$A$5000="CR",ROW('Work Items'!$A$6:$A$5000)-ROW('Work Items'!$A$6)+1),271)),"")</f>
        <v/>
      </c>
      <c r="K275" s="217">
        <f t="array" ref="K275">IFERROR(INDEX('Work Items'!$Q$6:$Q$5000,SMALL(IF('Work Items'!$A$6:$A$5000="CR",ROW('Work Items'!$A$6:$A$5000)-ROW('Work Items'!$A$6)+1),271)),"")</f>
        <v/>
      </c>
      <c r="L275">
        <f t="array" ref="L275">IFERROR(INDEX('Work Items'!$N$6:$N$5000,SMALL(IF('Work Items'!$A$6:$A$5000="CR",ROW('Work Items'!$A$6:$A$5000)-ROW('Work Items'!$A$6)+1),271)),"")</f>
        <v/>
      </c>
      <c r="M275">
        <f t="array" ref="M275">IFERROR(INDEX('Work Items'!$O$6:$O$5000,SMALL(IF('Work Items'!$A$6:$A$5000="CR",ROW('Work Items'!$A$6:$A$5000)-ROW('Work Items'!$A$6)+1),271)),"")</f>
        <v/>
      </c>
    </row>
    <row r="276">
      <c r="A276">
        <f t="array" ref="A276">IFERROR(INDEX('Work Items'!$A$6:$A$5000,SMALL(IF('Work Items'!$A$6:$A$5000="CR",ROW('Work Items'!$A$6:$A$5000)-ROW('Work Items'!$A$6)+1),272)),"")</f>
        <v/>
      </c>
      <c r="B276">
        <f t="array" ref="B276">IFERROR(INDEX('Work Items'!$B$6:$B$5000,SMALL(IF('Work Items'!$A$6:$A$5000="CR",ROW('Work Items'!$A$6:$A$5000)-ROW('Work Items'!$A$6)+1),272)),"")</f>
        <v/>
      </c>
      <c r="C276">
        <f t="array" ref="C276">IFERROR(INDEX('Work Items'!$C$6:$C$5000,SMALL(IF('Work Items'!$A$6:$A$5000="CR",ROW('Work Items'!$A$6:$A$5000)-ROW('Work Items'!$A$6)+1),272)),"")</f>
        <v/>
      </c>
      <c r="D276">
        <f t="array" ref="D276">IFERROR(INDEX('Work Items'!$D$6:$D$5000,SMALL(IF('Work Items'!$A$6:$A$5000="CR",ROW('Work Items'!$A$6:$A$5000)-ROW('Work Items'!$A$6)+1),272)),"")</f>
        <v/>
      </c>
      <c r="E276">
        <f t="array" ref="E276">IFERROR(INDEX('Work Items'!$E$6:$E$5000,SMALL(IF('Work Items'!$A$6:$A$5000="CR",ROW('Work Items'!$A$6:$A$5000)-ROW('Work Items'!$A$6)+1),272)),"")</f>
        <v/>
      </c>
      <c r="F276">
        <f t="array" ref="F276">IFERROR(INDEX('Work Items'!$F$6:$F$5000,SMALL(IF('Work Items'!$A$6:$A$5000="CR",ROW('Work Items'!$A$6:$A$5000)-ROW('Work Items'!$A$6)+1),272)),"")</f>
        <v/>
      </c>
      <c r="G276">
        <f t="array" ref="G276">IFERROR(INDEX('Work Items'!$J$6:$J$5000,SMALL(IF('Work Items'!$A$6:$A$5000="CR",ROW('Work Items'!$A$6:$A$5000)-ROW('Work Items'!$A$6)+1),272)),"")</f>
        <v/>
      </c>
      <c r="H276">
        <f t="array" ref="H276">IFERROR(INDEX('Work Items'!$K$6:$K$5000,SMALL(IF('Work Items'!$A$6:$A$5000="CR",ROW('Work Items'!$A$6:$A$5000)-ROW('Work Items'!$A$6)+1),272)),"")</f>
        <v/>
      </c>
      <c r="I276">
        <f t="array" ref="I276">IFERROR(INDEX('Work Items'!$L$6:$L$5000,SMALL(IF('Work Items'!$A$6:$A$5000="CR",ROW('Work Items'!$A$6:$A$5000)-ROW('Work Items'!$A$6)+1),272)),"")</f>
        <v/>
      </c>
      <c r="J276" s="217">
        <f t="array" ref="J276">IFERROR(INDEX('Work Items'!$M$6:$M$5000,SMALL(IF('Work Items'!$A$6:$A$5000="CR",ROW('Work Items'!$A$6:$A$5000)-ROW('Work Items'!$A$6)+1),272)),"")</f>
        <v/>
      </c>
      <c r="K276" s="217">
        <f t="array" ref="K276">IFERROR(INDEX('Work Items'!$Q$6:$Q$5000,SMALL(IF('Work Items'!$A$6:$A$5000="CR",ROW('Work Items'!$A$6:$A$5000)-ROW('Work Items'!$A$6)+1),272)),"")</f>
        <v/>
      </c>
      <c r="L276">
        <f t="array" ref="L276">IFERROR(INDEX('Work Items'!$N$6:$N$5000,SMALL(IF('Work Items'!$A$6:$A$5000="CR",ROW('Work Items'!$A$6:$A$5000)-ROW('Work Items'!$A$6)+1),272)),"")</f>
        <v/>
      </c>
      <c r="M276">
        <f t="array" ref="M276">IFERROR(INDEX('Work Items'!$O$6:$O$5000,SMALL(IF('Work Items'!$A$6:$A$5000="CR",ROW('Work Items'!$A$6:$A$5000)-ROW('Work Items'!$A$6)+1),272)),"")</f>
        <v/>
      </c>
    </row>
    <row r="277">
      <c r="A277">
        <f t="array" ref="A277">IFERROR(INDEX('Work Items'!$A$6:$A$5000,SMALL(IF('Work Items'!$A$6:$A$5000="CR",ROW('Work Items'!$A$6:$A$5000)-ROW('Work Items'!$A$6)+1),273)),"")</f>
        <v/>
      </c>
      <c r="B277">
        <f t="array" ref="B277">IFERROR(INDEX('Work Items'!$B$6:$B$5000,SMALL(IF('Work Items'!$A$6:$A$5000="CR",ROW('Work Items'!$A$6:$A$5000)-ROW('Work Items'!$A$6)+1),273)),"")</f>
        <v/>
      </c>
      <c r="C277">
        <f t="array" ref="C277">IFERROR(INDEX('Work Items'!$C$6:$C$5000,SMALL(IF('Work Items'!$A$6:$A$5000="CR",ROW('Work Items'!$A$6:$A$5000)-ROW('Work Items'!$A$6)+1),273)),"")</f>
        <v/>
      </c>
      <c r="D277">
        <f t="array" ref="D277">IFERROR(INDEX('Work Items'!$D$6:$D$5000,SMALL(IF('Work Items'!$A$6:$A$5000="CR",ROW('Work Items'!$A$6:$A$5000)-ROW('Work Items'!$A$6)+1),273)),"")</f>
        <v/>
      </c>
      <c r="E277">
        <f t="array" ref="E277">IFERROR(INDEX('Work Items'!$E$6:$E$5000,SMALL(IF('Work Items'!$A$6:$A$5000="CR",ROW('Work Items'!$A$6:$A$5000)-ROW('Work Items'!$A$6)+1),273)),"")</f>
        <v/>
      </c>
      <c r="F277">
        <f t="array" ref="F277">IFERROR(INDEX('Work Items'!$F$6:$F$5000,SMALL(IF('Work Items'!$A$6:$A$5000="CR",ROW('Work Items'!$A$6:$A$5000)-ROW('Work Items'!$A$6)+1),273)),"")</f>
        <v/>
      </c>
      <c r="G277">
        <f t="array" ref="G277">IFERROR(INDEX('Work Items'!$J$6:$J$5000,SMALL(IF('Work Items'!$A$6:$A$5000="CR",ROW('Work Items'!$A$6:$A$5000)-ROW('Work Items'!$A$6)+1),273)),"")</f>
        <v/>
      </c>
      <c r="H277">
        <f t="array" ref="H277">IFERROR(INDEX('Work Items'!$K$6:$K$5000,SMALL(IF('Work Items'!$A$6:$A$5000="CR",ROW('Work Items'!$A$6:$A$5000)-ROW('Work Items'!$A$6)+1),273)),"")</f>
        <v/>
      </c>
      <c r="I277">
        <f t="array" ref="I277">IFERROR(INDEX('Work Items'!$L$6:$L$5000,SMALL(IF('Work Items'!$A$6:$A$5000="CR",ROW('Work Items'!$A$6:$A$5000)-ROW('Work Items'!$A$6)+1),273)),"")</f>
        <v/>
      </c>
      <c r="J277" s="217">
        <f t="array" ref="J277">IFERROR(INDEX('Work Items'!$M$6:$M$5000,SMALL(IF('Work Items'!$A$6:$A$5000="CR",ROW('Work Items'!$A$6:$A$5000)-ROW('Work Items'!$A$6)+1),273)),"")</f>
        <v/>
      </c>
      <c r="K277" s="217">
        <f t="array" ref="K277">IFERROR(INDEX('Work Items'!$Q$6:$Q$5000,SMALL(IF('Work Items'!$A$6:$A$5000="CR",ROW('Work Items'!$A$6:$A$5000)-ROW('Work Items'!$A$6)+1),273)),"")</f>
        <v/>
      </c>
      <c r="L277">
        <f t="array" ref="L277">IFERROR(INDEX('Work Items'!$N$6:$N$5000,SMALL(IF('Work Items'!$A$6:$A$5000="CR",ROW('Work Items'!$A$6:$A$5000)-ROW('Work Items'!$A$6)+1),273)),"")</f>
        <v/>
      </c>
      <c r="M277">
        <f t="array" ref="M277">IFERROR(INDEX('Work Items'!$O$6:$O$5000,SMALL(IF('Work Items'!$A$6:$A$5000="CR",ROW('Work Items'!$A$6:$A$5000)-ROW('Work Items'!$A$6)+1),273)),"")</f>
        <v/>
      </c>
    </row>
    <row r="278">
      <c r="A278">
        <f t="array" ref="A278">IFERROR(INDEX('Work Items'!$A$6:$A$5000,SMALL(IF('Work Items'!$A$6:$A$5000="CR",ROW('Work Items'!$A$6:$A$5000)-ROW('Work Items'!$A$6)+1),274)),"")</f>
        <v/>
      </c>
      <c r="B278">
        <f t="array" ref="B278">IFERROR(INDEX('Work Items'!$B$6:$B$5000,SMALL(IF('Work Items'!$A$6:$A$5000="CR",ROW('Work Items'!$A$6:$A$5000)-ROW('Work Items'!$A$6)+1),274)),"")</f>
        <v/>
      </c>
      <c r="C278">
        <f t="array" ref="C278">IFERROR(INDEX('Work Items'!$C$6:$C$5000,SMALL(IF('Work Items'!$A$6:$A$5000="CR",ROW('Work Items'!$A$6:$A$5000)-ROW('Work Items'!$A$6)+1),274)),"")</f>
        <v/>
      </c>
      <c r="D278">
        <f t="array" ref="D278">IFERROR(INDEX('Work Items'!$D$6:$D$5000,SMALL(IF('Work Items'!$A$6:$A$5000="CR",ROW('Work Items'!$A$6:$A$5000)-ROW('Work Items'!$A$6)+1),274)),"")</f>
        <v/>
      </c>
      <c r="E278">
        <f t="array" ref="E278">IFERROR(INDEX('Work Items'!$E$6:$E$5000,SMALL(IF('Work Items'!$A$6:$A$5000="CR",ROW('Work Items'!$A$6:$A$5000)-ROW('Work Items'!$A$6)+1),274)),"")</f>
        <v/>
      </c>
      <c r="F278">
        <f t="array" ref="F278">IFERROR(INDEX('Work Items'!$F$6:$F$5000,SMALL(IF('Work Items'!$A$6:$A$5000="CR",ROW('Work Items'!$A$6:$A$5000)-ROW('Work Items'!$A$6)+1),274)),"")</f>
        <v/>
      </c>
      <c r="G278">
        <f t="array" ref="G278">IFERROR(INDEX('Work Items'!$J$6:$J$5000,SMALL(IF('Work Items'!$A$6:$A$5000="CR",ROW('Work Items'!$A$6:$A$5000)-ROW('Work Items'!$A$6)+1),274)),"")</f>
        <v/>
      </c>
      <c r="H278">
        <f t="array" ref="H278">IFERROR(INDEX('Work Items'!$K$6:$K$5000,SMALL(IF('Work Items'!$A$6:$A$5000="CR",ROW('Work Items'!$A$6:$A$5000)-ROW('Work Items'!$A$6)+1),274)),"")</f>
        <v/>
      </c>
      <c r="I278">
        <f t="array" ref="I278">IFERROR(INDEX('Work Items'!$L$6:$L$5000,SMALL(IF('Work Items'!$A$6:$A$5000="CR",ROW('Work Items'!$A$6:$A$5000)-ROW('Work Items'!$A$6)+1),274)),"")</f>
        <v/>
      </c>
      <c r="J278" s="217">
        <f t="array" ref="J278">IFERROR(INDEX('Work Items'!$M$6:$M$5000,SMALL(IF('Work Items'!$A$6:$A$5000="CR",ROW('Work Items'!$A$6:$A$5000)-ROW('Work Items'!$A$6)+1),274)),"")</f>
        <v/>
      </c>
      <c r="K278" s="217">
        <f t="array" ref="K278">IFERROR(INDEX('Work Items'!$Q$6:$Q$5000,SMALL(IF('Work Items'!$A$6:$A$5000="CR",ROW('Work Items'!$A$6:$A$5000)-ROW('Work Items'!$A$6)+1),274)),"")</f>
        <v/>
      </c>
      <c r="L278">
        <f t="array" ref="L278">IFERROR(INDEX('Work Items'!$N$6:$N$5000,SMALL(IF('Work Items'!$A$6:$A$5000="CR",ROW('Work Items'!$A$6:$A$5000)-ROW('Work Items'!$A$6)+1),274)),"")</f>
        <v/>
      </c>
      <c r="M278">
        <f t="array" ref="M278">IFERROR(INDEX('Work Items'!$O$6:$O$5000,SMALL(IF('Work Items'!$A$6:$A$5000="CR",ROW('Work Items'!$A$6:$A$5000)-ROW('Work Items'!$A$6)+1),274)),"")</f>
        <v/>
      </c>
    </row>
    <row r="279">
      <c r="A279">
        <f t="array" ref="A279">IFERROR(INDEX('Work Items'!$A$6:$A$5000,SMALL(IF('Work Items'!$A$6:$A$5000="CR",ROW('Work Items'!$A$6:$A$5000)-ROW('Work Items'!$A$6)+1),275)),"")</f>
        <v/>
      </c>
      <c r="B279">
        <f t="array" ref="B279">IFERROR(INDEX('Work Items'!$B$6:$B$5000,SMALL(IF('Work Items'!$A$6:$A$5000="CR",ROW('Work Items'!$A$6:$A$5000)-ROW('Work Items'!$A$6)+1),275)),"")</f>
        <v/>
      </c>
      <c r="C279">
        <f t="array" ref="C279">IFERROR(INDEX('Work Items'!$C$6:$C$5000,SMALL(IF('Work Items'!$A$6:$A$5000="CR",ROW('Work Items'!$A$6:$A$5000)-ROW('Work Items'!$A$6)+1),275)),"")</f>
        <v/>
      </c>
      <c r="D279">
        <f t="array" ref="D279">IFERROR(INDEX('Work Items'!$D$6:$D$5000,SMALL(IF('Work Items'!$A$6:$A$5000="CR",ROW('Work Items'!$A$6:$A$5000)-ROW('Work Items'!$A$6)+1),275)),"")</f>
        <v/>
      </c>
      <c r="E279">
        <f t="array" ref="E279">IFERROR(INDEX('Work Items'!$E$6:$E$5000,SMALL(IF('Work Items'!$A$6:$A$5000="CR",ROW('Work Items'!$A$6:$A$5000)-ROW('Work Items'!$A$6)+1),275)),"")</f>
        <v/>
      </c>
      <c r="F279">
        <f t="array" ref="F279">IFERROR(INDEX('Work Items'!$F$6:$F$5000,SMALL(IF('Work Items'!$A$6:$A$5000="CR",ROW('Work Items'!$A$6:$A$5000)-ROW('Work Items'!$A$6)+1),275)),"")</f>
        <v/>
      </c>
      <c r="G279">
        <f t="array" ref="G279">IFERROR(INDEX('Work Items'!$J$6:$J$5000,SMALL(IF('Work Items'!$A$6:$A$5000="CR",ROW('Work Items'!$A$6:$A$5000)-ROW('Work Items'!$A$6)+1),275)),"")</f>
        <v/>
      </c>
      <c r="H279">
        <f t="array" ref="H279">IFERROR(INDEX('Work Items'!$K$6:$K$5000,SMALL(IF('Work Items'!$A$6:$A$5000="CR",ROW('Work Items'!$A$6:$A$5000)-ROW('Work Items'!$A$6)+1),275)),"")</f>
        <v/>
      </c>
      <c r="I279">
        <f t="array" ref="I279">IFERROR(INDEX('Work Items'!$L$6:$L$5000,SMALL(IF('Work Items'!$A$6:$A$5000="CR",ROW('Work Items'!$A$6:$A$5000)-ROW('Work Items'!$A$6)+1),275)),"")</f>
        <v/>
      </c>
      <c r="J279" s="217">
        <f t="array" ref="J279">IFERROR(INDEX('Work Items'!$M$6:$M$5000,SMALL(IF('Work Items'!$A$6:$A$5000="CR",ROW('Work Items'!$A$6:$A$5000)-ROW('Work Items'!$A$6)+1),275)),"")</f>
        <v/>
      </c>
      <c r="K279" s="217">
        <f t="array" ref="K279">IFERROR(INDEX('Work Items'!$Q$6:$Q$5000,SMALL(IF('Work Items'!$A$6:$A$5000="CR",ROW('Work Items'!$A$6:$A$5000)-ROW('Work Items'!$A$6)+1),275)),"")</f>
        <v/>
      </c>
      <c r="L279">
        <f t="array" ref="L279">IFERROR(INDEX('Work Items'!$N$6:$N$5000,SMALL(IF('Work Items'!$A$6:$A$5000="CR",ROW('Work Items'!$A$6:$A$5000)-ROW('Work Items'!$A$6)+1),275)),"")</f>
        <v/>
      </c>
      <c r="M279">
        <f t="array" ref="M279">IFERROR(INDEX('Work Items'!$O$6:$O$5000,SMALL(IF('Work Items'!$A$6:$A$5000="CR",ROW('Work Items'!$A$6:$A$5000)-ROW('Work Items'!$A$6)+1),275)),"")</f>
        <v/>
      </c>
    </row>
    <row r="280">
      <c r="A280">
        <f t="array" ref="A280">IFERROR(INDEX('Work Items'!$A$6:$A$5000,SMALL(IF('Work Items'!$A$6:$A$5000="CR",ROW('Work Items'!$A$6:$A$5000)-ROW('Work Items'!$A$6)+1),276)),"")</f>
        <v/>
      </c>
      <c r="B280">
        <f t="array" ref="B280">IFERROR(INDEX('Work Items'!$B$6:$B$5000,SMALL(IF('Work Items'!$A$6:$A$5000="CR",ROW('Work Items'!$A$6:$A$5000)-ROW('Work Items'!$A$6)+1),276)),"")</f>
        <v/>
      </c>
      <c r="C280">
        <f t="array" ref="C280">IFERROR(INDEX('Work Items'!$C$6:$C$5000,SMALL(IF('Work Items'!$A$6:$A$5000="CR",ROW('Work Items'!$A$6:$A$5000)-ROW('Work Items'!$A$6)+1),276)),"")</f>
        <v/>
      </c>
      <c r="D280">
        <f t="array" ref="D280">IFERROR(INDEX('Work Items'!$D$6:$D$5000,SMALL(IF('Work Items'!$A$6:$A$5000="CR",ROW('Work Items'!$A$6:$A$5000)-ROW('Work Items'!$A$6)+1),276)),"")</f>
        <v/>
      </c>
      <c r="E280">
        <f t="array" ref="E280">IFERROR(INDEX('Work Items'!$E$6:$E$5000,SMALL(IF('Work Items'!$A$6:$A$5000="CR",ROW('Work Items'!$A$6:$A$5000)-ROW('Work Items'!$A$6)+1),276)),"")</f>
        <v/>
      </c>
      <c r="F280">
        <f t="array" ref="F280">IFERROR(INDEX('Work Items'!$F$6:$F$5000,SMALL(IF('Work Items'!$A$6:$A$5000="CR",ROW('Work Items'!$A$6:$A$5000)-ROW('Work Items'!$A$6)+1),276)),"")</f>
        <v/>
      </c>
      <c r="G280">
        <f t="array" ref="G280">IFERROR(INDEX('Work Items'!$J$6:$J$5000,SMALL(IF('Work Items'!$A$6:$A$5000="CR",ROW('Work Items'!$A$6:$A$5000)-ROW('Work Items'!$A$6)+1),276)),"")</f>
        <v/>
      </c>
      <c r="H280">
        <f t="array" ref="H280">IFERROR(INDEX('Work Items'!$K$6:$K$5000,SMALL(IF('Work Items'!$A$6:$A$5000="CR",ROW('Work Items'!$A$6:$A$5000)-ROW('Work Items'!$A$6)+1),276)),"")</f>
        <v/>
      </c>
      <c r="I280">
        <f t="array" ref="I280">IFERROR(INDEX('Work Items'!$L$6:$L$5000,SMALL(IF('Work Items'!$A$6:$A$5000="CR",ROW('Work Items'!$A$6:$A$5000)-ROW('Work Items'!$A$6)+1),276)),"")</f>
        <v/>
      </c>
      <c r="J280" s="217">
        <f t="array" ref="J280">IFERROR(INDEX('Work Items'!$M$6:$M$5000,SMALL(IF('Work Items'!$A$6:$A$5000="CR",ROW('Work Items'!$A$6:$A$5000)-ROW('Work Items'!$A$6)+1),276)),"")</f>
        <v/>
      </c>
      <c r="K280" s="217">
        <f t="array" ref="K280">IFERROR(INDEX('Work Items'!$Q$6:$Q$5000,SMALL(IF('Work Items'!$A$6:$A$5000="CR",ROW('Work Items'!$A$6:$A$5000)-ROW('Work Items'!$A$6)+1),276)),"")</f>
        <v/>
      </c>
      <c r="L280">
        <f t="array" ref="L280">IFERROR(INDEX('Work Items'!$N$6:$N$5000,SMALL(IF('Work Items'!$A$6:$A$5000="CR",ROW('Work Items'!$A$6:$A$5000)-ROW('Work Items'!$A$6)+1),276)),"")</f>
        <v/>
      </c>
      <c r="M280">
        <f t="array" ref="M280">IFERROR(INDEX('Work Items'!$O$6:$O$5000,SMALL(IF('Work Items'!$A$6:$A$5000="CR",ROW('Work Items'!$A$6:$A$5000)-ROW('Work Items'!$A$6)+1),276)),"")</f>
        <v/>
      </c>
    </row>
    <row r="281">
      <c r="A281">
        <f t="array" ref="A281">IFERROR(INDEX('Work Items'!$A$6:$A$5000,SMALL(IF('Work Items'!$A$6:$A$5000="CR",ROW('Work Items'!$A$6:$A$5000)-ROW('Work Items'!$A$6)+1),277)),"")</f>
        <v/>
      </c>
      <c r="B281">
        <f t="array" ref="B281">IFERROR(INDEX('Work Items'!$B$6:$B$5000,SMALL(IF('Work Items'!$A$6:$A$5000="CR",ROW('Work Items'!$A$6:$A$5000)-ROW('Work Items'!$A$6)+1),277)),"")</f>
        <v/>
      </c>
      <c r="C281">
        <f t="array" ref="C281">IFERROR(INDEX('Work Items'!$C$6:$C$5000,SMALL(IF('Work Items'!$A$6:$A$5000="CR",ROW('Work Items'!$A$6:$A$5000)-ROW('Work Items'!$A$6)+1),277)),"")</f>
        <v/>
      </c>
      <c r="D281">
        <f t="array" ref="D281">IFERROR(INDEX('Work Items'!$D$6:$D$5000,SMALL(IF('Work Items'!$A$6:$A$5000="CR",ROW('Work Items'!$A$6:$A$5000)-ROW('Work Items'!$A$6)+1),277)),"")</f>
        <v/>
      </c>
      <c r="E281">
        <f t="array" ref="E281">IFERROR(INDEX('Work Items'!$E$6:$E$5000,SMALL(IF('Work Items'!$A$6:$A$5000="CR",ROW('Work Items'!$A$6:$A$5000)-ROW('Work Items'!$A$6)+1),277)),"")</f>
        <v/>
      </c>
      <c r="F281">
        <f t="array" ref="F281">IFERROR(INDEX('Work Items'!$F$6:$F$5000,SMALL(IF('Work Items'!$A$6:$A$5000="CR",ROW('Work Items'!$A$6:$A$5000)-ROW('Work Items'!$A$6)+1),277)),"")</f>
        <v/>
      </c>
      <c r="G281">
        <f t="array" ref="G281">IFERROR(INDEX('Work Items'!$J$6:$J$5000,SMALL(IF('Work Items'!$A$6:$A$5000="CR",ROW('Work Items'!$A$6:$A$5000)-ROW('Work Items'!$A$6)+1),277)),"")</f>
        <v/>
      </c>
      <c r="H281">
        <f t="array" ref="H281">IFERROR(INDEX('Work Items'!$K$6:$K$5000,SMALL(IF('Work Items'!$A$6:$A$5000="CR",ROW('Work Items'!$A$6:$A$5000)-ROW('Work Items'!$A$6)+1),277)),"")</f>
        <v/>
      </c>
      <c r="I281">
        <f t="array" ref="I281">IFERROR(INDEX('Work Items'!$L$6:$L$5000,SMALL(IF('Work Items'!$A$6:$A$5000="CR",ROW('Work Items'!$A$6:$A$5000)-ROW('Work Items'!$A$6)+1),277)),"")</f>
        <v/>
      </c>
      <c r="J281" s="217">
        <f t="array" ref="J281">IFERROR(INDEX('Work Items'!$M$6:$M$5000,SMALL(IF('Work Items'!$A$6:$A$5000="CR",ROW('Work Items'!$A$6:$A$5000)-ROW('Work Items'!$A$6)+1),277)),"")</f>
        <v/>
      </c>
      <c r="K281" s="217">
        <f t="array" ref="K281">IFERROR(INDEX('Work Items'!$Q$6:$Q$5000,SMALL(IF('Work Items'!$A$6:$A$5000="CR",ROW('Work Items'!$A$6:$A$5000)-ROW('Work Items'!$A$6)+1),277)),"")</f>
        <v/>
      </c>
      <c r="L281">
        <f t="array" ref="L281">IFERROR(INDEX('Work Items'!$N$6:$N$5000,SMALL(IF('Work Items'!$A$6:$A$5000="CR",ROW('Work Items'!$A$6:$A$5000)-ROW('Work Items'!$A$6)+1),277)),"")</f>
        <v/>
      </c>
      <c r="M281">
        <f t="array" ref="M281">IFERROR(INDEX('Work Items'!$O$6:$O$5000,SMALL(IF('Work Items'!$A$6:$A$5000="CR",ROW('Work Items'!$A$6:$A$5000)-ROW('Work Items'!$A$6)+1),277)),"")</f>
        <v/>
      </c>
    </row>
    <row r="282">
      <c r="A282">
        <f t="array" ref="A282">IFERROR(INDEX('Work Items'!$A$6:$A$5000,SMALL(IF('Work Items'!$A$6:$A$5000="CR",ROW('Work Items'!$A$6:$A$5000)-ROW('Work Items'!$A$6)+1),278)),"")</f>
        <v/>
      </c>
      <c r="B282">
        <f t="array" ref="B282">IFERROR(INDEX('Work Items'!$B$6:$B$5000,SMALL(IF('Work Items'!$A$6:$A$5000="CR",ROW('Work Items'!$A$6:$A$5000)-ROW('Work Items'!$A$6)+1),278)),"")</f>
        <v/>
      </c>
      <c r="C282">
        <f t="array" ref="C282">IFERROR(INDEX('Work Items'!$C$6:$C$5000,SMALL(IF('Work Items'!$A$6:$A$5000="CR",ROW('Work Items'!$A$6:$A$5000)-ROW('Work Items'!$A$6)+1),278)),"")</f>
        <v/>
      </c>
      <c r="D282">
        <f t="array" ref="D282">IFERROR(INDEX('Work Items'!$D$6:$D$5000,SMALL(IF('Work Items'!$A$6:$A$5000="CR",ROW('Work Items'!$A$6:$A$5000)-ROW('Work Items'!$A$6)+1),278)),"")</f>
        <v/>
      </c>
      <c r="E282">
        <f t="array" ref="E282">IFERROR(INDEX('Work Items'!$E$6:$E$5000,SMALL(IF('Work Items'!$A$6:$A$5000="CR",ROW('Work Items'!$A$6:$A$5000)-ROW('Work Items'!$A$6)+1),278)),"")</f>
        <v/>
      </c>
      <c r="F282">
        <f t="array" ref="F282">IFERROR(INDEX('Work Items'!$F$6:$F$5000,SMALL(IF('Work Items'!$A$6:$A$5000="CR",ROW('Work Items'!$A$6:$A$5000)-ROW('Work Items'!$A$6)+1),278)),"")</f>
        <v/>
      </c>
      <c r="G282">
        <f t="array" ref="G282">IFERROR(INDEX('Work Items'!$J$6:$J$5000,SMALL(IF('Work Items'!$A$6:$A$5000="CR",ROW('Work Items'!$A$6:$A$5000)-ROW('Work Items'!$A$6)+1),278)),"")</f>
        <v/>
      </c>
      <c r="H282">
        <f t="array" ref="H282">IFERROR(INDEX('Work Items'!$K$6:$K$5000,SMALL(IF('Work Items'!$A$6:$A$5000="CR",ROW('Work Items'!$A$6:$A$5000)-ROW('Work Items'!$A$6)+1),278)),"")</f>
        <v/>
      </c>
      <c r="I282">
        <f t="array" ref="I282">IFERROR(INDEX('Work Items'!$L$6:$L$5000,SMALL(IF('Work Items'!$A$6:$A$5000="CR",ROW('Work Items'!$A$6:$A$5000)-ROW('Work Items'!$A$6)+1),278)),"")</f>
        <v/>
      </c>
      <c r="J282" s="217">
        <f t="array" ref="J282">IFERROR(INDEX('Work Items'!$M$6:$M$5000,SMALL(IF('Work Items'!$A$6:$A$5000="CR",ROW('Work Items'!$A$6:$A$5000)-ROW('Work Items'!$A$6)+1),278)),"")</f>
        <v/>
      </c>
      <c r="K282" s="217">
        <f t="array" ref="K282">IFERROR(INDEX('Work Items'!$Q$6:$Q$5000,SMALL(IF('Work Items'!$A$6:$A$5000="CR",ROW('Work Items'!$A$6:$A$5000)-ROW('Work Items'!$A$6)+1),278)),"")</f>
        <v/>
      </c>
      <c r="L282">
        <f t="array" ref="L282">IFERROR(INDEX('Work Items'!$N$6:$N$5000,SMALL(IF('Work Items'!$A$6:$A$5000="CR",ROW('Work Items'!$A$6:$A$5000)-ROW('Work Items'!$A$6)+1),278)),"")</f>
        <v/>
      </c>
      <c r="M282">
        <f t="array" ref="M282">IFERROR(INDEX('Work Items'!$O$6:$O$5000,SMALL(IF('Work Items'!$A$6:$A$5000="CR",ROW('Work Items'!$A$6:$A$5000)-ROW('Work Items'!$A$6)+1),278)),"")</f>
        <v/>
      </c>
    </row>
    <row r="283">
      <c r="A283">
        <f t="array" ref="A283">IFERROR(INDEX('Work Items'!$A$6:$A$5000,SMALL(IF('Work Items'!$A$6:$A$5000="CR",ROW('Work Items'!$A$6:$A$5000)-ROW('Work Items'!$A$6)+1),279)),"")</f>
        <v/>
      </c>
      <c r="B283">
        <f t="array" ref="B283">IFERROR(INDEX('Work Items'!$B$6:$B$5000,SMALL(IF('Work Items'!$A$6:$A$5000="CR",ROW('Work Items'!$A$6:$A$5000)-ROW('Work Items'!$A$6)+1),279)),"")</f>
        <v/>
      </c>
      <c r="C283">
        <f t="array" ref="C283">IFERROR(INDEX('Work Items'!$C$6:$C$5000,SMALL(IF('Work Items'!$A$6:$A$5000="CR",ROW('Work Items'!$A$6:$A$5000)-ROW('Work Items'!$A$6)+1),279)),"")</f>
        <v/>
      </c>
      <c r="D283">
        <f t="array" ref="D283">IFERROR(INDEX('Work Items'!$D$6:$D$5000,SMALL(IF('Work Items'!$A$6:$A$5000="CR",ROW('Work Items'!$A$6:$A$5000)-ROW('Work Items'!$A$6)+1),279)),"")</f>
        <v/>
      </c>
      <c r="E283">
        <f t="array" ref="E283">IFERROR(INDEX('Work Items'!$E$6:$E$5000,SMALL(IF('Work Items'!$A$6:$A$5000="CR",ROW('Work Items'!$A$6:$A$5000)-ROW('Work Items'!$A$6)+1),279)),"")</f>
        <v/>
      </c>
      <c r="F283">
        <f t="array" ref="F283">IFERROR(INDEX('Work Items'!$F$6:$F$5000,SMALL(IF('Work Items'!$A$6:$A$5000="CR",ROW('Work Items'!$A$6:$A$5000)-ROW('Work Items'!$A$6)+1),279)),"")</f>
        <v/>
      </c>
      <c r="G283">
        <f t="array" ref="G283">IFERROR(INDEX('Work Items'!$J$6:$J$5000,SMALL(IF('Work Items'!$A$6:$A$5000="CR",ROW('Work Items'!$A$6:$A$5000)-ROW('Work Items'!$A$6)+1),279)),"")</f>
        <v/>
      </c>
      <c r="H283">
        <f t="array" ref="H283">IFERROR(INDEX('Work Items'!$K$6:$K$5000,SMALL(IF('Work Items'!$A$6:$A$5000="CR",ROW('Work Items'!$A$6:$A$5000)-ROW('Work Items'!$A$6)+1),279)),"")</f>
        <v/>
      </c>
      <c r="I283">
        <f t="array" ref="I283">IFERROR(INDEX('Work Items'!$L$6:$L$5000,SMALL(IF('Work Items'!$A$6:$A$5000="CR",ROW('Work Items'!$A$6:$A$5000)-ROW('Work Items'!$A$6)+1),279)),"")</f>
        <v/>
      </c>
      <c r="J283" s="217">
        <f t="array" ref="J283">IFERROR(INDEX('Work Items'!$M$6:$M$5000,SMALL(IF('Work Items'!$A$6:$A$5000="CR",ROW('Work Items'!$A$6:$A$5000)-ROW('Work Items'!$A$6)+1),279)),"")</f>
        <v/>
      </c>
      <c r="K283" s="217">
        <f t="array" ref="K283">IFERROR(INDEX('Work Items'!$Q$6:$Q$5000,SMALL(IF('Work Items'!$A$6:$A$5000="CR",ROW('Work Items'!$A$6:$A$5000)-ROW('Work Items'!$A$6)+1),279)),"")</f>
        <v/>
      </c>
      <c r="L283">
        <f t="array" ref="L283">IFERROR(INDEX('Work Items'!$N$6:$N$5000,SMALL(IF('Work Items'!$A$6:$A$5000="CR",ROW('Work Items'!$A$6:$A$5000)-ROW('Work Items'!$A$6)+1),279)),"")</f>
        <v/>
      </c>
      <c r="M283">
        <f t="array" ref="M283">IFERROR(INDEX('Work Items'!$O$6:$O$5000,SMALL(IF('Work Items'!$A$6:$A$5000="CR",ROW('Work Items'!$A$6:$A$5000)-ROW('Work Items'!$A$6)+1),279)),"")</f>
        <v/>
      </c>
    </row>
    <row r="284">
      <c r="A284">
        <f t="array" ref="A284">IFERROR(INDEX('Work Items'!$A$6:$A$5000,SMALL(IF('Work Items'!$A$6:$A$5000="CR",ROW('Work Items'!$A$6:$A$5000)-ROW('Work Items'!$A$6)+1),280)),"")</f>
        <v/>
      </c>
      <c r="B284">
        <f t="array" ref="B284">IFERROR(INDEX('Work Items'!$B$6:$B$5000,SMALL(IF('Work Items'!$A$6:$A$5000="CR",ROW('Work Items'!$A$6:$A$5000)-ROW('Work Items'!$A$6)+1),280)),"")</f>
        <v/>
      </c>
      <c r="C284">
        <f t="array" ref="C284">IFERROR(INDEX('Work Items'!$C$6:$C$5000,SMALL(IF('Work Items'!$A$6:$A$5000="CR",ROW('Work Items'!$A$6:$A$5000)-ROW('Work Items'!$A$6)+1),280)),"")</f>
        <v/>
      </c>
      <c r="D284">
        <f t="array" ref="D284">IFERROR(INDEX('Work Items'!$D$6:$D$5000,SMALL(IF('Work Items'!$A$6:$A$5000="CR",ROW('Work Items'!$A$6:$A$5000)-ROW('Work Items'!$A$6)+1),280)),"")</f>
        <v/>
      </c>
      <c r="E284">
        <f t="array" ref="E284">IFERROR(INDEX('Work Items'!$E$6:$E$5000,SMALL(IF('Work Items'!$A$6:$A$5000="CR",ROW('Work Items'!$A$6:$A$5000)-ROW('Work Items'!$A$6)+1),280)),"")</f>
        <v/>
      </c>
      <c r="F284">
        <f t="array" ref="F284">IFERROR(INDEX('Work Items'!$F$6:$F$5000,SMALL(IF('Work Items'!$A$6:$A$5000="CR",ROW('Work Items'!$A$6:$A$5000)-ROW('Work Items'!$A$6)+1),280)),"")</f>
        <v/>
      </c>
      <c r="G284">
        <f t="array" ref="G284">IFERROR(INDEX('Work Items'!$J$6:$J$5000,SMALL(IF('Work Items'!$A$6:$A$5000="CR",ROW('Work Items'!$A$6:$A$5000)-ROW('Work Items'!$A$6)+1),280)),"")</f>
        <v/>
      </c>
      <c r="H284">
        <f t="array" ref="H284">IFERROR(INDEX('Work Items'!$K$6:$K$5000,SMALL(IF('Work Items'!$A$6:$A$5000="CR",ROW('Work Items'!$A$6:$A$5000)-ROW('Work Items'!$A$6)+1),280)),"")</f>
        <v/>
      </c>
      <c r="I284">
        <f t="array" ref="I284">IFERROR(INDEX('Work Items'!$L$6:$L$5000,SMALL(IF('Work Items'!$A$6:$A$5000="CR",ROW('Work Items'!$A$6:$A$5000)-ROW('Work Items'!$A$6)+1),280)),"")</f>
        <v/>
      </c>
      <c r="J284" s="217">
        <f t="array" ref="J284">IFERROR(INDEX('Work Items'!$M$6:$M$5000,SMALL(IF('Work Items'!$A$6:$A$5000="CR",ROW('Work Items'!$A$6:$A$5000)-ROW('Work Items'!$A$6)+1),280)),"")</f>
        <v/>
      </c>
      <c r="K284" s="217">
        <f t="array" ref="K284">IFERROR(INDEX('Work Items'!$Q$6:$Q$5000,SMALL(IF('Work Items'!$A$6:$A$5000="CR",ROW('Work Items'!$A$6:$A$5000)-ROW('Work Items'!$A$6)+1),280)),"")</f>
        <v/>
      </c>
      <c r="L284">
        <f t="array" ref="L284">IFERROR(INDEX('Work Items'!$N$6:$N$5000,SMALL(IF('Work Items'!$A$6:$A$5000="CR",ROW('Work Items'!$A$6:$A$5000)-ROW('Work Items'!$A$6)+1),280)),"")</f>
        <v/>
      </c>
      <c r="M284">
        <f t="array" ref="M284">IFERROR(INDEX('Work Items'!$O$6:$O$5000,SMALL(IF('Work Items'!$A$6:$A$5000="CR",ROW('Work Items'!$A$6:$A$5000)-ROW('Work Items'!$A$6)+1),280)),"")</f>
        <v/>
      </c>
    </row>
    <row r="285">
      <c r="A285">
        <f t="array" ref="A285">IFERROR(INDEX('Work Items'!$A$6:$A$5000,SMALL(IF('Work Items'!$A$6:$A$5000="CR",ROW('Work Items'!$A$6:$A$5000)-ROW('Work Items'!$A$6)+1),281)),"")</f>
        <v/>
      </c>
      <c r="B285">
        <f t="array" ref="B285">IFERROR(INDEX('Work Items'!$B$6:$B$5000,SMALL(IF('Work Items'!$A$6:$A$5000="CR",ROW('Work Items'!$A$6:$A$5000)-ROW('Work Items'!$A$6)+1),281)),"")</f>
        <v/>
      </c>
      <c r="C285">
        <f t="array" ref="C285">IFERROR(INDEX('Work Items'!$C$6:$C$5000,SMALL(IF('Work Items'!$A$6:$A$5000="CR",ROW('Work Items'!$A$6:$A$5000)-ROW('Work Items'!$A$6)+1),281)),"")</f>
        <v/>
      </c>
      <c r="D285">
        <f t="array" ref="D285">IFERROR(INDEX('Work Items'!$D$6:$D$5000,SMALL(IF('Work Items'!$A$6:$A$5000="CR",ROW('Work Items'!$A$6:$A$5000)-ROW('Work Items'!$A$6)+1),281)),"")</f>
        <v/>
      </c>
      <c r="E285">
        <f t="array" ref="E285">IFERROR(INDEX('Work Items'!$E$6:$E$5000,SMALL(IF('Work Items'!$A$6:$A$5000="CR",ROW('Work Items'!$A$6:$A$5000)-ROW('Work Items'!$A$6)+1),281)),"")</f>
        <v/>
      </c>
      <c r="F285">
        <f t="array" ref="F285">IFERROR(INDEX('Work Items'!$F$6:$F$5000,SMALL(IF('Work Items'!$A$6:$A$5000="CR",ROW('Work Items'!$A$6:$A$5000)-ROW('Work Items'!$A$6)+1),281)),"")</f>
        <v/>
      </c>
      <c r="G285">
        <f t="array" ref="G285">IFERROR(INDEX('Work Items'!$J$6:$J$5000,SMALL(IF('Work Items'!$A$6:$A$5000="CR",ROW('Work Items'!$A$6:$A$5000)-ROW('Work Items'!$A$6)+1),281)),"")</f>
        <v/>
      </c>
      <c r="H285">
        <f t="array" ref="H285">IFERROR(INDEX('Work Items'!$K$6:$K$5000,SMALL(IF('Work Items'!$A$6:$A$5000="CR",ROW('Work Items'!$A$6:$A$5000)-ROW('Work Items'!$A$6)+1),281)),"")</f>
        <v/>
      </c>
      <c r="I285">
        <f t="array" ref="I285">IFERROR(INDEX('Work Items'!$L$6:$L$5000,SMALL(IF('Work Items'!$A$6:$A$5000="CR",ROW('Work Items'!$A$6:$A$5000)-ROW('Work Items'!$A$6)+1),281)),"")</f>
        <v/>
      </c>
      <c r="J285" s="217">
        <f t="array" ref="J285">IFERROR(INDEX('Work Items'!$M$6:$M$5000,SMALL(IF('Work Items'!$A$6:$A$5000="CR",ROW('Work Items'!$A$6:$A$5000)-ROW('Work Items'!$A$6)+1),281)),"")</f>
        <v/>
      </c>
      <c r="K285" s="217">
        <f t="array" ref="K285">IFERROR(INDEX('Work Items'!$Q$6:$Q$5000,SMALL(IF('Work Items'!$A$6:$A$5000="CR",ROW('Work Items'!$A$6:$A$5000)-ROW('Work Items'!$A$6)+1),281)),"")</f>
        <v/>
      </c>
      <c r="L285">
        <f t="array" ref="L285">IFERROR(INDEX('Work Items'!$N$6:$N$5000,SMALL(IF('Work Items'!$A$6:$A$5000="CR",ROW('Work Items'!$A$6:$A$5000)-ROW('Work Items'!$A$6)+1),281)),"")</f>
        <v/>
      </c>
      <c r="M285">
        <f t="array" ref="M285">IFERROR(INDEX('Work Items'!$O$6:$O$5000,SMALL(IF('Work Items'!$A$6:$A$5000="CR",ROW('Work Items'!$A$6:$A$5000)-ROW('Work Items'!$A$6)+1),281)),"")</f>
        <v/>
      </c>
    </row>
    <row r="286">
      <c r="A286">
        <f t="array" ref="A286">IFERROR(INDEX('Work Items'!$A$6:$A$5000,SMALL(IF('Work Items'!$A$6:$A$5000="CR",ROW('Work Items'!$A$6:$A$5000)-ROW('Work Items'!$A$6)+1),282)),"")</f>
        <v/>
      </c>
      <c r="B286">
        <f t="array" ref="B286">IFERROR(INDEX('Work Items'!$B$6:$B$5000,SMALL(IF('Work Items'!$A$6:$A$5000="CR",ROW('Work Items'!$A$6:$A$5000)-ROW('Work Items'!$A$6)+1),282)),"")</f>
        <v/>
      </c>
      <c r="C286">
        <f t="array" ref="C286">IFERROR(INDEX('Work Items'!$C$6:$C$5000,SMALL(IF('Work Items'!$A$6:$A$5000="CR",ROW('Work Items'!$A$6:$A$5000)-ROW('Work Items'!$A$6)+1),282)),"")</f>
        <v/>
      </c>
      <c r="D286">
        <f t="array" ref="D286">IFERROR(INDEX('Work Items'!$D$6:$D$5000,SMALL(IF('Work Items'!$A$6:$A$5000="CR",ROW('Work Items'!$A$6:$A$5000)-ROW('Work Items'!$A$6)+1),282)),"")</f>
        <v/>
      </c>
      <c r="E286">
        <f t="array" ref="E286">IFERROR(INDEX('Work Items'!$E$6:$E$5000,SMALL(IF('Work Items'!$A$6:$A$5000="CR",ROW('Work Items'!$A$6:$A$5000)-ROW('Work Items'!$A$6)+1),282)),"")</f>
        <v/>
      </c>
      <c r="F286">
        <f t="array" ref="F286">IFERROR(INDEX('Work Items'!$F$6:$F$5000,SMALL(IF('Work Items'!$A$6:$A$5000="CR",ROW('Work Items'!$A$6:$A$5000)-ROW('Work Items'!$A$6)+1),282)),"")</f>
        <v/>
      </c>
      <c r="G286">
        <f t="array" ref="G286">IFERROR(INDEX('Work Items'!$J$6:$J$5000,SMALL(IF('Work Items'!$A$6:$A$5000="CR",ROW('Work Items'!$A$6:$A$5000)-ROW('Work Items'!$A$6)+1),282)),"")</f>
        <v/>
      </c>
      <c r="H286">
        <f t="array" ref="H286">IFERROR(INDEX('Work Items'!$K$6:$K$5000,SMALL(IF('Work Items'!$A$6:$A$5000="CR",ROW('Work Items'!$A$6:$A$5000)-ROW('Work Items'!$A$6)+1),282)),"")</f>
        <v/>
      </c>
      <c r="I286">
        <f t="array" ref="I286">IFERROR(INDEX('Work Items'!$L$6:$L$5000,SMALL(IF('Work Items'!$A$6:$A$5000="CR",ROW('Work Items'!$A$6:$A$5000)-ROW('Work Items'!$A$6)+1),282)),"")</f>
        <v/>
      </c>
      <c r="J286" s="217">
        <f t="array" ref="J286">IFERROR(INDEX('Work Items'!$M$6:$M$5000,SMALL(IF('Work Items'!$A$6:$A$5000="CR",ROW('Work Items'!$A$6:$A$5000)-ROW('Work Items'!$A$6)+1),282)),"")</f>
        <v/>
      </c>
      <c r="K286" s="217">
        <f t="array" ref="K286">IFERROR(INDEX('Work Items'!$Q$6:$Q$5000,SMALL(IF('Work Items'!$A$6:$A$5000="CR",ROW('Work Items'!$A$6:$A$5000)-ROW('Work Items'!$A$6)+1),282)),"")</f>
        <v/>
      </c>
      <c r="L286">
        <f t="array" ref="L286">IFERROR(INDEX('Work Items'!$N$6:$N$5000,SMALL(IF('Work Items'!$A$6:$A$5000="CR",ROW('Work Items'!$A$6:$A$5000)-ROW('Work Items'!$A$6)+1),282)),"")</f>
        <v/>
      </c>
      <c r="M286">
        <f t="array" ref="M286">IFERROR(INDEX('Work Items'!$O$6:$O$5000,SMALL(IF('Work Items'!$A$6:$A$5000="CR",ROW('Work Items'!$A$6:$A$5000)-ROW('Work Items'!$A$6)+1),282)),"")</f>
        <v/>
      </c>
    </row>
    <row r="287">
      <c r="A287">
        <f t="array" ref="A287">IFERROR(INDEX('Work Items'!$A$6:$A$5000,SMALL(IF('Work Items'!$A$6:$A$5000="CR",ROW('Work Items'!$A$6:$A$5000)-ROW('Work Items'!$A$6)+1),283)),"")</f>
        <v/>
      </c>
      <c r="B287">
        <f t="array" ref="B287">IFERROR(INDEX('Work Items'!$B$6:$B$5000,SMALL(IF('Work Items'!$A$6:$A$5000="CR",ROW('Work Items'!$A$6:$A$5000)-ROW('Work Items'!$A$6)+1),283)),"")</f>
        <v/>
      </c>
      <c r="C287">
        <f t="array" ref="C287">IFERROR(INDEX('Work Items'!$C$6:$C$5000,SMALL(IF('Work Items'!$A$6:$A$5000="CR",ROW('Work Items'!$A$6:$A$5000)-ROW('Work Items'!$A$6)+1),283)),"")</f>
        <v/>
      </c>
      <c r="D287">
        <f t="array" ref="D287">IFERROR(INDEX('Work Items'!$D$6:$D$5000,SMALL(IF('Work Items'!$A$6:$A$5000="CR",ROW('Work Items'!$A$6:$A$5000)-ROW('Work Items'!$A$6)+1),283)),"")</f>
        <v/>
      </c>
      <c r="E287">
        <f t="array" ref="E287">IFERROR(INDEX('Work Items'!$E$6:$E$5000,SMALL(IF('Work Items'!$A$6:$A$5000="CR",ROW('Work Items'!$A$6:$A$5000)-ROW('Work Items'!$A$6)+1),283)),"")</f>
        <v/>
      </c>
      <c r="F287">
        <f t="array" ref="F287">IFERROR(INDEX('Work Items'!$F$6:$F$5000,SMALL(IF('Work Items'!$A$6:$A$5000="CR",ROW('Work Items'!$A$6:$A$5000)-ROW('Work Items'!$A$6)+1),283)),"")</f>
        <v/>
      </c>
      <c r="G287">
        <f t="array" ref="G287">IFERROR(INDEX('Work Items'!$J$6:$J$5000,SMALL(IF('Work Items'!$A$6:$A$5000="CR",ROW('Work Items'!$A$6:$A$5000)-ROW('Work Items'!$A$6)+1),283)),"")</f>
        <v/>
      </c>
      <c r="H287">
        <f t="array" ref="H287">IFERROR(INDEX('Work Items'!$K$6:$K$5000,SMALL(IF('Work Items'!$A$6:$A$5000="CR",ROW('Work Items'!$A$6:$A$5000)-ROW('Work Items'!$A$6)+1),283)),"")</f>
        <v/>
      </c>
      <c r="I287">
        <f t="array" ref="I287">IFERROR(INDEX('Work Items'!$L$6:$L$5000,SMALL(IF('Work Items'!$A$6:$A$5000="CR",ROW('Work Items'!$A$6:$A$5000)-ROW('Work Items'!$A$6)+1),283)),"")</f>
        <v/>
      </c>
      <c r="J287" s="217">
        <f t="array" ref="J287">IFERROR(INDEX('Work Items'!$M$6:$M$5000,SMALL(IF('Work Items'!$A$6:$A$5000="CR",ROW('Work Items'!$A$6:$A$5000)-ROW('Work Items'!$A$6)+1),283)),"")</f>
        <v/>
      </c>
      <c r="K287" s="217">
        <f t="array" ref="K287">IFERROR(INDEX('Work Items'!$Q$6:$Q$5000,SMALL(IF('Work Items'!$A$6:$A$5000="CR",ROW('Work Items'!$A$6:$A$5000)-ROW('Work Items'!$A$6)+1),283)),"")</f>
        <v/>
      </c>
      <c r="L287">
        <f t="array" ref="L287">IFERROR(INDEX('Work Items'!$N$6:$N$5000,SMALL(IF('Work Items'!$A$6:$A$5000="CR",ROW('Work Items'!$A$6:$A$5000)-ROW('Work Items'!$A$6)+1),283)),"")</f>
        <v/>
      </c>
      <c r="M287">
        <f t="array" ref="M287">IFERROR(INDEX('Work Items'!$O$6:$O$5000,SMALL(IF('Work Items'!$A$6:$A$5000="CR",ROW('Work Items'!$A$6:$A$5000)-ROW('Work Items'!$A$6)+1),283)),"")</f>
        <v/>
      </c>
    </row>
    <row r="288">
      <c r="A288">
        <f t="array" ref="A288">IFERROR(INDEX('Work Items'!$A$6:$A$5000,SMALL(IF('Work Items'!$A$6:$A$5000="CR",ROW('Work Items'!$A$6:$A$5000)-ROW('Work Items'!$A$6)+1),284)),"")</f>
        <v/>
      </c>
      <c r="B288">
        <f t="array" ref="B288">IFERROR(INDEX('Work Items'!$B$6:$B$5000,SMALL(IF('Work Items'!$A$6:$A$5000="CR",ROW('Work Items'!$A$6:$A$5000)-ROW('Work Items'!$A$6)+1),284)),"")</f>
        <v/>
      </c>
      <c r="C288">
        <f t="array" ref="C288">IFERROR(INDEX('Work Items'!$C$6:$C$5000,SMALL(IF('Work Items'!$A$6:$A$5000="CR",ROW('Work Items'!$A$6:$A$5000)-ROW('Work Items'!$A$6)+1),284)),"")</f>
        <v/>
      </c>
      <c r="D288">
        <f t="array" ref="D288">IFERROR(INDEX('Work Items'!$D$6:$D$5000,SMALL(IF('Work Items'!$A$6:$A$5000="CR",ROW('Work Items'!$A$6:$A$5000)-ROW('Work Items'!$A$6)+1),284)),"")</f>
        <v/>
      </c>
      <c r="E288">
        <f t="array" ref="E288">IFERROR(INDEX('Work Items'!$E$6:$E$5000,SMALL(IF('Work Items'!$A$6:$A$5000="CR",ROW('Work Items'!$A$6:$A$5000)-ROW('Work Items'!$A$6)+1),284)),"")</f>
        <v/>
      </c>
      <c r="F288">
        <f t="array" ref="F288">IFERROR(INDEX('Work Items'!$F$6:$F$5000,SMALL(IF('Work Items'!$A$6:$A$5000="CR",ROW('Work Items'!$A$6:$A$5000)-ROW('Work Items'!$A$6)+1),284)),"")</f>
        <v/>
      </c>
      <c r="G288">
        <f t="array" ref="G288">IFERROR(INDEX('Work Items'!$J$6:$J$5000,SMALL(IF('Work Items'!$A$6:$A$5000="CR",ROW('Work Items'!$A$6:$A$5000)-ROW('Work Items'!$A$6)+1),284)),"")</f>
        <v/>
      </c>
      <c r="H288">
        <f t="array" ref="H288">IFERROR(INDEX('Work Items'!$K$6:$K$5000,SMALL(IF('Work Items'!$A$6:$A$5000="CR",ROW('Work Items'!$A$6:$A$5000)-ROW('Work Items'!$A$6)+1),284)),"")</f>
        <v/>
      </c>
      <c r="I288">
        <f t="array" ref="I288">IFERROR(INDEX('Work Items'!$L$6:$L$5000,SMALL(IF('Work Items'!$A$6:$A$5000="CR",ROW('Work Items'!$A$6:$A$5000)-ROW('Work Items'!$A$6)+1),284)),"")</f>
        <v/>
      </c>
      <c r="J288" s="217">
        <f t="array" ref="J288">IFERROR(INDEX('Work Items'!$M$6:$M$5000,SMALL(IF('Work Items'!$A$6:$A$5000="CR",ROW('Work Items'!$A$6:$A$5000)-ROW('Work Items'!$A$6)+1),284)),"")</f>
        <v/>
      </c>
      <c r="K288" s="217">
        <f t="array" ref="K288">IFERROR(INDEX('Work Items'!$Q$6:$Q$5000,SMALL(IF('Work Items'!$A$6:$A$5000="CR",ROW('Work Items'!$A$6:$A$5000)-ROW('Work Items'!$A$6)+1),284)),"")</f>
        <v/>
      </c>
      <c r="L288">
        <f t="array" ref="L288">IFERROR(INDEX('Work Items'!$N$6:$N$5000,SMALL(IF('Work Items'!$A$6:$A$5000="CR",ROW('Work Items'!$A$6:$A$5000)-ROW('Work Items'!$A$6)+1),284)),"")</f>
        <v/>
      </c>
      <c r="M288">
        <f t="array" ref="M288">IFERROR(INDEX('Work Items'!$O$6:$O$5000,SMALL(IF('Work Items'!$A$6:$A$5000="CR",ROW('Work Items'!$A$6:$A$5000)-ROW('Work Items'!$A$6)+1),284)),"")</f>
        <v/>
      </c>
    </row>
    <row r="289">
      <c r="A289">
        <f t="array" ref="A289">IFERROR(INDEX('Work Items'!$A$6:$A$5000,SMALL(IF('Work Items'!$A$6:$A$5000="CR",ROW('Work Items'!$A$6:$A$5000)-ROW('Work Items'!$A$6)+1),285)),"")</f>
        <v/>
      </c>
      <c r="B289">
        <f t="array" ref="B289">IFERROR(INDEX('Work Items'!$B$6:$B$5000,SMALL(IF('Work Items'!$A$6:$A$5000="CR",ROW('Work Items'!$A$6:$A$5000)-ROW('Work Items'!$A$6)+1),285)),"")</f>
        <v/>
      </c>
      <c r="C289">
        <f t="array" ref="C289">IFERROR(INDEX('Work Items'!$C$6:$C$5000,SMALL(IF('Work Items'!$A$6:$A$5000="CR",ROW('Work Items'!$A$6:$A$5000)-ROW('Work Items'!$A$6)+1),285)),"")</f>
        <v/>
      </c>
      <c r="D289">
        <f t="array" ref="D289">IFERROR(INDEX('Work Items'!$D$6:$D$5000,SMALL(IF('Work Items'!$A$6:$A$5000="CR",ROW('Work Items'!$A$6:$A$5000)-ROW('Work Items'!$A$6)+1),285)),"")</f>
        <v/>
      </c>
      <c r="E289">
        <f t="array" ref="E289">IFERROR(INDEX('Work Items'!$E$6:$E$5000,SMALL(IF('Work Items'!$A$6:$A$5000="CR",ROW('Work Items'!$A$6:$A$5000)-ROW('Work Items'!$A$6)+1),285)),"")</f>
        <v/>
      </c>
      <c r="F289">
        <f t="array" ref="F289">IFERROR(INDEX('Work Items'!$F$6:$F$5000,SMALL(IF('Work Items'!$A$6:$A$5000="CR",ROW('Work Items'!$A$6:$A$5000)-ROW('Work Items'!$A$6)+1),285)),"")</f>
        <v/>
      </c>
      <c r="G289">
        <f t="array" ref="G289">IFERROR(INDEX('Work Items'!$J$6:$J$5000,SMALL(IF('Work Items'!$A$6:$A$5000="CR",ROW('Work Items'!$A$6:$A$5000)-ROW('Work Items'!$A$6)+1),285)),"")</f>
        <v/>
      </c>
      <c r="H289">
        <f t="array" ref="H289">IFERROR(INDEX('Work Items'!$K$6:$K$5000,SMALL(IF('Work Items'!$A$6:$A$5000="CR",ROW('Work Items'!$A$6:$A$5000)-ROW('Work Items'!$A$6)+1),285)),"")</f>
        <v/>
      </c>
      <c r="I289">
        <f t="array" ref="I289">IFERROR(INDEX('Work Items'!$L$6:$L$5000,SMALL(IF('Work Items'!$A$6:$A$5000="CR",ROW('Work Items'!$A$6:$A$5000)-ROW('Work Items'!$A$6)+1),285)),"")</f>
        <v/>
      </c>
      <c r="J289" s="217">
        <f t="array" ref="J289">IFERROR(INDEX('Work Items'!$M$6:$M$5000,SMALL(IF('Work Items'!$A$6:$A$5000="CR",ROW('Work Items'!$A$6:$A$5000)-ROW('Work Items'!$A$6)+1),285)),"")</f>
        <v/>
      </c>
      <c r="K289" s="217">
        <f t="array" ref="K289">IFERROR(INDEX('Work Items'!$Q$6:$Q$5000,SMALL(IF('Work Items'!$A$6:$A$5000="CR",ROW('Work Items'!$A$6:$A$5000)-ROW('Work Items'!$A$6)+1),285)),"")</f>
        <v/>
      </c>
      <c r="L289">
        <f t="array" ref="L289">IFERROR(INDEX('Work Items'!$N$6:$N$5000,SMALL(IF('Work Items'!$A$6:$A$5000="CR",ROW('Work Items'!$A$6:$A$5000)-ROW('Work Items'!$A$6)+1),285)),"")</f>
        <v/>
      </c>
      <c r="M289">
        <f t="array" ref="M289">IFERROR(INDEX('Work Items'!$O$6:$O$5000,SMALL(IF('Work Items'!$A$6:$A$5000="CR",ROW('Work Items'!$A$6:$A$5000)-ROW('Work Items'!$A$6)+1),285)),"")</f>
        <v/>
      </c>
    </row>
    <row r="290">
      <c r="A290">
        <f t="array" ref="A290">IFERROR(INDEX('Work Items'!$A$6:$A$5000,SMALL(IF('Work Items'!$A$6:$A$5000="CR",ROW('Work Items'!$A$6:$A$5000)-ROW('Work Items'!$A$6)+1),286)),"")</f>
        <v/>
      </c>
      <c r="B290">
        <f t="array" ref="B290">IFERROR(INDEX('Work Items'!$B$6:$B$5000,SMALL(IF('Work Items'!$A$6:$A$5000="CR",ROW('Work Items'!$A$6:$A$5000)-ROW('Work Items'!$A$6)+1),286)),"")</f>
        <v/>
      </c>
      <c r="C290">
        <f t="array" ref="C290">IFERROR(INDEX('Work Items'!$C$6:$C$5000,SMALL(IF('Work Items'!$A$6:$A$5000="CR",ROW('Work Items'!$A$6:$A$5000)-ROW('Work Items'!$A$6)+1),286)),"")</f>
        <v/>
      </c>
      <c r="D290">
        <f t="array" ref="D290">IFERROR(INDEX('Work Items'!$D$6:$D$5000,SMALL(IF('Work Items'!$A$6:$A$5000="CR",ROW('Work Items'!$A$6:$A$5000)-ROW('Work Items'!$A$6)+1),286)),"")</f>
        <v/>
      </c>
      <c r="E290">
        <f t="array" ref="E290">IFERROR(INDEX('Work Items'!$E$6:$E$5000,SMALL(IF('Work Items'!$A$6:$A$5000="CR",ROW('Work Items'!$A$6:$A$5000)-ROW('Work Items'!$A$6)+1),286)),"")</f>
        <v/>
      </c>
      <c r="F290">
        <f t="array" ref="F290">IFERROR(INDEX('Work Items'!$F$6:$F$5000,SMALL(IF('Work Items'!$A$6:$A$5000="CR",ROW('Work Items'!$A$6:$A$5000)-ROW('Work Items'!$A$6)+1),286)),"")</f>
        <v/>
      </c>
      <c r="G290">
        <f t="array" ref="G290">IFERROR(INDEX('Work Items'!$J$6:$J$5000,SMALL(IF('Work Items'!$A$6:$A$5000="CR",ROW('Work Items'!$A$6:$A$5000)-ROW('Work Items'!$A$6)+1),286)),"")</f>
        <v/>
      </c>
      <c r="H290">
        <f t="array" ref="H290">IFERROR(INDEX('Work Items'!$K$6:$K$5000,SMALL(IF('Work Items'!$A$6:$A$5000="CR",ROW('Work Items'!$A$6:$A$5000)-ROW('Work Items'!$A$6)+1),286)),"")</f>
        <v/>
      </c>
      <c r="I290">
        <f t="array" ref="I290">IFERROR(INDEX('Work Items'!$L$6:$L$5000,SMALL(IF('Work Items'!$A$6:$A$5000="CR",ROW('Work Items'!$A$6:$A$5000)-ROW('Work Items'!$A$6)+1),286)),"")</f>
        <v/>
      </c>
      <c r="J290" s="217">
        <f t="array" ref="J290">IFERROR(INDEX('Work Items'!$M$6:$M$5000,SMALL(IF('Work Items'!$A$6:$A$5000="CR",ROW('Work Items'!$A$6:$A$5000)-ROW('Work Items'!$A$6)+1),286)),"")</f>
        <v/>
      </c>
      <c r="K290" s="217">
        <f t="array" ref="K290">IFERROR(INDEX('Work Items'!$Q$6:$Q$5000,SMALL(IF('Work Items'!$A$6:$A$5000="CR",ROW('Work Items'!$A$6:$A$5000)-ROW('Work Items'!$A$6)+1),286)),"")</f>
        <v/>
      </c>
      <c r="L290">
        <f t="array" ref="L290">IFERROR(INDEX('Work Items'!$N$6:$N$5000,SMALL(IF('Work Items'!$A$6:$A$5000="CR",ROW('Work Items'!$A$6:$A$5000)-ROW('Work Items'!$A$6)+1),286)),"")</f>
        <v/>
      </c>
      <c r="M290">
        <f t="array" ref="M290">IFERROR(INDEX('Work Items'!$O$6:$O$5000,SMALL(IF('Work Items'!$A$6:$A$5000="CR",ROW('Work Items'!$A$6:$A$5000)-ROW('Work Items'!$A$6)+1),286)),"")</f>
        <v/>
      </c>
    </row>
    <row r="291">
      <c r="A291">
        <f t="array" ref="A291">IFERROR(INDEX('Work Items'!$A$6:$A$5000,SMALL(IF('Work Items'!$A$6:$A$5000="CR",ROW('Work Items'!$A$6:$A$5000)-ROW('Work Items'!$A$6)+1),287)),"")</f>
        <v/>
      </c>
      <c r="B291">
        <f t="array" ref="B291">IFERROR(INDEX('Work Items'!$B$6:$B$5000,SMALL(IF('Work Items'!$A$6:$A$5000="CR",ROW('Work Items'!$A$6:$A$5000)-ROW('Work Items'!$A$6)+1),287)),"")</f>
        <v/>
      </c>
      <c r="C291">
        <f t="array" ref="C291">IFERROR(INDEX('Work Items'!$C$6:$C$5000,SMALL(IF('Work Items'!$A$6:$A$5000="CR",ROW('Work Items'!$A$6:$A$5000)-ROW('Work Items'!$A$6)+1),287)),"")</f>
        <v/>
      </c>
      <c r="D291">
        <f t="array" ref="D291">IFERROR(INDEX('Work Items'!$D$6:$D$5000,SMALL(IF('Work Items'!$A$6:$A$5000="CR",ROW('Work Items'!$A$6:$A$5000)-ROW('Work Items'!$A$6)+1),287)),"")</f>
        <v/>
      </c>
      <c r="E291">
        <f t="array" ref="E291">IFERROR(INDEX('Work Items'!$E$6:$E$5000,SMALL(IF('Work Items'!$A$6:$A$5000="CR",ROW('Work Items'!$A$6:$A$5000)-ROW('Work Items'!$A$6)+1),287)),"")</f>
        <v/>
      </c>
      <c r="F291">
        <f t="array" ref="F291">IFERROR(INDEX('Work Items'!$F$6:$F$5000,SMALL(IF('Work Items'!$A$6:$A$5000="CR",ROW('Work Items'!$A$6:$A$5000)-ROW('Work Items'!$A$6)+1),287)),"")</f>
        <v/>
      </c>
      <c r="G291">
        <f t="array" ref="G291">IFERROR(INDEX('Work Items'!$J$6:$J$5000,SMALL(IF('Work Items'!$A$6:$A$5000="CR",ROW('Work Items'!$A$6:$A$5000)-ROW('Work Items'!$A$6)+1),287)),"")</f>
        <v/>
      </c>
      <c r="H291">
        <f t="array" ref="H291">IFERROR(INDEX('Work Items'!$K$6:$K$5000,SMALL(IF('Work Items'!$A$6:$A$5000="CR",ROW('Work Items'!$A$6:$A$5000)-ROW('Work Items'!$A$6)+1),287)),"")</f>
        <v/>
      </c>
      <c r="I291">
        <f t="array" ref="I291">IFERROR(INDEX('Work Items'!$L$6:$L$5000,SMALL(IF('Work Items'!$A$6:$A$5000="CR",ROW('Work Items'!$A$6:$A$5000)-ROW('Work Items'!$A$6)+1),287)),"")</f>
        <v/>
      </c>
      <c r="J291" s="217">
        <f t="array" ref="J291">IFERROR(INDEX('Work Items'!$M$6:$M$5000,SMALL(IF('Work Items'!$A$6:$A$5000="CR",ROW('Work Items'!$A$6:$A$5000)-ROW('Work Items'!$A$6)+1),287)),"")</f>
        <v/>
      </c>
      <c r="K291" s="217">
        <f t="array" ref="K291">IFERROR(INDEX('Work Items'!$Q$6:$Q$5000,SMALL(IF('Work Items'!$A$6:$A$5000="CR",ROW('Work Items'!$A$6:$A$5000)-ROW('Work Items'!$A$6)+1),287)),"")</f>
        <v/>
      </c>
      <c r="L291">
        <f t="array" ref="L291">IFERROR(INDEX('Work Items'!$N$6:$N$5000,SMALL(IF('Work Items'!$A$6:$A$5000="CR",ROW('Work Items'!$A$6:$A$5000)-ROW('Work Items'!$A$6)+1),287)),"")</f>
        <v/>
      </c>
      <c r="M291">
        <f t="array" ref="M291">IFERROR(INDEX('Work Items'!$O$6:$O$5000,SMALL(IF('Work Items'!$A$6:$A$5000="CR",ROW('Work Items'!$A$6:$A$5000)-ROW('Work Items'!$A$6)+1),287)),"")</f>
        <v/>
      </c>
    </row>
    <row r="292">
      <c r="A292">
        <f t="array" ref="A292">IFERROR(INDEX('Work Items'!$A$6:$A$5000,SMALL(IF('Work Items'!$A$6:$A$5000="CR",ROW('Work Items'!$A$6:$A$5000)-ROW('Work Items'!$A$6)+1),288)),"")</f>
        <v/>
      </c>
      <c r="B292">
        <f t="array" ref="B292">IFERROR(INDEX('Work Items'!$B$6:$B$5000,SMALL(IF('Work Items'!$A$6:$A$5000="CR",ROW('Work Items'!$A$6:$A$5000)-ROW('Work Items'!$A$6)+1),288)),"")</f>
        <v/>
      </c>
      <c r="C292">
        <f t="array" ref="C292">IFERROR(INDEX('Work Items'!$C$6:$C$5000,SMALL(IF('Work Items'!$A$6:$A$5000="CR",ROW('Work Items'!$A$6:$A$5000)-ROW('Work Items'!$A$6)+1),288)),"")</f>
        <v/>
      </c>
      <c r="D292">
        <f t="array" ref="D292">IFERROR(INDEX('Work Items'!$D$6:$D$5000,SMALL(IF('Work Items'!$A$6:$A$5000="CR",ROW('Work Items'!$A$6:$A$5000)-ROW('Work Items'!$A$6)+1),288)),"")</f>
        <v/>
      </c>
      <c r="E292">
        <f t="array" ref="E292">IFERROR(INDEX('Work Items'!$E$6:$E$5000,SMALL(IF('Work Items'!$A$6:$A$5000="CR",ROW('Work Items'!$A$6:$A$5000)-ROW('Work Items'!$A$6)+1),288)),"")</f>
        <v/>
      </c>
      <c r="F292">
        <f t="array" ref="F292">IFERROR(INDEX('Work Items'!$F$6:$F$5000,SMALL(IF('Work Items'!$A$6:$A$5000="CR",ROW('Work Items'!$A$6:$A$5000)-ROW('Work Items'!$A$6)+1),288)),"")</f>
        <v/>
      </c>
      <c r="G292">
        <f t="array" ref="G292">IFERROR(INDEX('Work Items'!$J$6:$J$5000,SMALL(IF('Work Items'!$A$6:$A$5000="CR",ROW('Work Items'!$A$6:$A$5000)-ROW('Work Items'!$A$6)+1),288)),"")</f>
        <v/>
      </c>
      <c r="H292">
        <f t="array" ref="H292">IFERROR(INDEX('Work Items'!$K$6:$K$5000,SMALL(IF('Work Items'!$A$6:$A$5000="CR",ROW('Work Items'!$A$6:$A$5000)-ROW('Work Items'!$A$6)+1),288)),"")</f>
        <v/>
      </c>
      <c r="I292">
        <f t="array" ref="I292">IFERROR(INDEX('Work Items'!$L$6:$L$5000,SMALL(IF('Work Items'!$A$6:$A$5000="CR",ROW('Work Items'!$A$6:$A$5000)-ROW('Work Items'!$A$6)+1),288)),"")</f>
        <v/>
      </c>
      <c r="J292" s="217">
        <f t="array" ref="J292">IFERROR(INDEX('Work Items'!$M$6:$M$5000,SMALL(IF('Work Items'!$A$6:$A$5000="CR",ROW('Work Items'!$A$6:$A$5000)-ROW('Work Items'!$A$6)+1),288)),"")</f>
        <v/>
      </c>
      <c r="K292" s="217">
        <f t="array" ref="K292">IFERROR(INDEX('Work Items'!$Q$6:$Q$5000,SMALL(IF('Work Items'!$A$6:$A$5000="CR",ROW('Work Items'!$A$6:$A$5000)-ROW('Work Items'!$A$6)+1),288)),"")</f>
        <v/>
      </c>
      <c r="L292">
        <f t="array" ref="L292">IFERROR(INDEX('Work Items'!$N$6:$N$5000,SMALL(IF('Work Items'!$A$6:$A$5000="CR",ROW('Work Items'!$A$6:$A$5000)-ROW('Work Items'!$A$6)+1),288)),"")</f>
        <v/>
      </c>
      <c r="M292">
        <f t="array" ref="M292">IFERROR(INDEX('Work Items'!$O$6:$O$5000,SMALL(IF('Work Items'!$A$6:$A$5000="CR",ROW('Work Items'!$A$6:$A$5000)-ROW('Work Items'!$A$6)+1),288)),"")</f>
        <v/>
      </c>
    </row>
    <row r="293">
      <c r="A293">
        <f t="array" ref="A293">IFERROR(INDEX('Work Items'!$A$6:$A$5000,SMALL(IF('Work Items'!$A$6:$A$5000="CR",ROW('Work Items'!$A$6:$A$5000)-ROW('Work Items'!$A$6)+1),289)),"")</f>
        <v/>
      </c>
      <c r="B293">
        <f t="array" ref="B293">IFERROR(INDEX('Work Items'!$B$6:$B$5000,SMALL(IF('Work Items'!$A$6:$A$5000="CR",ROW('Work Items'!$A$6:$A$5000)-ROW('Work Items'!$A$6)+1),289)),"")</f>
        <v/>
      </c>
      <c r="C293">
        <f t="array" ref="C293">IFERROR(INDEX('Work Items'!$C$6:$C$5000,SMALL(IF('Work Items'!$A$6:$A$5000="CR",ROW('Work Items'!$A$6:$A$5000)-ROW('Work Items'!$A$6)+1),289)),"")</f>
        <v/>
      </c>
      <c r="D293">
        <f t="array" ref="D293">IFERROR(INDEX('Work Items'!$D$6:$D$5000,SMALL(IF('Work Items'!$A$6:$A$5000="CR",ROW('Work Items'!$A$6:$A$5000)-ROW('Work Items'!$A$6)+1),289)),"")</f>
        <v/>
      </c>
      <c r="E293">
        <f t="array" ref="E293">IFERROR(INDEX('Work Items'!$E$6:$E$5000,SMALL(IF('Work Items'!$A$6:$A$5000="CR",ROW('Work Items'!$A$6:$A$5000)-ROW('Work Items'!$A$6)+1),289)),"")</f>
        <v/>
      </c>
      <c r="F293">
        <f t="array" ref="F293">IFERROR(INDEX('Work Items'!$F$6:$F$5000,SMALL(IF('Work Items'!$A$6:$A$5000="CR",ROW('Work Items'!$A$6:$A$5000)-ROW('Work Items'!$A$6)+1),289)),"")</f>
        <v/>
      </c>
      <c r="G293">
        <f t="array" ref="G293">IFERROR(INDEX('Work Items'!$J$6:$J$5000,SMALL(IF('Work Items'!$A$6:$A$5000="CR",ROW('Work Items'!$A$6:$A$5000)-ROW('Work Items'!$A$6)+1),289)),"")</f>
        <v/>
      </c>
      <c r="H293">
        <f t="array" ref="H293">IFERROR(INDEX('Work Items'!$K$6:$K$5000,SMALL(IF('Work Items'!$A$6:$A$5000="CR",ROW('Work Items'!$A$6:$A$5000)-ROW('Work Items'!$A$6)+1),289)),"")</f>
        <v/>
      </c>
      <c r="I293">
        <f t="array" ref="I293">IFERROR(INDEX('Work Items'!$L$6:$L$5000,SMALL(IF('Work Items'!$A$6:$A$5000="CR",ROW('Work Items'!$A$6:$A$5000)-ROW('Work Items'!$A$6)+1),289)),"")</f>
        <v/>
      </c>
      <c r="J293" s="217">
        <f t="array" ref="J293">IFERROR(INDEX('Work Items'!$M$6:$M$5000,SMALL(IF('Work Items'!$A$6:$A$5000="CR",ROW('Work Items'!$A$6:$A$5000)-ROW('Work Items'!$A$6)+1),289)),"")</f>
        <v/>
      </c>
      <c r="K293" s="217">
        <f t="array" ref="K293">IFERROR(INDEX('Work Items'!$Q$6:$Q$5000,SMALL(IF('Work Items'!$A$6:$A$5000="CR",ROW('Work Items'!$A$6:$A$5000)-ROW('Work Items'!$A$6)+1),289)),"")</f>
        <v/>
      </c>
      <c r="L293">
        <f t="array" ref="L293">IFERROR(INDEX('Work Items'!$N$6:$N$5000,SMALL(IF('Work Items'!$A$6:$A$5000="CR",ROW('Work Items'!$A$6:$A$5000)-ROW('Work Items'!$A$6)+1),289)),"")</f>
        <v/>
      </c>
      <c r="M293">
        <f t="array" ref="M293">IFERROR(INDEX('Work Items'!$O$6:$O$5000,SMALL(IF('Work Items'!$A$6:$A$5000="CR",ROW('Work Items'!$A$6:$A$5000)-ROW('Work Items'!$A$6)+1),289)),"")</f>
        <v/>
      </c>
    </row>
    <row r="294">
      <c r="A294">
        <f t="array" ref="A294">IFERROR(INDEX('Work Items'!$A$6:$A$5000,SMALL(IF('Work Items'!$A$6:$A$5000="CR",ROW('Work Items'!$A$6:$A$5000)-ROW('Work Items'!$A$6)+1),290)),"")</f>
        <v/>
      </c>
      <c r="B294">
        <f t="array" ref="B294">IFERROR(INDEX('Work Items'!$B$6:$B$5000,SMALL(IF('Work Items'!$A$6:$A$5000="CR",ROW('Work Items'!$A$6:$A$5000)-ROW('Work Items'!$A$6)+1),290)),"")</f>
        <v/>
      </c>
      <c r="C294">
        <f t="array" ref="C294">IFERROR(INDEX('Work Items'!$C$6:$C$5000,SMALL(IF('Work Items'!$A$6:$A$5000="CR",ROW('Work Items'!$A$6:$A$5000)-ROW('Work Items'!$A$6)+1),290)),"")</f>
        <v/>
      </c>
      <c r="D294">
        <f t="array" ref="D294">IFERROR(INDEX('Work Items'!$D$6:$D$5000,SMALL(IF('Work Items'!$A$6:$A$5000="CR",ROW('Work Items'!$A$6:$A$5000)-ROW('Work Items'!$A$6)+1),290)),"")</f>
        <v/>
      </c>
      <c r="E294">
        <f t="array" ref="E294">IFERROR(INDEX('Work Items'!$E$6:$E$5000,SMALL(IF('Work Items'!$A$6:$A$5000="CR",ROW('Work Items'!$A$6:$A$5000)-ROW('Work Items'!$A$6)+1),290)),"")</f>
        <v/>
      </c>
      <c r="F294">
        <f t="array" ref="F294">IFERROR(INDEX('Work Items'!$F$6:$F$5000,SMALL(IF('Work Items'!$A$6:$A$5000="CR",ROW('Work Items'!$A$6:$A$5000)-ROW('Work Items'!$A$6)+1),290)),"")</f>
        <v/>
      </c>
      <c r="G294">
        <f t="array" ref="G294">IFERROR(INDEX('Work Items'!$J$6:$J$5000,SMALL(IF('Work Items'!$A$6:$A$5000="CR",ROW('Work Items'!$A$6:$A$5000)-ROW('Work Items'!$A$6)+1),290)),"")</f>
        <v/>
      </c>
      <c r="H294">
        <f t="array" ref="H294">IFERROR(INDEX('Work Items'!$K$6:$K$5000,SMALL(IF('Work Items'!$A$6:$A$5000="CR",ROW('Work Items'!$A$6:$A$5000)-ROW('Work Items'!$A$6)+1),290)),"")</f>
        <v/>
      </c>
      <c r="I294">
        <f t="array" ref="I294">IFERROR(INDEX('Work Items'!$L$6:$L$5000,SMALL(IF('Work Items'!$A$6:$A$5000="CR",ROW('Work Items'!$A$6:$A$5000)-ROW('Work Items'!$A$6)+1),290)),"")</f>
        <v/>
      </c>
      <c r="J294" s="217">
        <f t="array" ref="J294">IFERROR(INDEX('Work Items'!$M$6:$M$5000,SMALL(IF('Work Items'!$A$6:$A$5000="CR",ROW('Work Items'!$A$6:$A$5000)-ROW('Work Items'!$A$6)+1),290)),"")</f>
        <v/>
      </c>
      <c r="K294" s="217">
        <f t="array" ref="K294">IFERROR(INDEX('Work Items'!$Q$6:$Q$5000,SMALL(IF('Work Items'!$A$6:$A$5000="CR",ROW('Work Items'!$A$6:$A$5000)-ROW('Work Items'!$A$6)+1),290)),"")</f>
        <v/>
      </c>
      <c r="L294">
        <f t="array" ref="L294">IFERROR(INDEX('Work Items'!$N$6:$N$5000,SMALL(IF('Work Items'!$A$6:$A$5000="CR",ROW('Work Items'!$A$6:$A$5000)-ROW('Work Items'!$A$6)+1),290)),"")</f>
        <v/>
      </c>
      <c r="M294">
        <f t="array" ref="M294">IFERROR(INDEX('Work Items'!$O$6:$O$5000,SMALL(IF('Work Items'!$A$6:$A$5000="CR",ROW('Work Items'!$A$6:$A$5000)-ROW('Work Items'!$A$6)+1),290)),"")</f>
        <v/>
      </c>
    </row>
    <row r="295">
      <c r="A295">
        <f t="array" ref="A295">IFERROR(INDEX('Work Items'!$A$6:$A$5000,SMALL(IF('Work Items'!$A$6:$A$5000="CR",ROW('Work Items'!$A$6:$A$5000)-ROW('Work Items'!$A$6)+1),291)),"")</f>
        <v/>
      </c>
      <c r="B295">
        <f t="array" ref="B295">IFERROR(INDEX('Work Items'!$B$6:$B$5000,SMALL(IF('Work Items'!$A$6:$A$5000="CR",ROW('Work Items'!$A$6:$A$5000)-ROW('Work Items'!$A$6)+1),291)),"")</f>
        <v/>
      </c>
      <c r="C295">
        <f t="array" ref="C295">IFERROR(INDEX('Work Items'!$C$6:$C$5000,SMALL(IF('Work Items'!$A$6:$A$5000="CR",ROW('Work Items'!$A$6:$A$5000)-ROW('Work Items'!$A$6)+1),291)),"")</f>
        <v/>
      </c>
      <c r="D295">
        <f t="array" ref="D295">IFERROR(INDEX('Work Items'!$D$6:$D$5000,SMALL(IF('Work Items'!$A$6:$A$5000="CR",ROW('Work Items'!$A$6:$A$5000)-ROW('Work Items'!$A$6)+1),291)),"")</f>
        <v/>
      </c>
      <c r="E295">
        <f t="array" ref="E295">IFERROR(INDEX('Work Items'!$E$6:$E$5000,SMALL(IF('Work Items'!$A$6:$A$5000="CR",ROW('Work Items'!$A$6:$A$5000)-ROW('Work Items'!$A$6)+1),291)),"")</f>
        <v/>
      </c>
      <c r="F295">
        <f t="array" ref="F295">IFERROR(INDEX('Work Items'!$F$6:$F$5000,SMALL(IF('Work Items'!$A$6:$A$5000="CR",ROW('Work Items'!$A$6:$A$5000)-ROW('Work Items'!$A$6)+1),291)),"")</f>
        <v/>
      </c>
      <c r="G295">
        <f t="array" ref="G295">IFERROR(INDEX('Work Items'!$J$6:$J$5000,SMALL(IF('Work Items'!$A$6:$A$5000="CR",ROW('Work Items'!$A$6:$A$5000)-ROW('Work Items'!$A$6)+1),291)),"")</f>
        <v/>
      </c>
      <c r="H295">
        <f t="array" ref="H295">IFERROR(INDEX('Work Items'!$K$6:$K$5000,SMALL(IF('Work Items'!$A$6:$A$5000="CR",ROW('Work Items'!$A$6:$A$5000)-ROW('Work Items'!$A$6)+1),291)),"")</f>
        <v/>
      </c>
      <c r="I295">
        <f t="array" ref="I295">IFERROR(INDEX('Work Items'!$L$6:$L$5000,SMALL(IF('Work Items'!$A$6:$A$5000="CR",ROW('Work Items'!$A$6:$A$5000)-ROW('Work Items'!$A$6)+1),291)),"")</f>
        <v/>
      </c>
      <c r="J295" s="217">
        <f t="array" ref="J295">IFERROR(INDEX('Work Items'!$M$6:$M$5000,SMALL(IF('Work Items'!$A$6:$A$5000="CR",ROW('Work Items'!$A$6:$A$5000)-ROW('Work Items'!$A$6)+1),291)),"")</f>
        <v/>
      </c>
      <c r="K295" s="217">
        <f t="array" ref="K295">IFERROR(INDEX('Work Items'!$Q$6:$Q$5000,SMALL(IF('Work Items'!$A$6:$A$5000="CR",ROW('Work Items'!$A$6:$A$5000)-ROW('Work Items'!$A$6)+1),291)),"")</f>
        <v/>
      </c>
      <c r="L295">
        <f t="array" ref="L295">IFERROR(INDEX('Work Items'!$N$6:$N$5000,SMALL(IF('Work Items'!$A$6:$A$5000="CR",ROW('Work Items'!$A$6:$A$5000)-ROW('Work Items'!$A$6)+1),291)),"")</f>
        <v/>
      </c>
      <c r="M295">
        <f t="array" ref="M295">IFERROR(INDEX('Work Items'!$O$6:$O$5000,SMALL(IF('Work Items'!$A$6:$A$5000="CR",ROW('Work Items'!$A$6:$A$5000)-ROW('Work Items'!$A$6)+1),291)),"")</f>
        <v/>
      </c>
    </row>
    <row r="296">
      <c r="A296">
        <f t="array" ref="A296">IFERROR(INDEX('Work Items'!$A$6:$A$5000,SMALL(IF('Work Items'!$A$6:$A$5000="CR",ROW('Work Items'!$A$6:$A$5000)-ROW('Work Items'!$A$6)+1),292)),"")</f>
        <v/>
      </c>
      <c r="B296">
        <f t="array" ref="B296">IFERROR(INDEX('Work Items'!$B$6:$B$5000,SMALL(IF('Work Items'!$A$6:$A$5000="CR",ROW('Work Items'!$A$6:$A$5000)-ROW('Work Items'!$A$6)+1),292)),"")</f>
        <v/>
      </c>
      <c r="C296">
        <f t="array" ref="C296">IFERROR(INDEX('Work Items'!$C$6:$C$5000,SMALL(IF('Work Items'!$A$6:$A$5000="CR",ROW('Work Items'!$A$6:$A$5000)-ROW('Work Items'!$A$6)+1),292)),"")</f>
        <v/>
      </c>
      <c r="D296">
        <f t="array" ref="D296">IFERROR(INDEX('Work Items'!$D$6:$D$5000,SMALL(IF('Work Items'!$A$6:$A$5000="CR",ROW('Work Items'!$A$6:$A$5000)-ROW('Work Items'!$A$6)+1),292)),"")</f>
        <v/>
      </c>
      <c r="E296">
        <f t="array" ref="E296">IFERROR(INDEX('Work Items'!$E$6:$E$5000,SMALL(IF('Work Items'!$A$6:$A$5000="CR",ROW('Work Items'!$A$6:$A$5000)-ROW('Work Items'!$A$6)+1),292)),"")</f>
        <v/>
      </c>
      <c r="F296">
        <f t="array" ref="F296">IFERROR(INDEX('Work Items'!$F$6:$F$5000,SMALL(IF('Work Items'!$A$6:$A$5000="CR",ROW('Work Items'!$A$6:$A$5000)-ROW('Work Items'!$A$6)+1),292)),"")</f>
        <v/>
      </c>
      <c r="G296">
        <f t="array" ref="G296">IFERROR(INDEX('Work Items'!$J$6:$J$5000,SMALL(IF('Work Items'!$A$6:$A$5000="CR",ROW('Work Items'!$A$6:$A$5000)-ROW('Work Items'!$A$6)+1),292)),"")</f>
        <v/>
      </c>
      <c r="H296">
        <f t="array" ref="H296">IFERROR(INDEX('Work Items'!$K$6:$K$5000,SMALL(IF('Work Items'!$A$6:$A$5000="CR",ROW('Work Items'!$A$6:$A$5000)-ROW('Work Items'!$A$6)+1),292)),"")</f>
        <v/>
      </c>
      <c r="I296">
        <f t="array" ref="I296">IFERROR(INDEX('Work Items'!$L$6:$L$5000,SMALL(IF('Work Items'!$A$6:$A$5000="CR",ROW('Work Items'!$A$6:$A$5000)-ROW('Work Items'!$A$6)+1),292)),"")</f>
        <v/>
      </c>
      <c r="J296" s="217">
        <f t="array" ref="J296">IFERROR(INDEX('Work Items'!$M$6:$M$5000,SMALL(IF('Work Items'!$A$6:$A$5000="CR",ROW('Work Items'!$A$6:$A$5000)-ROW('Work Items'!$A$6)+1),292)),"")</f>
        <v/>
      </c>
      <c r="K296" s="217">
        <f t="array" ref="K296">IFERROR(INDEX('Work Items'!$Q$6:$Q$5000,SMALL(IF('Work Items'!$A$6:$A$5000="CR",ROW('Work Items'!$A$6:$A$5000)-ROW('Work Items'!$A$6)+1),292)),"")</f>
        <v/>
      </c>
      <c r="L296">
        <f t="array" ref="L296">IFERROR(INDEX('Work Items'!$N$6:$N$5000,SMALL(IF('Work Items'!$A$6:$A$5000="CR",ROW('Work Items'!$A$6:$A$5000)-ROW('Work Items'!$A$6)+1),292)),"")</f>
        <v/>
      </c>
      <c r="M296">
        <f t="array" ref="M296">IFERROR(INDEX('Work Items'!$O$6:$O$5000,SMALL(IF('Work Items'!$A$6:$A$5000="CR",ROW('Work Items'!$A$6:$A$5000)-ROW('Work Items'!$A$6)+1),292)),"")</f>
        <v/>
      </c>
    </row>
    <row r="297">
      <c r="A297">
        <f t="array" ref="A297">IFERROR(INDEX('Work Items'!$A$6:$A$5000,SMALL(IF('Work Items'!$A$6:$A$5000="CR",ROW('Work Items'!$A$6:$A$5000)-ROW('Work Items'!$A$6)+1),293)),"")</f>
        <v/>
      </c>
      <c r="B297">
        <f t="array" ref="B297">IFERROR(INDEX('Work Items'!$B$6:$B$5000,SMALL(IF('Work Items'!$A$6:$A$5000="CR",ROW('Work Items'!$A$6:$A$5000)-ROW('Work Items'!$A$6)+1),293)),"")</f>
        <v/>
      </c>
      <c r="C297">
        <f t="array" ref="C297">IFERROR(INDEX('Work Items'!$C$6:$C$5000,SMALL(IF('Work Items'!$A$6:$A$5000="CR",ROW('Work Items'!$A$6:$A$5000)-ROW('Work Items'!$A$6)+1),293)),"")</f>
        <v/>
      </c>
      <c r="D297">
        <f t="array" ref="D297">IFERROR(INDEX('Work Items'!$D$6:$D$5000,SMALL(IF('Work Items'!$A$6:$A$5000="CR",ROW('Work Items'!$A$6:$A$5000)-ROW('Work Items'!$A$6)+1),293)),"")</f>
        <v/>
      </c>
      <c r="E297">
        <f t="array" ref="E297">IFERROR(INDEX('Work Items'!$E$6:$E$5000,SMALL(IF('Work Items'!$A$6:$A$5000="CR",ROW('Work Items'!$A$6:$A$5000)-ROW('Work Items'!$A$6)+1),293)),"")</f>
        <v/>
      </c>
      <c r="F297">
        <f t="array" ref="F297">IFERROR(INDEX('Work Items'!$F$6:$F$5000,SMALL(IF('Work Items'!$A$6:$A$5000="CR",ROW('Work Items'!$A$6:$A$5000)-ROW('Work Items'!$A$6)+1),293)),"")</f>
        <v/>
      </c>
      <c r="G297">
        <f t="array" ref="G297">IFERROR(INDEX('Work Items'!$J$6:$J$5000,SMALL(IF('Work Items'!$A$6:$A$5000="CR",ROW('Work Items'!$A$6:$A$5000)-ROW('Work Items'!$A$6)+1),293)),"")</f>
        <v/>
      </c>
      <c r="H297">
        <f t="array" ref="H297">IFERROR(INDEX('Work Items'!$K$6:$K$5000,SMALL(IF('Work Items'!$A$6:$A$5000="CR",ROW('Work Items'!$A$6:$A$5000)-ROW('Work Items'!$A$6)+1),293)),"")</f>
        <v/>
      </c>
      <c r="I297">
        <f t="array" ref="I297">IFERROR(INDEX('Work Items'!$L$6:$L$5000,SMALL(IF('Work Items'!$A$6:$A$5000="CR",ROW('Work Items'!$A$6:$A$5000)-ROW('Work Items'!$A$6)+1),293)),"")</f>
        <v/>
      </c>
      <c r="J297" s="217">
        <f t="array" ref="J297">IFERROR(INDEX('Work Items'!$M$6:$M$5000,SMALL(IF('Work Items'!$A$6:$A$5000="CR",ROW('Work Items'!$A$6:$A$5000)-ROW('Work Items'!$A$6)+1),293)),"")</f>
        <v/>
      </c>
      <c r="K297" s="217">
        <f t="array" ref="K297">IFERROR(INDEX('Work Items'!$Q$6:$Q$5000,SMALL(IF('Work Items'!$A$6:$A$5000="CR",ROW('Work Items'!$A$6:$A$5000)-ROW('Work Items'!$A$6)+1),293)),"")</f>
        <v/>
      </c>
      <c r="L297">
        <f t="array" ref="L297">IFERROR(INDEX('Work Items'!$N$6:$N$5000,SMALL(IF('Work Items'!$A$6:$A$5000="CR",ROW('Work Items'!$A$6:$A$5000)-ROW('Work Items'!$A$6)+1),293)),"")</f>
        <v/>
      </c>
      <c r="M297">
        <f t="array" ref="M297">IFERROR(INDEX('Work Items'!$O$6:$O$5000,SMALL(IF('Work Items'!$A$6:$A$5000="CR",ROW('Work Items'!$A$6:$A$5000)-ROW('Work Items'!$A$6)+1),293)),"")</f>
        <v/>
      </c>
    </row>
    <row r="298">
      <c r="A298">
        <f t="array" ref="A298">IFERROR(INDEX('Work Items'!$A$6:$A$5000,SMALL(IF('Work Items'!$A$6:$A$5000="CR",ROW('Work Items'!$A$6:$A$5000)-ROW('Work Items'!$A$6)+1),294)),"")</f>
        <v/>
      </c>
      <c r="B298">
        <f t="array" ref="B298">IFERROR(INDEX('Work Items'!$B$6:$B$5000,SMALL(IF('Work Items'!$A$6:$A$5000="CR",ROW('Work Items'!$A$6:$A$5000)-ROW('Work Items'!$A$6)+1),294)),"")</f>
        <v/>
      </c>
      <c r="C298">
        <f t="array" ref="C298">IFERROR(INDEX('Work Items'!$C$6:$C$5000,SMALL(IF('Work Items'!$A$6:$A$5000="CR",ROW('Work Items'!$A$6:$A$5000)-ROW('Work Items'!$A$6)+1),294)),"")</f>
        <v/>
      </c>
      <c r="D298">
        <f t="array" ref="D298">IFERROR(INDEX('Work Items'!$D$6:$D$5000,SMALL(IF('Work Items'!$A$6:$A$5000="CR",ROW('Work Items'!$A$6:$A$5000)-ROW('Work Items'!$A$6)+1),294)),"")</f>
        <v/>
      </c>
      <c r="E298">
        <f t="array" ref="E298">IFERROR(INDEX('Work Items'!$E$6:$E$5000,SMALL(IF('Work Items'!$A$6:$A$5000="CR",ROW('Work Items'!$A$6:$A$5000)-ROW('Work Items'!$A$6)+1),294)),"")</f>
        <v/>
      </c>
      <c r="F298">
        <f t="array" ref="F298">IFERROR(INDEX('Work Items'!$F$6:$F$5000,SMALL(IF('Work Items'!$A$6:$A$5000="CR",ROW('Work Items'!$A$6:$A$5000)-ROW('Work Items'!$A$6)+1),294)),"")</f>
        <v/>
      </c>
      <c r="G298">
        <f t="array" ref="G298">IFERROR(INDEX('Work Items'!$J$6:$J$5000,SMALL(IF('Work Items'!$A$6:$A$5000="CR",ROW('Work Items'!$A$6:$A$5000)-ROW('Work Items'!$A$6)+1),294)),"")</f>
        <v/>
      </c>
      <c r="H298">
        <f t="array" ref="H298">IFERROR(INDEX('Work Items'!$K$6:$K$5000,SMALL(IF('Work Items'!$A$6:$A$5000="CR",ROW('Work Items'!$A$6:$A$5000)-ROW('Work Items'!$A$6)+1),294)),"")</f>
        <v/>
      </c>
      <c r="I298">
        <f t="array" ref="I298">IFERROR(INDEX('Work Items'!$L$6:$L$5000,SMALL(IF('Work Items'!$A$6:$A$5000="CR",ROW('Work Items'!$A$6:$A$5000)-ROW('Work Items'!$A$6)+1),294)),"")</f>
        <v/>
      </c>
      <c r="J298" s="217">
        <f t="array" ref="J298">IFERROR(INDEX('Work Items'!$M$6:$M$5000,SMALL(IF('Work Items'!$A$6:$A$5000="CR",ROW('Work Items'!$A$6:$A$5000)-ROW('Work Items'!$A$6)+1),294)),"")</f>
        <v/>
      </c>
      <c r="K298" s="217">
        <f t="array" ref="K298">IFERROR(INDEX('Work Items'!$Q$6:$Q$5000,SMALL(IF('Work Items'!$A$6:$A$5000="CR",ROW('Work Items'!$A$6:$A$5000)-ROW('Work Items'!$A$6)+1),294)),"")</f>
        <v/>
      </c>
      <c r="L298">
        <f t="array" ref="L298">IFERROR(INDEX('Work Items'!$N$6:$N$5000,SMALL(IF('Work Items'!$A$6:$A$5000="CR",ROW('Work Items'!$A$6:$A$5000)-ROW('Work Items'!$A$6)+1),294)),"")</f>
        <v/>
      </c>
      <c r="M298">
        <f t="array" ref="M298">IFERROR(INDEX('Work Items'!$O$6:$O$5000,SMALL(IF('Work Items'!$A$6:$A$5000="CR",ROW('Work Items'!$A$6:$A$5000)-ROW('Work Items'!$A$6)+1),294)),"")</f>
        <v/>
      </c>
    </row>
    <row r="299">
      <c r="A299">
        <f t="array" ref="A299">IFERROR(INDEX('Work Items'!$A$6:$A$5000,SMALL(IF('Work Items'!$A$6:$A$5000="CR",ROW('Work Items'!$A$6:$A$5000)-ROW('Work Items'!$A$6)+1),295)),"")</f>
        <v/>
      </c>
      <c r="B299">
        <f t="array" ref="B299">IFERROR(INDEX('Work Items'!$B$6:$B$5000,SMALL(IF('Work Items'!$A$6:$A$5000="CR",ROW('Work Items'!$A$6:$A$5000)-ROW('Work Items'!$A$6)+1),295)),"")</f>
        <v/>
      </c>
      <c r="C299">
        <f t="array" ref="C299">IFERROR(INDEX('Work Items'!$C$6:$C$5000,SMALL(IF('Work Items'!$A$6:$A$5000="CR",ROW('Work Items'!$A$6:$A$5000)-ROW('Work Items'!$A$6)+1),295)),"")</f>
        <v/>
      </c>
      <c r="D299">
        <f t="array" ref="D299">IFERROR(INDEX('Work Items'!$D$6:$D$5000,SMALL(IF('Work Items'!$A$6:$A$5000="CR",ROW('Work Items'!$A$6:$A$5000)-ROW('Work Items'!$A$6)+1),295)),"")</f>
        <v/>
      </c>
      <c r="E299">
        <f t="array" ref="E299">IFERROR(INDEX('Work Items'!$E$6:$E$5000,SMALL(IF('Work Items'!$A$6:$A$5000="CR",ROW('Work Items'!$A$6:$A$5000)-ROW('Work Items'!$A$6)+1),295)),"")</f>
        <v/>
      </c>
      <c r="F299">
        <f t="array" ref="F299">IFERROR(INDEX('Work Items'!$F$6:$F$5000,SMALL(IF('Work Items'!$A$6:$A$5000="CR",ROW('Work Items'!$A$6:$A$5000)-ROW('Work Items'!$A$6)+1),295)),"")</f>
        <v/>
      </c>
      <c r="G299">
        <f t="array" ref="G299">IFERROR(INDEX('Work Items'!$J$6:$J$5000,SMALL(IF('Work Items'!$A$6:$A$5000="CR",ROW('Work Items'!$A$6:$A$5000)-ROW('Work Items'!$A$6)+1),295)),"")</f>
        <v/>
      </c>
      <c r="H299">
        <f t="array" ref="H299">IFERROR(INDEX('Work Items'!$K$6:$K$5000,SMALL(IF('Work Items'!$A$6:$A$5000="CR",ROW('Work Items'!$A$6:$A$5000)-ROW('Work Items'!$A$6)+1),295)),"")</f>
        <v/>
      </c>
      <c r="I299">
        <f t="array" ref="I299">IFERROR(INDEX('Work Items'!$L$6:$L$5000,SMALL(IF('Work Items'!$A$6:$A$5000="CR",ROW('Work Items'!$A$6:$A$5000)-ROW('Work Items'!$A$6)+1),295)),"")</f>
        <v/>
      </c>
      <c r="J299" s="217">
        <f t="array" ref="J299">IFERROR(INDEX('Work Items'!$M$6:$M$5000,SMALL(IF('Work Items'!$A$6:$A$5000="CR",ROW('Work Items'!$A$6:$A$5000)-ROW('Work Items'!$A$6)+1),295)),"")</f>
        <v/>
      </c>
      <c r="K299" s="217">
        <f t="array" ref="K299">IFERROR(INDEX('Work Items'!$Q$6:$Q$5000,SMALL(IF('Work Items'!$A$6:$A$5000="CR",ROW('Work Items'!$A$6:$A$5000)-ROW('Work Items'!$A$6)+1),295)),"")</f>
        <v/>
      </c>
      <c r="L299">
        <f t="array" ref="L299">IFERROR(INDEX('Work Items'!$N$6:$N$5000,SMALL(IF('Work Items'!$A$6:$A$5000="CR",ROW('Work Items'!$A$6:$A$5000)-ROW('Work Items'!$A$6)+1),295)),"")</f>
        <v/>
      </c>
      <c r="M299">
        <f t="array" ref="M299">IFERROR(INDEX('Work Items'!$O$6:$O$5000,SMALL(IF('Work Items'!$A$6:$A$5000="CR",ROW('Work Items'!$A$6:$A$5000)-ROW('Work Items'!$A$6)+1),295)),"")</f>
        <v/>
      </c>
    </row>
    <row r="300">
      <c r="A300">
        <f t="array" ref="A300">IFERROR(INDEX('Work Items'!$A$6:$A$5000,SMALL(IF('Work Items'!$A$6:$A$5000="CR",ROW('Work Items'!$A$6:$A$5000)-ROW('Work Items'!$A$6)+1),296)),"")</f>
        <v/>
      </c>
      <c r="B300">
        <f t="array" ref="B300">IFERROR(INDEX('Work Items'!$B$6:$B$5000,SMALL(IF('Work Items'!$A$6:$A$5000="CR",ROW('Work Items'!$A$6:$A$5000)-ROW('Work Items'!$A$6)+1),296)),"")</f>
        <v/>
      </c>
      <c r="C300">
        <f t="array" ref="C300">IFERROR(INDEX('Work Items'!$C$6:$C$5000,SMALL(IF('Work Items'!$A$6:$A$5000="CR",ROW('Work Items'!$A$6:$A$5000)-ROW('Work Items'!$A$6)+1),296)),"")</f>
        <v/>
      </c>
      <c r="D300">
        <f t="array" ref="D300">IFERROR(INDEX('Work Items'!$D$6:$D$5000,SMALL(IF('Work Items'!$A$6:$A$5000="CR",ROW('Work Items'!$A$6:$A$5000)-ROW('Work Items'!$A$6)+1),296)),"")</f>
        <v/>
      </c>
      <c r="E300">
        <f t="array" ref="E300">IFERROR(INDEX('Work Items'!$E$6:$E$5000,SMALL(IF('Work Items'!$A$6:$A$5000="CR",ROW('Work Items'!$A$6:$A$5000)-ROW('Work Items'!$A$6)+1),296)),"")</f>
        <v/>
      </c>
      <c r="F300">
        <f t="array" ref="F300">IFERROR(INDEX('Work Items'!$F$6:$F$5000,SMALL(IF('Work Items'!$A$6:$A$5000="CR",ROW('Work Items'!$A$6:$A$5000)-ROW('Work Items'!$A$6)+1),296)),"")</f>
        <v/>
      </c>
      <c r="G300">
        <f t="array" ref="G300">IFERROR(INDEX('Work Items'!$J$6:$J$5000,SMALL(IF('Work Items'!$A$6:$A$5000="CR",ROW('Work Items'!$A$6:$A$5000)-ROW('Work Items'!$A$6)+1),296)),"")</f>
        <v/>
      </c>
      <c r="H300">
        <f t="array" ref="H300">IFERROR(INDEX('Work Items'!$K$6:$K$5000,SMALL(IF('Work Items'!$A$6:$A$5000="CR",ROW('Work Items'!$A$6:$A$5000)-ROW('Work Items'!$A$6)+1),296)),"")</f>
        <v/>
      </c>
      <c r="I300">
        <f t="array" ref="I300">IFERROR(INDEX('Work Items'!$L$6:$L$5000,SMALL(IF('Work Items'!$A$6:$A$5000="CR",ROW('Work Items'!$A$6:$A$5000)-ROW('Work Items'!$A$6)+1),296)),"")</f>
        <v/>
      </c>
      <c r="J300" s="217">
        <f t="array" ref="J300">IFERROR(INDEX('Work Items'!$M$6:$M$5000,SMALL(IF('Work Items'!$A$6:$A$5000="CR",ROW('Work Items'!$A$6:$A$5000)-ROW('Work Items'!$A$6)+1),296)),"")</f>
        <v/>
      </c>
      <c r="K300" s="217">
        <f t="array" ref="K300">IFERROR(INDEX('Work Items'!$Q$6:$Q$5000,SMALL(IF('Work Items'!$A$6:$A$5000="CR",ROW('Work Items'!$A$6:$A$5000)-ROW('Work Items'!$A$6)+1),296)),"")</f>
        <v/>
      </c>
      <c r="L300">
        <f t="array" ref="L300">IFERROR(INDEX('Work Items'!$N$6:$N$5000,SMALL(IF('Work Items'!$A$6:$A$5000="CR",ROW('Work Items'!$A$6:$A$5000)-ROW('Work Items'!$A$6)+1),296)),"")</f>
        <v/>
      </c>
      <c r="M300">
        <f t="array" ref="M300">IFERROR(INDEX('Work Items'!$O$6:$O$5000,SMALL(IF('Work Items'!$A$6:$A$5000="CR",ROW('Work Items'!$A$6:$A$5000)-ROW('Work Items'!$A$6)+1),296)),"")</f>
        <v/>
      </c>
    </row>
    <row r="301">
      <c r="A301">
        <f t="array" ref="A301">IFERROR(INDEX('Work Items'!$A$6:$A$5000,SMALL(IF('Work Items'!$A$6:$A$5000="CR",ROW('Work Items'!$A$6:$A$5000)-ROW('Work Items'!$A$6)+1),297)),"")</f>
        <v/>
      </c>
      <c r="B301">
        <f t="array" ref="B301">IFERROR(INDEX('Work Items'!$B$6:$B$5000,SMALL(IF('Work Items'!$A$6:$A$5000="CR",ROW('Work Items'!$A$6:$A$5000)-ROW('Work Items'!$A$6)+1),297)),"")</f>
        <v/>
      </c>
      <c r="C301">
        <f t="array" ref="C301">IFERROR(INDEX('Work Items'!$C$6:$C$5000,SMALL(IF('Work Items'!$A$6:$A$5000="CR",ROW('Work Items'!$A$6:$A$5000)-ROW('Work Items'!$A$6)+1),297)),"")</f>
        <v/>
      </c>
      <c r="D301">
        <f t="array" ref="D301">IFERROR(INDEX('Work Items'!$D$6:$D$5000,SMALL(IF('Work Items'!$A$6:$A$5000="CR",ROW('Work Items'!$A$6:$A$5000)-ROW('Work Items'!$A$6)+1),297)),"")</f>
        <v/>
      </c>
      <c r="E301">
        <f t="array" ref="E301">IFERROR(INDEX('Work Items'!$E$6:$E$5000,SMALL(IF('Work Items'!$A$6:$A$5000="CR",ROW('Work Items'!$A$6:$A$5000)-ROW('Work Items'!$A$6)+1),297)),"")</f>
        <v/>
      </c>
      <c r="F301">
        <f t="array" ref="F301">IFERROR(INDEX('Work Items'!$F$6:$F$5000,SMALL(IF('Work Items'!$A$6:$A$5000="CR",ROW('Work Items'!$A$6:$A$5000)-ROW('Work Items'!$A$6)+1),297)),"")</f>
        <v/>
      </c>
      <c r="G301">
        <f t="array" ref="G301">IFERROR(INDEX('Work Items'!$J$6:$J$5000,SMALL(IF('Work Items'!$A$6:$A$5000="CR",ROW('Work Items'!$A$6:$A$5000)-ROW('Work Items'!$A$6)+1),297)),"")</f>
        <v/>
      </c>
      <c r="H301">
        <f t="array" ref="H301">IFERROR(INDEX('Work Items'!$K$6:$K$5000,SMALL(IF('Work Items'!$A$6:$A$5000="CR",ROW('Work Items'!$A$6:$A$5000)-ROW('Work Items'!$A$6)+1),297)),"")</f>
        <v/>
      </c>
      <c r="I301">
        <f t="array" ref="I301">IFERROR(INDEX('Work Items'!$L$6:$L$5000,SMALL(IF('Work Items'!$A$6:$A$5000="CR",ROW('Work Items'!$A$6:$A$5000)-ROW('Work Items'!$A$6)+1),297)),"")</f>
        <v/>
      </c>
      <c r="J301" s="217">
        <f t="array" ref="J301">IFERROR(INDEX('Work Items'!$M$6:$M$5000,SMALL(IF('Work Items'!$A$6:$A$5000="CR",ROW('Work Items'!$A$6:$A$5000)-ROW('Work Items'!$A$6)+1),297)),"")</f>
        <v/>
      </c>
      <c r="K301" s="217">
        <f t="array" ref="K301">IFERROR(INDEX('Work Items'!$Q$6:$Q$5000,SMALL(IF('Work Items'!$A$6:$A$5000="CR",ROW('Work Items'!$A$6:$A$5000)-ROW('Work Items'!$A$6)+1),297)),"")</f>
        <v/>
      </c>
      <c r="L301">
        <f t="array" ref="L301">IFERROR(INDEX('Work Items'!$N$6:$N$5000,SMALL(IF('Work Items'!$A$6:$A$5000="CR",ROW('Work Items'!$A$6:$A$5000)-ROW('Work Items'!$A$6)+1),297)),"")</f>
        <v/>
      </c>
      <c r="M301">
        <f t="array" ref="M301">IFERROR(INDEX('Work Items'!$O$6:$O$5000,SMALL(IF('Work Items'!$A$6:$A$5000="CR",ROW('Work Items'!$A$6:$A$5000)-ROW('Work Items'!$A$6)+1),297)),"")</f>
        <v/>
      </c>
    </row>
    <row r="302">
      <c r="A302">
        <f t="array" ref="A302">IFERROR(INDEX('Work Items'!$A$6:$A$5000,SMALL(IF('Work Items'!$A$6:$A$5000="CR",ROW('Work Items'!$A$6:$A$5000)-ROW('Work Items'!$A$6)+1),298)),"")</f>
        <v/>
      </c>
      <c r="B302">
        <f t="array" ref="B302">IFERROR(INDEX('Work Items'!$B$6:$B$5000,SMALL(IF('Work Items'!$A$6:$A$5000="CR",ROW('Work Items'!$A$6:$A$5000)-ROW('Work Items'!$A$6)+1),298)),"")</f>
        <v/>
      </c>
      <c r="C302">
        <f t="array" ref="C302">IFERROR(INDEX('Work Items'!$C$6:$C$5000,SMALL(IF('Work Items'!$A$6:$A$5000="CR",ROW('Work Items'!$A$6:$A$5000)-ROW('Work Items'!$A$6)+1),298)),"")</f>
        <v/>
      </c>
      <c r="D302">
        <f t="array" ref="D302">IFERROR(INDEX('Work Items'!$D$6:$D$5000,SMALL(IF('Work Items'!$A$6:$A$5000="CR",ROW('Work Items'!$A$6:$A$5000)-ROW('Work Items'!$A$6)+1),298)),"")</f>
        <v/>
      </c>
      <c r="E302">
        <f t="array" ref="E302">IFERROR(INDEX('Work Items'!$E$6:$E$5000,SMALL(IF('Work Items'!$A$6:$A$5000="CR",ROW('Work Items'!$A$6:$A$5000)-ROW('Work Items'!$A$6)+1),298)),"")</f>
        <v/>
      </c>
      <c r="F302">
        <f t="array" ref="F302">IFERROR(INDEX('Work Items'!$F$6:$F$5000,SMALL(IF('Work Items'!$A$6:$A$5000="CR",ROW('Work Items'!$A$6:$A$5000)-ROW('Work Items'!$A$6)+1),298)),"")</f>
        <v/>
      </c>
      <c r="G302">
        <f t="array" ref="G302">IFERROR(INDEX('Work Items'!$J$6:$J$5000,SMALL(IF('Work Items'!$A$6:$A$5000="CR",ROW('Work Items'!$A$6:$A$5000)-ROW('Work Items'!$A$6)+1),298)),"")</f>
        <v/>
      </c>
      <c r="H302">
        <f t="array" ref="H302">IFERROR(INDEX('Work Items'!$K$6:$K$5000,SMALL(IF('Work Items'!$A$6:$A$5000="CR",ROW('Work Items'!$A$6:$A$5000)-ROW('Work Items'!$A$6)+1),298)),"")</f>
        <v/>
      </c>
      <c r="I302">
        <f t="array" ref="I302">IFERROR(INDEX('Work Items'!$L$6:$L$5000,SMALL(IF('Work Items'!$A$6:$A$5000="CR",ROW('Work Items'!$A$6:$A$5000)-ROW('Work Items'!$A$6)+1),298)),"")</f>
        <v/>
      </c>
      <c r="J302" s="217">
        <f t="array" ref="J302">IFERROR(INDEX('Work Items'!$M$6:$M$5000,SMALL(IF('Work Items'!$A$6:$A$5000="CR",ROW('Work Items'!$A$6:$A$5000)-ROW('Work Items'!$A$6)+1),298)),"")</f>
        <v/>
      </c>
      <c r="K302" s="217">
        <f t="array" ref="K302">IFERROR(INDEX('Work Items'!$Q$6:$Q$5000,SMALL(IF('Work Items'!$A$6:$A$5000="CR",ROW('Work Items'!$A$6:$A$5000)-ROW('Work Items'!$A$6)+1),298)),"")</f>
        <v/>
      </c>
      <c r="L302">
        <f t="array" ref="L302">IFERROR(INDEX('Work Items'!$N$6:$N$5000,SMALL(IF('Work Items'!$A$6:$A$5000="CR",ROW('Work Items'!$A$6:$A$5000)-ROW('Work Items'!$A$6)+1),298)),"")</f>
        <v/>
      </c>
      <c r="M302">
        <f t="array" ref="M302">IFERROR(INDEX('Work Items'!$O$6:$O$5000,SMALL(IF('Work Items'!$A$6:$A$5000="CR",ROW('Work Items'!$A$6:$A$5000)-ROW('Work Items'!$A$6)+1),298)),"")</f>
        <v/>
      </c>
    </row>
    <row r="303">
      <c r="A303">
        <f t="array" ref="A303">IFERROR(INDEX('Work Items'!$A$6:$A$5000,SMALL(IF('Work Items'!$A$6:$A$5000="CR",ROW('Work Items'!$A$6:$A$5000)-ROW('Work Items'!$A$6)+1),299)),"")</f>
        <v/>
      </c>
      <c r="B303">
        <f t="array" ref="B303">IFERROR(INDEX('Work Items'!$B$6:$B$5000,SMALL(IF('Work Items'!$A$6:$A$5000="CR",ROW('Work Items'!$A$6:$A$5000)-ROW('Work Items'!$A$6)+1),299)),"")</f>
        <v/>
      </c>
      <c r="C303">
        <f t="array" ref="C303">IFERROR(INDEX('Work Items'!$C$6:$C$5000,SMALL(IF('Work Items'!$A$6:$A$5000="CR",ROW('Work Items'!$A$6:$A$5000)-ROW('Work Items'!$A$6)+1),299)),"")</f>
        <v/>
      </c>
      <c r="D303">
        <f t="array" ref="D303">IFERROR(INDEX('Work Items'!$D$6:$D$5000,SMALL(IF('Work Items'!$A$6:$A$5000="CR",ROW('Work Items'!$A$6:$A$5000)-ROW('Work Items'!$A$6)+1),299)),"")</f>
        <v/>
      </c>
      <c r="E303">
        <f t="array" ref="E303">IFERROR(INDEX('Work Items'!$E$6:$E$5000,SMALL(IF('Work Items'!$A$6:$A$5000="CR",ROW('Work Items'!$A$6:$A$5000)-ROW('Work Items'!$A$6)+1),299)),"")</f>
        <v/>
      </c>
      <c r="F303">
        <f t="array" ref="F303">IFERROR(INDEX('Work Items'!$F$6:$F$5000,SMALL(IF('Work Items'!$A$6:$A$5000="CR",ROW('Work Items'!$A$6:$A$5000)-ROW('Work Items'!$A$6)+1),299)),"")</f>
        <v/>
      </c>
      <c r="G303">
        <f t="array" ref="G303">IFERROR(INDEX('Work Items'!$J$6:$J$5000,SMALL(IF('Work Items'!$A$6:$A$5000="CR",ROW('Work Items'!$A$6:$A$5000)-ROW('Work Items'!$A$6)+1),299)),"")</f>
        <v/>
      </c>
      <c r="H303">
        <f t="array" ref="H303">IFERROR(INDEX('Work Items'!$K$6:$K$5000,SMALL(IF('Work Items'!$A$6:$A$5000="CR",ROW('Work Items'!$A$6:$A$5000)-ROW('Work Items'!$A$6)+1),299)),"")</f>
        <v/>
      </c>
      <c r="I303">
        <f t="array" ref="I303">IFERROR(INDEX('Work Items'!$L$6:$L$5000,SMALL(IF('Work Items'!$A$6:$A$5000="CR",ROW('Work Items'!$A$6:$A$5000)-ROW('Work Items'!$A$6)+1),299)),"")</f>
        <v/>
      </c>
      <c r="J303" s="217">
        <f t="array" ref="J303">IFERROR(INDEX('Work Items'!$M$6:$M$5000,SMALL(IF('Work Items'!$A$6:$A$5000="CR",ROW('Work Items'!$A$6:$A$5000)-ROW('Work Items'!$A$6)+1),299)),"")</f>
        <v/>
      </c>
      <c r="K303" s="217">
        <f t="array" ref="K303">IFERROR(INDEX('Work Items'!$Q$6:$Q$5000,SMALL(IF('Work Items'!$A$6:$A$5000="CR",ROW('Work Items'!$A$6:$A$5000)-ROW('Work Items'!$A$6)+1),299)),"")</f>
        <v/>
      </c>
      <c r="L303">
        <f t="array" ref="L303">IFERROR(INDEX('Work Items'!$N$6:$N$5000,SMALL(IF('Work Items'!$A$6:$A$5000="CR",ROW('Work Items'!$A$6:$A$5000)-ROW('Work Items'!$A$6)+1),299)),"")</f>
        <v/>
      </c>
      <c r="M303">
        <f t="array" ref="M303">IFERROR(INDEX('Work Items'!$O$6:$O$5000,SMALL(IF('Work Items'!$A$6:$A$5000="CR",ROW('Work Items'!$A$6:$A$5000)-ROW('Work Items'!$A$6)+1),299)),"")</f>
        <v/>
      </c>
    </row>
    <row r="304">
      <c r="A304">
        <f t="array" ref="A304">IFERROR(INDEX('Work Items'!$A$6:$A$5000,SMALL(IF('Work Items'!$A$6:$A$5000="CR",ROW('Work Items'!$A$6:$A$5000)-ROW('Work Items'!$A$6)+1),300)),"")</f>
        <v/>
      </c>
      <c r="B304">
        <f t="array" ref="B304">IFERROR(INDEX('Work Items'!$B$6:$B$5000,SMALL(IF('Work Items'!$A$6:$A$5000="CR",ROW('Work Items'!$A$6:$A$5000)-ROW('Work Items'!$A$6)+1),300)),"")</f>
        <v/>
      </c>
      <c r="C304">
        <f t="array" ref="C304">IFERROR(INDEX('Work Items'!$C$6:$C$5000,SMALL(IF('Work Items'!$A$6:$A$5000="CR",ROW('Work Items'!$A$6:$A$5000)-ROW('Work Items'!$A$6)+1),300)),"")</f>
        <v/>
      </c>
      <c r="D304">
        <f t="array" ref="D304">IFERROR(INDEX('Work Items'!$D$6:$D$5000,SMALL(IF('Work Items'!$A$6:$A$5000="CR",ROW('Work Items'!$A$6:$A$5000)-ROW('Work Items'!$A$6)+1),300)),"")</f>
        <v/>
      </c>
      <c r="E304">
        <f t="array" ref="E304">IFERROR(INDEX('Work Items'!$E$6:$E$5000,SMALL(IF('Work Items'!$A$6:$A$5000="CR",ROW('Work Items'!$A$6:$A$5000)-ROW('Work Items'!$A$6)+1),300)),"")</f>
        <v/>
      </c>
      <c r="F304">
        <f t="array" ref="F304">IFERROR(INDEX('Work Items'!$F$6:$F$5000,SMALL(IF('Work Items'!$A$6:$A$5000="CR",ROW('Work Items'!$A$6:$A$5000)-ROW('Work Items'!$A$6)+1),300)),"")</f>
        <v/>
      </c>
      <c r="G304">
        <f t="array" ref="G304">IFERROR(INDEX('Work Items'!$J$6:$J$5000,SMALL(IF('Work Items'!$A$6:$A$5000="CR",ROW('Work Items'!$A$6:$A$5000)-ROW('Work Items'!$A$6)+1),300)),"")</f>
        <v/>
      </c>
      <c r="H304">
        <f t="array" ref="H304">IFERROR(INDEX('Work Items'!$K$6:$K$5000,SMALL(IF('Work Items'!$A$6:$A$5000="CR",ROW('Work Items'!$A$6:$A$5000)-ROW('Work Items'!$A$6)+1),300)),"")</f>
        <v/>
      </c>
      <c r="I304">
        <f t="array" ref="I304">IFERROR(INDEX('Work Items'!$L$6:$L$5000,SMALL(IF('Work Items'!$A$6:$A$5000="CR",ROW('Work Items'!$A$6:$A$5000)-ROW('Work Items'!$A$6)+1),300)),"")</f>
        <v/>
      </c>
      <c r="J304" s="217">
        <f t="array" ref="J304">IFERROR(INDEX('Work Items'!$M$6:$M$5000,SMALL(IF('Work Items'!$A$6:$A$5000="CR",ROW('Work Items'!$A$6:$A$5000)-ROW('Work Items'!$A$6)+1),300)),"")</f>
        <v/>
      </c>
      <c r="K304" s="217">
        <f t="array" ref="K304">IFERROR(INDEX('Work Items'!$Q$6:$Q$5000,SMALL(IF('Work Items'!$A$6:$A$5000="CR",ROW('Work Items'!$A$6:$A$5000)-ROW('Work Items'!$A$6)+1),300)),"")</f>
        <v/>
      </c>
      <c r="L304">
        <f t="array" ref="L304">IFERROR(INDEX('Work Items'!$N$6:$N$5000,SMALL(IF('Work Items'!$A$6:$A$5000="CR",ROW('Work Items'!$A$6:$A$5000)-ROW('Work Items'!$A$6)+1),300)),"")</f>
        <v/>
      </c>
      <c r="M304">
        <f t="array" ref="M304">IFERROR(INDEX('Work Items'!$O$6:$O$5000,SMALL(IF('Work Items'!$A$6:$A$5000="CR",ROW('Work Items'!$A$6:$A$5000)-ROW('Work Items'!$A$6)+1),300)),"")</f>
        <v/>
      </c>
    </row>
  </sheetData>
  <autoFilter ref="A4:M9"/>
  <mergeCells count="3">
    <mergeCell ref="A3:M3"/>
    <mergeCell ref="A2:M2"/>
    <mergeCell ref="A1:M1"/>
  </mergeCells>
  <dataValidations count="1">
    <dataValidation sqref="G5:G10" showDropDown="0" showInputMessage="1" showErrorMessage="1" allowBlank="1" type="list">
      <formula1>ResourceList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/>
  </sheetPr>
  <dimension ref="A1:L156"/>
  <sheetViews>
    <sheetView workbookViewId="0">
      <pane ySplit="4" topLeftCell="A5" activePane="bottomLeft" state="frozen"/>
      <selection pane="bottomLeft" activeCell="A1" sqref="A1:K1"/>
    </sheetView>
  </sheetViews>
  <sheetFormatPr baseColWidth="10" defaultColWidth="8.83203125" defaultRowHeight="15"/>
  <cols>
    <col width="10" customWidth="1" style="66" min="1" max="1"/>
    <col width="24" customWidth="1" style="66" min="2" max="2"/>
    <col width="14" customWidth="1" style="66" min="3" max="11"/>
    <col width="23.5" bestFit="1" customWidth="1" style="66" min="12" max="12"/>
  </cols>
  <sheetData>
    <row r="1" ht="28" customHeight="1" s="66">
      <c r="A1" s="72" t="inlineStr">
        <is>
          <t>OrbitFlow — Financial Tracker</t>
        </is>
      </c>
    </row>
    <row r="2" ht="6" customHeight="1" s="66">
      <c r="A2" s="73" t="n"/>
    </row>
    <row r="3" ht="18" customHeight="1" s="66">
      <c r="A3" s="88" t="inlineStr">
        <is>
          <t>EV ($) = (SOW Hrs − Actual Hrs) × Blended Rate  ·  Actual Hrs pulled from Work Items (Type=Task, Actual Effort)</t>
        </is>
      </c>
    </row>
    <row r="4" ht="32" customHeight="1" s="66">
      <c r="A4" s="49" t="inlineStr">
        <is>
          <t>Project ID</t>
        </is>
      </c>
      <c r="B4" s="49" t="inlineStr">
        <is>
          <t>Project Name</t>
        </is>
      </c>
      <c r="C4" s="49" t="inlineStr">
        <is>
          <t>SOW Amount ($)</t>
        </is>
      </c>
      <c r="D4" s="49" t="inlineStr">
        <is>
          <t>Invoiced ($)</t>
        </is>
      </c>
      <c r="E4" s="49" t="inlineStr">
        <is>
          <t>Received ($)</t>
        </is>
      </c>
      <c r="F4" s="49" t="inlineStr">
        <is>
          <t>AR Outstanding ($)</t>
        </is>
      </c>
      <c r="G4" s="49" t="inlineStr">
        <is>
          <t>SOW Pending ($)</t>
        </is>
      </c>
      <c r="H4" s="49" t="inlineStr">
        <is>
          <t>SOW Hrs</t>
        </is>
      </c>
      <c r="I4" s="49" t="inlineStr">
        <is>
          <t>Actual Hrs
(from WI)</t>
        </is>
      </c>
      <c r="J4" s="49" t="inlineStr">
        <is>
          <t>Blended Rate ($/hr)</t>
        </is>
      </c>
      <c r="K4" s="49" t="inlineStr">
        <is>
          <t>EV ($)</t>
        </is>
      </c>
      <c r="L4" s="111" t="inlineStr">
        <is>
          <t>Project Type</t>
        </is>
      </c>
    </row>
    <row r="5" ht="20" customHeight="1" s="66">
      <c r="A5" s="2">
        <f>IFERROR(INDEX('Projects Master'!$A:$A,ROW()),"")</f>
        <v/>
      </c>
      <c r="B5" s="101">
        <f>IFERROR(VLOOKUP(A5,'Projects Master'!$A:$B,2,0),"")</f>
        <v/>
      </c>
      <c r="C5" s="218">
        <f>IFERROR(VLOOKUP(A5,'Projects Master'!$A:$K,11,0),"")</f>
        <v/>
      </c>
      <c r="D5" s="219" t="n"/>
      <c r="E5" s="219" t="n"/>
      <c r="F5" s="219" t="n"/>
      <c r="G5" s="219" t="n"/>
      <c r="H5" s="25">
        <f>IFERROR(VLOOKUP(A5,'Projects Master'!$A:$I,9,0),0)</f>
        <v/>
      </c>
      <c r="I5" s="7">
        <f>IFERROR(SUMIFS('Work Items'!O:O,'Work Items'!D:D,VLOOKUP(A5,'Projects Master'!$A:$B,2,0),'Work Items'!A:A,"Task"),0)</f>
        <v/>
      </c>
      <c r="J5" s="220" t="n"/>
      <c r="K5" s="221">
        <f>(H5-I5)*J5</f>
        <v/>
      </c>
      <c r="L5" s="117">
        <f>IFERROR(VLOOKUP(A5,'Projects Master'!$A:$K,5,0),"")</f>
        <v/>
      </c>
    </row>
    <row r="6" ht="20" customHeight="1" s="66">
      <c r="A6" s="2">
        <f>IFERROR(INDEX('Projects Master'!$A:$A,ROW()),"")</f>
        <v/>
      </c>
      <c r="B6" s="101">
        <f>IFERROR(VLOOKUP(A6,'Projects Master'!$A:$B,2,0),"")</f>
        <v/>
      </c>
      <c r="C6" s="218">
        <f>IFERROR(VLOOKUP(A6,'Projects Master'!$A:$K,11,0),"")</f>
        <v/>
      </c>
      <c r="D6" s="219" t="n"/>
      <c r="E6" s="219" t="n"/>
      <c r="F6" s="219" t="n"/>
      <c r="G6" s="219" t="n"/>
      <c r="H6" s="25">
        <f>IFERROR(VLOOKUP(A6,'Projects Master'!$A:$I,9,0),0)</f>
        <v/>
      </c>
      <c r="I6" s="7">
        <f>IFERROR(SUMIFS('Work Items'!O:O,'Work Items'!D:D,VLOOKUP(A6,'Projects Master'!$A:$B,2,0),'Work Items'!A:A,"Task"),0)</f>
        <v/>
      </c>
      <c r="J6" s="220" t="n"/>
      <c r="K6" s="221">
        <f>(H6-I6)*J6</f>
        <v/>
      </c>
      <c r="L6" s="117">
        <f>IFERROR(VLOOKUP(A6,'Projects Master'!$A:$K,5,0),"")</f>
        <v/>
      </c>
    </row>
    <row r="7" ht="20" customHeight="1" s="66">
      <c r="A7" s="2">
        <f>IFERROR(INDEX('Projects Master'!$A:$A,ROW()),"")</f>
        <v/>
      </c>
      <c r="B7" s="101">
        <f>IFERROR(VLOOKUP(A7,'Projects Master'!$A:$B,2,0),"")</f>
        <v/>
      </c>
      <c r="C7" s="218">
        <f>IFERROR(VLOOKUP(A7,'Projects Master'!$A:$K,11,0),"")</f>
        <v/>
      </c>
      <c r="D7" s="219" t="n"/>
      <c r="E7" s="219" t="n"/>
      <c r="F7" s="219" t="n"/>
      <c r="G7" s="219" t="n"/>
      <c r="H7" s="25">
        <f>IFERROR(VLOOKUP(A7,'Projects Master'!$A:$I,9,0),0)</f>
        <v/>
      </c>
      <c r="I7" s="7">
        <f>IFERROR(SUMIFS('Work Items'!O:O,'Work Items'!D:D,VLOOKUP(A7,'Projects Master'!$A:$B,2,0),'Work Items'!A:A,"Task"),0)</f>
        <v/>
      </c>
      <c r="J7" s="220" t="n"/>
      <c r="K7" s="221">
        <f>(H7-I7)*J7</f>
        <v/>
      </c>
      <c r="L7" s="117">
        <f>IFERROR(VLOOKUP(A7,'Projects Master'!$A:$K,5,0),"")</f>
        <v/>
      </c>
    </row>
    <row r="8" ht="20" customHeight="1" s="66">
      <c r="A8" s="2">
        <f>IFERROR(INDEX('Projects Master'!$A:$A,ROW()),"")</f>
        <v/>
      </c>
      <c r="B8" s="101">
        <f>IFERROR(VLOOKUP(A8,'Projects Master'!$A:$B,2,0),"")</f>
        <v/>
      </c>
      <c r="C8" s="218">
        <f>IFERROR(VLOOKUP(A8,'Projects Master'!$A:$K,11,0),"")</f>
        <v/>
      </c>
      <c r="D8" s="219" t="n"/>
      <c r="E8" s="219" t="n"/>
      <c r="F8" s="219" t="n"/>
      <c r="G8" s="219" t="n"/>
      <c r="H8" s="25">
        <f>IFERROR(VLOOKUP(A8,'Projects Master'!$A:$I,9,0),0)</f>
        <v/>
      </c>
      <c r="I8" s="7">
        <f>IFERROR(SUMIFS('Work Items'!O:O,'Work Items'!D:D,VLOOKUP(A8,'Projects Master'!$A:$B,2,0),'Work Items'!A:A,"Task"),0)</f>
        <v/>
      </c>
      <c r="J8" s="220" t="n"/>
      <c r="K8" s="221">
        <f>(H8-I8)*J8</f>
        <v/>
      </c>
      <c r="L8" s="117">
        <f>IFERROR(VLOOKUP(A8,'Projects Master'!$A:$K,5,0),"")</f>
        <v/>
      </c>
    </row>
    <row r="9" ht="20" customHeight="1" s="66">
      <c r="A9" s="2">
        <f>IFERROR(INDEX('Projects Master'!$A:$A,ROW()),"")</f>
        <v/>
      </c>
      <c r="B9" s="101">
        <f>IFERROR(VLOOKUP(A9,'Projects Master'!$A:$B,2,0),"")</f>
        <v/>
      </c>
      <c r="C9" s="218">
        <f>IFERROR(VLOOKUP(A9,'Projects Master'!$A:$K,11,0),"")</f>
        <v/>
      </c>
      <c r="D9" s="219" t="n"/>
      <c r="E9" s="219" t="n"/>
      <c r="F9" s="219" t="n"/>
      <c r="G9" s="219" t="n"/>
      <c r="H9" s="25">
        <f>IFERROR(VLOOKUP(A9,'Projects Master'!$A:$I,9,0),0)</f>
        <v/>
      </c>
      <c r="I9" s="7">
        <f>IFERROR(SUMIFS('Work Items'!O:O,'Work Items'!D:D,VLOOKUP(A9,'Projects Master'!$A:$B,2,0),'Work Items'!A:A,"Task"),0)</f>
        <v/>
      </c>
      <c r="J9" s="220" t="n"/>
      <c r="K9" s="221">
        <f>(H9-I9)*J9</f>
        <v/>
      </c>
      <c r="L9" s="117">
        <f>IFERROR(VLOOKUP(A9,'Projects Master'!$A:$K,5,0),"")</f>
        <v/>
      </c>
    </row>
    <row r="10">
      <c r="A10" s="2">
        <f>IFERROR(INDEX('Projects Master'!$A:$A,ROW()),"")</f>
        <v/>
      </c>
      <c r="B10" s="101">
        <f>IFERROR(VLOOKUP(A10,'Projects Master'!$A:$B,2,0),"")</f>
        <v/>
      </c>
      <c r="C10" s="218">
        <f>IFERROR(VLOOKUP(A10,'Projects Master'!$A:$K,11,0),"")</f>
        <v/>
      </c>
      <c r="D10" s="219" t="n"/>
      <c r="E10" s="219" t="n"/>
      <c r="F10" s="219" t="n"/>
      <c r="G10" s="219" t="n"/>
      <c r="H10" s="25">
        <f>IFERROR(VLOOKUP(A10,'Projects Master'!$A:$I,9,0),0)</f>
        <v/>
      </c>
      <c r="I10" s="7">
        <f>IFERROR(SUMIFS('Work Items'!O:O,'Work Items'!D:D,VLOOKUP(A10,'Projects Master'!$A:$B,2,0),'Work Items'!A:A,"Task"),0)</f>
        <v/>
      </c>
      <c r="J10" s="220" t="n"/>
      <c r="K10" s="221">
        <f>(H10-I10)*J10</f>
        <v/>
      </c>
      <c r="L10" s="117">
        <f>IFERROR(VLOOKUP(A10,'Projects Master'!$A:$K,5,0),"")</f>
        <v/>
      </c>
    </row>
    <row r="11" ht="22" customHeight="1" s="66">
      <c r="A11" s="2">
        <f>IFERROR(INDEX('Projects Master'!$A:$A,ROW()),"")</f>
        <v/>
      </c>
      <c r="B11" s="101">
        <f>IFERROR(VLOOKUP(A11,'Projects Master'!$A:$B,2,0),"")</f>
        <v/>
      </c>
      <c r="C11" s="218">
        <f>IFERROR(VLOOKUP(A11,'Projects Master'!$A:$K,11,0),"")</f>
        <v/>
      </c>
      <c r="D11" s="219" t="n"/>
      <c r="E11" s="219" t="n"/>
      <c r="F11" s="219" t="n"/>
      <c r="G11" s="219" t="n"/>
      <c r="H11" s="25">
        <f>IFERROR(VLOOKUP(A11,'Projects Master'!$A:$I,9,0),0)</f>
        <v/>
      </c>
      <c r="I11" s="7">
        <f>IFERROR(SUMIFS('Work Items'!O:O,'Work Items'!D:D,VLOOKUP(A11,'Projects Master'!$A:$B,2,0),'Work Items'!A:A,"Task"),0)</f>
        <v/>
      </c>
      <c r="J11" s="220" t="n"/>
      <c r="K11" s="221">
        <f>(H11-I11)*J11</f>
        <v/>
      </c>
      <c r="L11" s="117">
        <f>IFERROR(VLOOKUP(A11,'Projects Master'!$A:$K,5,0),"")</f>
        <v/>
      </c>
    </row>
    <row r="12">
      <c r="A12" s="2">
        <f>IFERROR(INDEX('Projects Master'!$A:$A,ROW()),"")</f>
        <v/>
      </c>
      <c r="B12" s="101">
        <f>IFERROR(VLOOKUP(A12,'Projects Master'!$A:$B,2,0),"")</f>
        <v/>
      </c>
      <c r="C12" s="218">
        <f>IFERROR(VLOOKUP(A12,'Projects Master'!$A:$K,11,0),"")</f>
        <v/>
      </c>
      <c r="D12" s="219" t="n"/>
      <c r="E12" s="219" t="n"/>
      <c r="F12" s="219" t="n"/>
      <c r="G12" s="219" t="n"/>
      <c r="H12" s="25">
        <f>IFERROR(VLOOKUP(A12,'Projects Master'!$A:$I,9,0),0)</f>
        <v/>
      </c>
      <c r="I12" s="7">
        <f>IFERROR(SUMIFS('Work Items'!O:O,'Work Items'!D:D,VLOOKUP(A12,'Projects Master'!$A:$B,2,0),'Work Items'!A:A,"Task"),0)</f>
        <v/>
      </c>
      <c r="J12" s="220" t="n"/>
      <c r="K12" s="221">
        <f>(H12-I12)*J12</f>
        <v/>
      </c>
      <c r="L12" s="117">
        <f>IFERROR(VLOOKUP(A12,'Projects Master'!$A:$K,5,0),"")</f>
        <v/>
      </c>
    </row>
    <row r="13">
      <c r="A13" s="2">
        <f>IFERROR(INDEX('Projects Master'!$A:$A,ROW()),"")</f>
        <v/>
      </c>
      <c r="B13" s="101">
        <f>IFERROR(VLOOKUP(A13,'Projects Master'!$A:$B,2,0),"")</f>
        <v/>
      </c>
      <c r="C13" s="218">
        <f>IFERROR(VLOOKUP(A13,'Projects Master'!$A:$K,11,0),"")</f>
        <v/>
      </c>
      <c r="D13" s="219" t="n"/>
      <c r="E13" s="219" t="n"/>
      <c r="F13" s="219" t="n"/>
      <c r="G13" s="219" t="n"/>
      <c r="H13" s="25">
        <f>IFERROR(VLOOKUP(A13,'Projects Master'!$A:$I,9,0),0)</f>
        <v/>
      </c>
      <c r="I13" s="7">
        <f>IFERROR(SUMIFS('Work Items'!O:O,'Work Items'!D:D,VLOOKUP(A13,'Projects Master'!$A:$B,2,0),'Work Items'!A:A,"Task"),0)</f>
        <v/>
      </c>
      <c r="J13" s="220" t="n"/>
      <c r="K13" s="221">
        <f>(H13-I13)*J13</f>
        <v/>
      </c>
      <c r="L13" s="117">
        <f>IFERROR(VLOOKUP(A13,'Projects Master'!$A:$K,5,0),"")</f>
        <v/>
      </c>
    </row>
    <row r="14">
      <c r="A14" s="2">
        <f>IFERROR(INDEX('Projects Master'!$A:$A,ROW()),"")</f>
        <v/>
      </c>
      <c r="B14" s="101">
        <f>IFERROR(VLOOKUP(A14,'Projects Master'!$A:$B,2,0),"")</f>
        <v/>
      </c>
      <c r="C14" s="218">
        <f>IFERROR(VLOOKUP(A14,'Projects Master'!$A:$K,11,0),"")</f>
        <v/>
      </c>
      <c r="D14" s="219" t="n"/>
      <c r="E14" s="219" t="n"/>
      <c r="F14" s="219" t="n"/>
      <c r="G14" s="219" t="n"/>
      <c r="H14" s="25">
        <f>IFERROR(VLOOKUP(A14,'Projects Master'!$A:$I,9,0),0)</f>
        <v/>
      </c>
      <c r="I14" s="7">
        <f>IFERROR(SUMIFS('Work Items'!O:O,'Work Items'!D:D,VLOOKUP(A14,'Projects Master'!$A:$B,2,0),'Work Items'!A:A,"Task"),0)</f>
        <v/>
      </c>
      <c r="J14" s="220" t="n"/>
      <c r="K14" s="221">
        <f>(H14-I14)*J14</f>
        <v/>
      </c>
      <c r="L14" s="117">
        <f>IFERROR(VLOOKUP(A14,'Projects Master'!$A:$K,5,0),"")</f>
        <v/>
      </c>
    </row>
    <row r="15">
      <c r="A15" s="2">
        <f>IFERROR(INDEX('Projects Master'!$A:$A,ROW()),"")</f>
        <v/>
      </c>
      <c r="B15" s="101">
        <f>IFERROR(VLOOKUP(A15,'Projects Master'!$A:$B,2,0),"")</f>
        <v/>
      </c>
      <c r="C15" s="218">
        <f>IFERROR(VLOOKUP(A15,'Projects Master'!$A:$K,11,0),"")</f>
        <v/>
      </c>
      <c r="D15" s="219" t="n"/>
      <c r="E15" s="219" t="n"/>
      <c r="F15" s="219" t="n"/>
      <c r="G15" s="219" t="n"/>
      <c r="H15" s="25">
        <f>IFERROR(VLOOKUP(A15,'Projects Master'!$A:$I,9,0),0)</f>
        <v/>
      </c>
      <c r="I15" s="7">
        <f>IFERROR(SUMIFS('Work Items'!O:O,'Work Items'!D:D,VLOOKUP(A15,'Projects Master'!$A:$B,2,0),'Work Items'!A:A,"Task"),0)</f>
        <v/>
      </c>
      <c r="J15" s="220" t="n"/>
      <c r="K15" s="221">
        <f>(H15-I15)*J15</f>
        <v/>
      </c>
      <c r="L15" s="117">
        <f>IFERROR(VLOOKUP(A15,'Projects Master'!$A:$K,5,0),"")</f>
        <v/>
      </c>
    </row>
    <row r="16">
      <c r="A16" s="2">
        <f>IFERROR(INDEX('Projects Master'!$A:$A,ROW()),"")</f>
        <v/>
      </c>
      <c r="B16" s="101">
        <f>IFERROR(VLOOKUP(A16,'Projects Master'!$A:$B,2,0),"")</f>
        <v/>
      </c>
      <c r="C16" s="218">
        <f>IFERROR(VLOOKUP(A16,'Projects Master'!$A:$K,11,0),"")</f>
        <v/>
      </c>
      <c r="D16" s="219" t="n"/>
      <c r="E16" s="219" t="n"/>
      <c r="F16" s="219" t="n"/>
      <c r="G16" s="219" t="n"/>
      <c r="H16" s="25">
        <f>IFERROR(VLOOKUP(A16,'Projects Master'!$A:$I,9,0),0)</f>
        <v/>
      </c>
      <c r="I16" s="7">
        <f>IFERROR(SUMIFS('Work Items'!O:O,'Work Items'!D:D,VLOOKUP(A16,'Projects Master'!$A:$B,2,0),'Work Items'!A:A,"Task"),0)</f>
        <v/>
      </c>
      <c r="J16" s="220" t="n"/>
      <c r="K16" s="221">
        <f>(H16-I16)*J16</f>
        <v/>
      </c>
      <c r="L16" s="117">
        <f>IFERROR(VLOOKUP(A16,'Projects Master'!$A:$K,5,0),"")</f>
        <v/>
      </c>
    </row>
    <row r="17">
      <c r="A17" s="2">
        <f>IFERROR(INDEX('Projects Master'!$A:$A,ROW()),"")</f>
        <v/>
      </c>
      <c r="B17" s="101">
        <f>IFERROR(VLOOKUP(A17,'Projects Master'!$A:$B,2,0),"")</f>
        <v/>
      </c>
      <c r="C17" s="218">
        <f>IFERROR(VLOOKUP(A17,'Projects Master'!$A:$K,11,0),"")</f>
        <v/>
      </c>
      <c r="D17" s="219" t="n"/>
      <c r="E17" s="219" t="n"/>
      <c r="F17" s="219" t="n"/>
      <c r="G17" s="219" t="n"/>
      <c r="H17" s="25">
        <f>IFERROR(VLOOKUP(A17,'Projects Master'!$A:$I,9,0),0)</f>
        <v/>
      </c>
      <c r="I17" s="7">
        <f>IFERROR(SUMIFS('Work Items'!O:O,'Work Items'!D:D,VLOOKUP(A17,'Projects Master'!$A:$B,2,0),'Work Items'!A:A,"Task"),0)</f>
        <v/>
      </c>
      <c r="J17" s="220" t="n"/>
      <c r="K17" s="221">
        <f>(H17-I17)*J17</f>
        <v/>
      </c>
      <c r="L17" s="117">
        <f>IFERROR(VLOOKUP(A17,'Projects Master'!$A:$K,5,0),"")</f>
        <v/>
      </c>
    </row>
    <row r="18">
      <c r="A18" s="2">
        <f>IFERROR(INDEX('Projects Master'!$A:$A,ROW()),"")</f>
        <v/>
      </c>
      <c r="B18" s="101">
        <f>IFERROR(VLOOKUP(A18,'Projects Master'!$A:$B,2,0),"")</f>
        <v/>
      </c>
      <c r="C18" s="218">
        <f>IFERROR(VLOOKUP(A18,'Projects Master'!$A:$K,11,0),"")</f>
        <v/>
      </c>
      <c r="D18" s="219" t="n"/>
      <c r="E18" s="219" t="n"/>
      <c r="F18" s="219" t="n"/>
      <c r="G18" s="219" t="n"/>
      <c r="H18" s="25">
        <f>IFERROR(VLOOKUP(A18,'Projects Master'!$A:$I,9,0),0)</f>
        <v/>
      </c>
      <c r="I18" s="7">
        <f>IFERROR(SUMIFS('Work Items'!O:O,'Work Items'!D:D,VLOOKUP(A18,'Projects Master'!$A:$B,2,0),'Work Items'!A:A,"Task"),0)</f>
        <v/>
      </c>
      <c r="J18" s="220" t="n"/>
      <c r="K18" s="221">
        <f>(H18-I18)*J18</f>
        <v/>
      </c>
      <c r="L18" s="117">
        <f>IFERROR(VLOOKUP(A18,'Projects Master'!$A:$K,5,0),"")</f>
        <v/>
      </c>
    </row>
    <row r="19">
      <c r="A19" s="2">
        <f>IFERROR(INDEX('Projects Master'!$A:$A,ROW()),"")</f>
        <v/>
      </c>
      <c r="B19" s="101">
        <f>IFERROR(VLOOKUP(A19,'Projects Master'!$A:$B,2,0),"")</f>
        <v/>
      </c>
      <c r="C19" s="218">
        <f>IFERROR(VLOOKUP(A19,'Projects Master'!$A:$K,11,0),"")</f>
        <v/>
      </c>
      <c r="D19" s="219" t="n"/>
      <c r="E19" s="219" t="n"/>
      <c r="F19" s="219" t="n"/>
      <c r="G19" s="219" t="n"/>
      <c r="H19" s="25">
        <f>IFERROR(VLOOKUP(A19,'Projects Master'!$A:$I,9,0),0)</f>
        <v/>
      </c>
      <c r="I19" s="7">
        <f>IFERROR(SUMIFS('Work Items'!O:O,'Work Items'!D:D,VLOOKUP(A19,'Projects Master'!$A:$B,2,0),'Work Items'!A:A,"Task"),0)</f>
        <v/>
      </c>
      <c r="J19" s="220" t="n"/>
      <c r="K19" s="221">
        <f>(H19-I19)*J19</f>
        <v/>
      </c>
      <c r="L19" s="117">
        <f>IFERROR(VLOOKUP(A19,'Projects Master'!$A:$K,5,0),"")</f>
        <v/>
      </c>
    </row>
    <row r="20">
      <c r="A20" s="2">
        <f>IFERROR(INDEX('Projects Master'!$A:$A,ROW()),"")</f>
        <v/>
      </c>
      <c r="B20" s="101">
        <f>IFERROR(VLOOKUP(A20,'Projects Master'!$A:$B,2,0),"")</f>
        <v/>
      </c>
      <c r="C20" s="218">
        <f>IFERROR(VLOOKUP(A20,'Projects Master'!$A:$K,11,0),"")</f>
        <v/>
      </c>
      <c r="D20" s="219" t="n"/>
      <c r="E20" s="219" t="n"/>
      <c r="F20" s="219" t="n"/>
      <c r="G20" s="219" t="n"/>
      <c r="H20" s="25">
        <f>IFERROR(VLOOKUP(A20,'Projects Master'!$A:$I,9,0),0)</f>
        <v/>
      </c>
      <c r="I20" s="7">
        <f>IFERROR(SUMIFS('Work Items'!O:O,'Work Items'!D:D,VLOOKUP(A20,'Projects Master'!$A:$B,2,0),'Work Items'!A:A,"Task"),0)</f>
        <v/>
      </c>
      <c r="J20" s="220" t="n"/>
      <c r="K20" s="221">
        <f>(H20-I20)*J20</f>
        <v/>
      </c>
      <c r="L20" s="117">
        <f>IFERROR(VLOOKUP(A20,'Projects Master'!$A:$K,5,0),"")</f>
        <v/>
      </c>
    </row>
    <row r="21">
      <c r="A21" s="2">
        <f>IFERROR(INDEX('Projects Master'!$A:$A,ROW()),"")</f>
        <v/>
      </c>
      <c r="B21" s="101">
        <f>IFERROR(VLOOKUP(A21,'Projects Master'!$A:$B,2,0),"")</f>
        <v/>
      </c>
      <c r="C21" s="218">
        <f>IFERROR(VLOOKUP(A21,'Projects Master'!$A:$K,11,0),"")</f>
        <v/>
      </c>
      <c r="D21" s="219" t="n"/>
      <c r="E21" s="219" t="n"/>
      <c r="F21" s="219" t="n"/>
      <c r="G21" s="219" t="n"/>
      <c r="H21" s="25">
        <f>IFERROR(VLOOKUP(A21,'Projects Master'!$A:$I,9,0),0)</f>
        <v/>
      </c>
      <c r="I21" s="7">
        <f>IFERROR(SUMIFS('Work Items'!O:O,'Work Items'!D:D,VLOOKUP(A21,'Projects Master'!$A:$B,2,0),'Work Items'!A:A,"Task"),0)</f>
        <v/>
      </c>
      <c r="J21" s="220" t="n"/>
      <c r="K21" s="221">
        <f>(H21-I21)*J21</f>
        <v/>
      </c>
      <c r="L21" s="117">
        <f>IFERROR(VLOOKUP(A21,'Projects Master'!$A:$K,5,0),"")</f>
        <v/>
      </c>
    </row>
    <row r="22">
      <c r="A22" s="2">
        <f>IFERROR(INDEX('Projects Master'!$A:$A,ROW()),"")</f>
        <v/>
      </c>
      <c r="B22" s="101">
        <f>IFERROR(VLOOKUP(A22,'Projects Master'!$A:$B,2,0),"")</f>
        <v/>
      </c>
      <c r="C22" s="218">
        <f>IFERROR(VLOOKUP(A22,'Projects Master'!$A:$K,11,0),"")</f>
        <v/>
      </c>
      <c r="D22" s="219" t="n"/>
      <c r="E22" s="219" t="n"/>
      <c r="F22" s="219" t="n"/>
      <c r="G22" s="219" t="n"/>
      <c r="H22" s="25">
        <f>IFERROR(VLOOKUP(A22,'Projects Master'!$A:$I,9,0),0)</f>
        <v/>
      </c>
      <c r="I22" s="7">
        <f>IFERROR(SUMIFS('Work Items'!O:O,'Work Items'!D:D,VLOOKUP(A22,'Projects Master'!$A:$B,2,0),'Work Items'!A:A,"Task"),0)</f>
        <v/>
      </c>
      <c r="J22" s="220" t="n"/>
      <c r="K22" s="221">
        <f>(H22-I22)*J22</f>
        <v/>
      </c>
      <c r="L22" s="117">
        <f>IFERROR(VLOOKUP(A22,'Projects Master'!$A:$K,5,0),"")</f>
        <v/>
      </c>
    </row>
    <row r="23">
      <c r="A23" s="2">
        <f>IFERROR(INDEX('Projects Master'!$A:$A,ROW()),"")</f>
        <v/>
      </c>
      <c r="B23" s="101">
        <f>IFERROR(VLOOKUP(A23,'Projects Master'!$A:$B,2,0),"")</f>
        <v/>
      </c>
      <c r="C23" s="218">
        <f>IFERROR(VLOOKUP(A23,'Projects Master'!$A:$K,11,0),"")</f>
        <v/>
      </c>
      <c r="D23" s="219" t="n"/>
      <c r="E23" s="219" t="n"/>
      <c r="F23" s="219" t="n"/>
      <c r="G23" s="219" t="n"/>
      <c r="H23" s="25">
        <f>IFERROR(VLOOKUP(A23,'Projects Master'!$A:$I,9,0),0)</f>
        <v/>
      </c>
      <c r="I23" s="7">
        <f>IFERROR(SUMIFS('Work Items'!O:O,'Work Items'!D:D,VLOOKUP(A23,'Projects Master'!$A:$B,2,0),'Work Items'!A:A,"Task"),0)</f>
        <v/>
      </c>
      <c r="J23" s="220" t="n"/>
      <c r="K23" s="221">
        <f>(H23-I23)*J23</f>
        <v/>
      </c>
      <c r="L23" s="117">
        <f>IFERROR(VLOOKUP(A23,'Projects Master'!$A:$K,5,0),"")</f>
        <v/>
      </c>
    </row>
    <row r="24">
      <c r="A24" s="2">
        <f>IFERROR(INDEX('Projects Master'!$A:$A,ROW()),"")</f>
        <v/>
      </c>
      <c r="B24" s="101">
        <f>IFERROR(VLOOKUP(A24,'Projects Master'!$A:$B,2,0),"")</f>
        <v/>
      </c>
      <c r="C24" s="218">
        <f>IFERROR(VLOOKUP(A24,'Projects Master'!$A:$K,11,0),"")</f>
        <v/>
      </c>
      <c r="D24" s="219" t="n"/>
      <c r="E24" s="219" t="n"/>
      <c r="F24" s="219" t="n"/>
      <c r="G24" s="219" t="n"/>
      <c r="H24" s="25">
        <f>IFERROR(VLOOKUP(A24,'Projects Master'!$A:$I,9,0),0)</f>
        <v/>
      </c>
      <c r="I24" s="7">
        <f>IFERROR(SUMIFS('Work Items'!O:O,'Work Items'!D:D,VLOOKUP(A24,'Projects Master'!$A:$B,2,0),'Work Items'!A:A,"Task"),0)</f>
        <v/>
      </c>
      <c r="J24" s="220" t="n"/>
      <c r="K24" s="221">
        <f>(H24-I24)*J24</f>
        <v/>
      </c>
      <c r="L24" s="117">
        <f>IFERROR(VLOOKUP(A24,'Projects Master'!$A:$K,5,0),"")</f>
        <v/>
      </c>
    </row>
    <row r="25">
      <c r="A25" s="2">
        <f>IFERROR(INDEX('Projects Master'!$A:$A,ROW()),"")</f>
        <v/>
      </c>
      <c r="B25" s="101">
        <f>IFERROR(VLOOKUP(A25,'Projects Master'!$A:$B,2,0),"")</f>
        <v/>
      </c>
      <c r="C25" s="218">
        <f>IFERROR(VLOOKUP(A25,'Projects Master'!$A:$K,11,0),"")</f>
        <v/>
      </c>
      <c r="D25" s="219" t="n"/>
      <c r="E25" s="219" t="n"/>
      <c r="F25" s="219" t="n"/>
      <c r="G25" s="219" t="n"/>
      <c r="H25" s="25">
        <f>IFERROR(VLOOKUP(A25,'Projects Master'!$A:$I,9,0),0)</f>
        <v/>
      </c>
      <c r="I25" s="7">
        <f>IFERROR(SUMIFS('Work Items'!O:O,'Work Items'!D:D,VLOOKUP(A25,'Projects Master'!$A:$B,2,0),'Work Items'!A:A,"Task"),0)</f>
        <v/>
      </c>
      <c r="J25" s="220" t="n"/>
      <c r="K25" s="221">
        <f>(H25-I25)*J25</f>
        <v/>
      </c>
      <c r="L25" s="117">
        <f>IFERROR(VLOOKUP(A25,'Projects Master'!$A:$K,5,0),"")</f>
        <v/>
      </c>
    </row>
    <row r="26">
      <c r="A26" s="2">
        <f>IFERROR(INDEX('Projects Master'!$A:$A,ROW()),"")</f>
        <v/>
      </c>
      <c r="B26" s="101">
        <f>IFERROR(VLOOKUP(A26,'Projects Master'!$A:$B,2,0),"")</f>
        <v/>
      </c>
      <c r="C26" s="218">
        <f>IFERROR(VLOOKUP(A26,'Projects Master'!$A:$K,11,0),"")</f>
        <v/>
      </c>
      <c r="D26" s="219" t="n"/>
      <c r="E26" s="219" t="n"/>
      <c r="F26" s="219" t="n"/>
      <c r="G26" s="219" t="n"/>
      <c r="H26" s="25">
        <f>IFERROR(VLOOKUP(A26,'Projects Master'!$A:$I,9,0),0)</f>
        <v/>
      </c>
      <c r="I26" s="7">
        <f>IFERROR(SUMIFS('Work Items'!O:O,'Work Items'!D:D,VLOOKUP(A26,'Projects Master'!$A:$B,2,0),'Work Items'!A:A,"Task"),0)</f>
        <v/>
      </c>
      <c r="J26" s="220" t="n"/>
      <c r="K26" s="221">
        <f>(H26-I26)*J26</f>
        <v/>
      </c>
      <c r="L26" s="117">
        <f>IFERROR(VLOOKUP(A26,'Projects Master'!$A:$K,5,0),"")</f>
        <v/>
      </c>
    </row>
    <row r="27">
      <c r="A27" s="2">
        <f>IFERROR(INDEX('Projects Master'!$A:$A,ROW()),"")</f>
        <v/>
      </c>
      <c r="B27" s="101">
        <f>IFERROR(VLOOKUP(A27,'Projects Master'!$A:$B,2,0),"")</f>
        <v/>
      </c>
      <c r="C27" s="218">
        <f>IFERROR(VLOOKUP(A27,'Projects Master'!$A:$K,11,0),"")</f>
        <v/>
      </c>
      <c r="D27" s="219" t="n"/>
      <c r="E27" s="219" t="n"/>
      <c r="F27" s="219" t="n"/>
      <c r="G27" s="219" t="n"/>
      <c r="H27" s="25">
        <f>IFERROR(VLOOKUP(A27,'Projects Master'!$A:$I,9,0),0)</f>
        <v/>
      </c>
      <c r="I27" s="7">
        <f>IFERROR(SUMIFS('Work Items'!O:O,'Work Items'!D:D,VLOOKUP(A27,'Projects Master'!$A:$B,2,0),'Work Items'!A:A,"Task"),0)</f>
        <v/>
      </c>
      <c r="J27" s="220" t="n"/>
      <c r="K27" s="221">
        <f>(H27-I27)*J27</f>
        <v/>
      </c>
      <c r="L27" s="117">
        <f>IFERROR(VLOOKUP(A27,'Projects Master'!$A:$K,5,0),"")</f>
        <v/>
      </c>
    </row>
    <row r="28">
      <c r="A28" s="2">
        <f>IFERROR(INDEX('Projects Master'!$A:$A,ROW()),"")</f>
        <v/>
      </c>
      <c r="B28" s="101">
        <f>IFERROR(VLOOKUP(A28,'Projects Master'!$A:$B,2,0),"")</f>
        <v/>
      </c>
      <c r="C28" s="218">
        <f>IFERROR(VLOOKUP(A28,'Projects Master'!$A:$K,11,0),"")</f>
        <v/>
      </c>
      <c r="D28" s="219" t="n"/>
      <c r="E28" s="219" t="n"/>
      <c r="F28" s="219" t="n"/>
      <c r="G28" s="219" t="n"/>
      <c r="H28" s="25">
        <f>IFERROR(VLOOKUP(A28,'Projects Master'!$A:$I,9,0),0)</f>
        <v/>
      </c>
      <c r="I28" s="7">
        <f>IFERROR(SUMIFS('Work Items'!O:O,'Work Items'!D:D,VLOOKUP(A28,'Projects Master'!$A:$B,2,0),'Work Items'!A:A,"Task"),0)</f>
        <v/>
      </c>
      <c r="J28" s="220" t="n"/>
      <c r="K28" s="221">
        <f>(H28-I28)*J28</f>
        <v/>
      </c>
      <c r="L28" s="117">
        <f>IFERROR(VLOOKUP(A28,'Projects Master'!$A:$K,5,0),"")</f>
        <v/>
      </c>
    </row>
    <row r="29">
      <c r="A29" s="2">
        <f>IFERROR(INDEX('Projects Master'!$A:$A,ROW()),"")</f>
        <v/>
      </c>
      <c r="B29" s="101">
        <f>IFERROR(VLOOKUP(A29,'Projects Master'!$A:$B,2,0),"")</f>
        <v/>
      </c>
      <c r="C29" s="218">
        <f>IFERROR(VLOOKUP(A29,'Projects Master'!$A:$K,11,0),"")</f>
        <v/>
      </c>
      <c r="D29" s="219" t="n"/>
      <c r="E29" s="219" t="n"/>
      <c r="F29" s="219" t="n"/>
      <c r="G29" s="219" t="n"/>
      <c r="H29" s="25">
        <f>IFERROR(VLOOKUP(A29,'Projects Master'!$A:$I,9,0),0)</f>
        <v/>
      </c>
      <c r="I29" s="7">
        <f>IFERROR(SUMIFS('Work Items'!O:O,'Work Items'!D:D,VLOOKUP(A29,'Projects Master'!$A:$B,2,0),'Work Items'!A:A,"Task"),0)</f>
        <v/>
      </c>
      <c r="J29" s="220" t="n"/>
      <c r="K29" s="221">
        <f>(H29-I29)*J29</f>
        <v/>
      </c>
      <c r="L29" s="117">
        <f>IFERROR(VLOOKUP(A29,'Projects Master'!$A:$K,5,0),"")</f>
        <v/>
      </c>
    </row>
    <row r="30">
      <c r="A30" s="2">
        <f>IFERROR(INDEX('Projects Master'!$A:$A,ROW()),"")</f>
        <v/>
      </c>
      <c r="B30" s="101">
        <f>IFERROR(VLOOKUP(A30,'Projects Master'!$A:$B,2,0),"")</f>
        <v/>
      </c>
      <c r="C30" s="218">
        <f>IFERROR(VLOOKUP(A30,'Projects Master'!$A:$K,11,0),"")</f>
        <v/>
      </c>
      <c r="D30" s="219" t="n"/>
      <c r="E30" s="219" t="n"/>
      <c r="F30" s="219" t="n"/>
      <c r="G30" s="219" t="n"/>
      <c r="H30" s="25">
        <f>IFERROR(VLOOKUP(A30,'Projects Master'!$A:$I,9,0),0)</f>
        <v/>
      </c>
      <c r="I30" s="7">
        <f>IFERROR(SUMIFS('Work Items'!O:O,'Work Items'!D:D,VLOOKUP(A30,'Projects Master'!$A:$B,2,0),'Work Items'!A:A,"Task"),0)</f>
        <v/>
      </c>
      <c r="J30" s="220" t="n"/>
      <c r="K30" s="221">
        <f>(H30-I30)*J30</f>
        <v/>
      </c>
      <c r="L30" s="117">
        <f>IFERROR(VLOOKUP(A30,'Projects Master'!$A:$K,5,0),"")</f>
        <v/>
      </c>
    </row>
    <row r="31">
      <c r="A31" s="2">
        <f>IFERROR(INDEX('Projects Master'!$A:$A,ROW()),"")</f>
        <v/>
      </c>
      <c r="B31" s="101">
        <f>IFERROR(VLOOKUP(A31,'Projects Master'!$A:$B,2,0),"")</f>
        <v/>
      </c>
      <c r="C31" s="218">
        <f>IFERROR(VLOOKUP(A31,'Projects Master'!$A:$K,11,0),"")</f>
        <v/>
      </c>
      <c r="D31" s="219" t="n"/>
      <c r="E31" s="219" t="n"/>
      <c r="F31" s="219" t="n"/>
      <c r="G31" s="219" t="n"/>
      <c r="H31" s="25">
        <f>IFERROR(VLOOKUP(A31,'Projects Master'!$A:$I,9,0),0)</f>
        <v/>
      </c>
      <c r="I31" s="7">
        <f>IFERROR(SUMIFS('Work Items'!O:O,'Work Items'!D:D,VLOOKUP(A31,'Projects Master'!$A:$B,2,0),'Work Items'!A:A,"Task"),0)</f>
        <v/>
      </c>
      <c r="J31" s="220" t="n"/>
      <c r="K31" s="221">
        <f>(H31-I31)*J31</f>
        <v/>
      </c>
      <c r="L31" s="117">
        <f>IFERROR(VLOOKUP(A31,'Projects Master'!$A:$K,5,0),"")</f>
        <v/>
      </c>
    </row>
    <row r="32">
      <c r="A32" s="2">
        <f>IFERROR(INDEX('Projects Master'!$A:$A,ROW()),"")</f>
        <v/>
      </c>
      <c r="B32" s="101">
        <f>IFERROR(VLOOKUP(A32,'Projects Master'!$A:$B,2,0),"")</f>
        <v/>
      </c>
      <c r="C32" s="218">
        <f>IFERROR(VLOOKUP(A32,'Projects Master'!$A:$K,11,0),"")</f>
        <v/>
      </c>
      <c r="D32" s="219" t="n"/>
      <c r="E32" s="219" t="n"/>
      <c r="F32" s="219" t="n"/>
      <c r="G32" s="219" t="n"/>
      <c r="H32" s="25">
        <f>IFERROR(VLOOKUP(A32,'Projects Master'!$A:$I,9,0),0)</f>
        <v/>
      </c>
      <c r="I32" s="7">
        <f>IFERROR(SUMIFS('Work Items'!O:O,'Work Items'!D:D,VLOOKUP(A32,'Projects Master'!$A:$B,2,0),'Work Items'!A:A,"Task"),0)</f>
        <v/>
      </c>
      <c r="J32" s="220" t="n"/>
      <c r="K32" s="221">
        <f>(H32-I32)*J32</f>
        <v/>
      </c>
      <c r="L32" s="117">
        <f>IFERROR(VLOOKUP(A32,'Projects Master'!$A:$K,5,0),"")</f>
        <v/>
      </c>
    </row>
    <row r="33">
      <c r="A33" s="2">
        <f>IFERROR(INDEX('Projects Master'!$A:$A,ROW()),"")</f>
        <v/>
      </c>
      <c r="B33" s="101">
        <f>IFERROR(VLOOKUP(A33,'Projects Master'!$A:$B,2,0),"")</f>
        <v/>
      </c>
      <c r="C33" s="218">
        <f>IFERROR(VLOOKUP(A33,'Projects Master'!$A:$K,11,0),"")</f>
        <v/>
      </c>
      <c r="D33" s="219" t="n"/>
      <c r="E33" s="219" t="n"/>
      <c r="F33" s="219" t="n"/>
      <c r="G33" s="219" t="n"/>
      <c r="H33" s="25">
        <f>IFERROR(VLOOKUP(A33,'Projects Master'!$A:$I,9,0),0)</f>
        <v/>
      </c>
      <c r="I33" s="7">
        <f>IFERROR(SUMIFS('Work Items'!O:O,'Work Items'!D:D,VLOOKUP(A33,'Projects Master'!$A:$B,2,0),'Work Items'!A:A,"Task"),0)</f>
        <v/>
      </c>
      <c r="J33" s="220" t="n"/>
      <c r="K33" s="221">
        <f>(H33-I33)*J33</f>
        <v/>
      </c>
      <c r="L33" s="117">
        <f>IFERROR(VLOOKUP(A33,'Projects Master'!$A:$K,5,0),"")</f>
        <v/>
      </c>
    </row>
    <row r="34">
      <c r="A34" s="2">
        <f>IFERROR(INDEX('Projects Master'!$A:$A,ROW()),"")</f>
        <v/>
      </c>
      <c r="B34" s="101">
        <f>IFERROR(VLOOKUP(A34,'Projects Master'!$A:$B,2,0),"")</f>
        <v/>
      </c>
      <c r="C34" s="218">
        <f>IFERROR(VLOOKUP(A34,'Projects Master'!$A:$K,11,0),"")</f>
        <v/>
      </c>
      <c r="D34" s="219" t="n"/>
      <c r="E34" s="219" t="n"/>
      <c r="F34" s="219" t="n"/>
      <c r="G34" s="219" t="n"/>
      <c r="H34" s="25">
        <f>IFERROR(VLOOKUP(A34,'Projects Master'!$A:$I,9,0),0)</f>
        <v/>
      </c>
      <c r="I34" s="7">
        <f>IFERROR(SUMIFS('Work Items'!O:O,'Work Items'!D:D,VLOOKUP(A34,'Projects Master'!$A:$B,2,0),'Work Items'!A:A,"Task"),0)</f>
        <v/>
      </c>
      <c r="J34" s="220" t="n"/>
      <c r="K34" s="221">
        <f>(H34-I34)*J34</f>
        <v/>
      </c>
      <c r="L34" s="117">
        <f>IFERROR(VLOOKUP(A34,'Projects Master'!$A:$K,5,0),"")</f>
        <v/>
      </c>
    </row>
    <row r="35">
      <c r="A35" s="2">
        <f>IFERROR(INDEX('Projects Master'!$A:$A,ROW()),"")</f>
        <v/>
      </c>
      <c r="B35" s="101">
        <f>IFERROR(VLOOKUP(A35,'Projects Master'!$A:$B,2,0),"")</f>
        <v/>
      </c>
      <c r="C35" s="218">
        <f>IFERROR(VLOOKUP(A35,'Projects Master'!$A:$K,11,0),"")</f>
        <v/>
      </c>
      <c r="D35" s="219" t="n"/>
      <c r="E35" s="219" t="n"/>
      <c r="F35" s="219" t="n"/>
      <c r="G35" s="219" t="n"/>
      <c r="H35" s="25">
        <f>IFERROR(VLOOKUP(A35,'Projects Master'!$A:$I,9,0),0)</f>
        <v/>
      </c>
      <c r="I35" s="7">
        <f>IFERROR(SUMIFS('Work Items'!O:O,'Work Items'!D:D,VLOOKUP(A35,'Projects Master'!$A:$B,2,0),'Work Items'!A:A,"Task"),0)</f>
        <v/>
      </c>
      <c r="J35" s="220" t="n"/>
      <c r="K35" s="221">
        <f>(H35-I35)*J35</f>
        <v/>
      </c>
      <c r="L35" s="117">
        <f>IFERROR(VLOOKUP(A35,'Projects Master'!$A:$K,5,0),"")</f>
        <v/>
      </c>
    </row>
    <row r="36">
      <c r="A36" s="2">
        <f>IFERROR(INDEX('Projects Master'!$A:$A,ROW()),"")</f>
        <v/>
      </c>
      <c r="B36" s="101">
        <f>IFERROR(VLOOKUP(A36,'Projects Master'!$A:$B,2,0),"")</f>
        <v/>
      </c>
      <c r="C36" s="218">
        <f>IFERROR(VLOOKUP(A36,'Projects Master'!$A:$K,11,0),"")</f>
        <v/>
      </c>
      <c r="D36" s="219" t="n"/>
      <c r="E36" s="219" t="n"/>
      <c r="F36" s="219" t="n"/>
      <c r="G36" s="219" t="n"/>
      <c r="H36" s="25">
        <f>IFERROR(VLOOKUP(A36,'Projects Master'!$A:$I,9,0),0)</f>
        <v/>
      </c>
      <c r="I36" s="7">
        <f>IFERROR(SUMIFS('Work Items'!O:O,'Work Items'!D:D,VLOOKUP(A36,'Projects Master'!$A:$B,2,0),'Work Items'!A:A,"Task"),0)</f>
        <v/>
      </c>
      <c r="J36" s="220" t="n"/>
      <c r="K36" s="221">
        <f>(H36-I36)*J36</f>
        <v/>
      </c>
      <c r="L36" s="117">
        <f>IFERROR(VLOOKUP(A36,'Projects Master'!$A:$K,5,0),"")</f>
        <v/>
      </c>
    </row>
    <row r="37">
      <c r="A37" s="2">
        <f>IFERROR(INDEX('Projects Master'!$A:$A,ROW()),"")</f>
        <v/>
      </c>
      <c r="B37" s="101">
        <f>IFERROR(VLOOKUP(A37,'Projects Master'!$A:$B,2,0),"")</f>
        <v/>
      </c>
      <c r="C37" s="218">
        <f>IFERROR(VLOOKUP(A37,'Projects Master'!$A:$K,11,0),"")</f>
        <v/>
      </c>
      <c r="D37" s="219" t="n"/>
      <c r="E37" s="219" t="n"/>
      <c r="F37" s="219" t="n"/>
      <c r="G37" s="219" t="n"/>
      <c r="H37" s="25">
        <f>IFERROR(VLOOKUP(A37,'Projects Master'!$A:$I,9,0),0)</f>
        <v/>
      </c>
      <c r="I37" s="7">
        <f>IFERROR(SUMIFS('Work Items'!O:O,'Work Items'!D:D,VLOOKUP(A37,'Projects Master'!$A:$B,2,0),'Work Items'!A:A,"Task"),0)</f>
        <v/>
      </c>
      <c r="J37" s="220" t="n"/>
      <c r="K37" s="221">
        <f>(H37-I37)*J37</f>
        <v/>
      </c>
      <c r="L37" s="117">
        <f>IFERROR(VLOOKUP(A37,'Projects Master'!$A:$K,5,0),"")</f>
        <v/>
      </c>
    </row>
    <row r="38">
      <c r="A38" s="2">
        <f>IFERROR(INDEX('Projects Master'!$A:$A,ROW()),"")</f>
        <v/>
      </c>
      <c r="B38" s="101">
        <f>IFERROR(VLOOKUP(A38,'Projects Master'!$A:$B,2,0),"")</f>
        <v/>
      </c>
      <c r="C38" s="218">
        <f>IFERROR(VLOOKUP(A38,'Projects Master'!$A:$K,11,0),"")</f>
        <v/>
      </c>
      <c r="D38" s="219" t="n"/>
      <c r="E38" s="219" t="n"/>
      <c r="F38" s="219" t="n"/>
      <c r="G38" s="219" t="n"/>
      <c r="H38" s="25">
        <f>IFERROR(VLOOKUP(A38,'Projects Master'!$A:$I,9,0),0)</f>
        <v/>
      </c>
      <c r="I38" s="7">
        <f>IFERROR(SUMIFS('Work Items'!O:O,'Work Items'!D:D,VLOOKUP(A38,'Projects Master'!$A:$B,2,0),'Work Items'!A:A,"Task"),0)</f>
        <v/>
      </c>
      <c r="J38" s="220" t="n"/>
      <c r="K38" s="221">
        <f>(H38-I38)*J38</f>
        <v/>
      </c>
      <c r="L38" s="117">
        <f>IFERROR(VLOOKUP(A38,'Projects Master'!$A:$K,5,0),"")</f>
        <v/>
      </c>
    </row>
    <row r="39">
      <c r="A39" s="2">
        <f>IFERROR(INDEX('Projects Master'!$A:$A,ROW()),"")</f>
        <v/>
      </c>
      <c r="B39" s="101">
        <f>IFERROR(VLOOKUP(A39,'Projects Master'!$A:$B,2,0),"")</f>
        <v/>
      </c>
      <c r="C39" s="218">
        <f>IFERROR(VLOOKUP(A39,'Projects Master'!$A:$K,11,0),"")</f>
        <v/>
      </c>
      <c r="D39" s="219" t="n"/>
      <c r="E39" s="219" t="n"/>
      <c r="F39" s="219" t="n"/>
      <c r="G39" s="219" t="n"/>
      <c r="H39" s="25">
        <f>IFERROR(VLOOKUP(A39,'Projects Master'!$A:$I,9,0),0)</f>
        <v/>
      </c>
      <c r="I39" s="7">
        <f>IFERROR(SUMIFS('Work Items'!O:O,'Work Items'!D:D,VLOOKUP(A39,'Projects Master'!$A:$B,2,0),'Work Items'!A:A,"Task"),0)</f>
        <v/>
      </c>
      <c r="J39" s="220" t="n"/>
      <c r="K39" s="221">
        <f>(H39-I39)*J39</f>
        <v/>
      </c>
      <c r="L39" s="117">
        <f>IFERROR(VLOOKUP(A39,'Projects Master'!$A:$K,5,0),"")</f>
        <v/>
      </c>
    </row>
    <row r="40">
      <c r="A40" s="2">
        <f>IFERROR(INDEX('Projects Master'!$A:$A,ROW()),"")</f>
        <v/>
      </c>
      <c r="B40" s="101">
        <f>IFERROR(VLOOKUP(A40,'Projects Master'!$A:$B,2,0),"")</f>
        <v/>
      </c>
      <c r="C40" s="218">
        <f>IFERROR(VLOOKUP(A40,'Projects Master'!$A:$K,11,0),"")</f>
        <v/>
      </c>
      <c r="D40" s="219" t="n"/>
      <c r="E40" s="219" t="n"/>
      <c r="F40" s="219" t="n"/>
      <c r="G40" s="219" t="n"/>
      <c r="H40" s="25">
        <f>IFERROR(VLOOKUP(A40,'Projects Master'!$A:$I,9,0),0)</f>
        <v/>
      </c>
      <c r="I40" s="7">
        <f>IFERROR(SUMIFS('Work Items'!O:O,'Work Items'!D:D,VLOOKUP(A40,'Projects Master'!$A:$B,2,0),'Work Items'!A:A,"Task"),0)</f>
        <v/>
      </c>
      <c r="J40" s="220" t="n"/>
      <c r="K40" s="221">
        <f>(H40-I40)*J40</f>
        <v/>
      </c>
      <c r="L40" s="117">
        <f>IFERROR(VLOOKUP(A40,'Projects Master'!$A:$K,5,0),"")</f>
        <v/>
      </c>
    </row>
    <row r="41">
      <c r="A41" s="2">
        <f>IFERROR(INDEX('Projects Master'!$A:$A,ROW()),"")</f>
        <v/>
      </c>
      <c r="B41" s="101">
        <f>IFERROR(VLOOKUP(A41,'Projects Master'!$A:$B,2,0),"")</f>
        <v/>
      </c>
      <c r="C41" s="218">
        <f>IFERROR(VLOOKUP(A41,'Projects Master'!$A:$K,11,0),"")</f>
        <v/>
      </c>
      <c r="D41" s="219" t="n"/>
      <c r="E41" s="219" t="n"/>
      <c r="F41" s="219" t="n"/>
      <c r="G41" s="219" t="n"/>
      <c r="H41" s="25">
        <f>IFERROR(VLOOKUP(A41,'Projects Master'!$A:$I,9,0),0)</f>
        <v/>
      </c>
      <c r="I41" s="7">
        <f>IFERROR(SUMIFS('Work Items'!O:O,'Work Items'!D:D,VLOOKUP(A41,'Projects Master'!$A:$B,2,0),'Work Items'!A:A,"Task"),0)</f>
        <v/>
      </c>
      <c r="J41" s="220" t="n"/>
      <c r="K41" s="221">
        <f>(H41-I41)*J41</f>
        <v/>
      </c>
      <c r="L41" s="117">
        <f>IFERROR(VLOOKUP(A41,'Projects Master'!$A:$K,5,0),"")</f>
        <v/>
      </c>
    </row>
    <row r="42">
      <c r="A42" s="2">
        <f>IFERROR(INDEX('Projects Master'!$A:$A,ROW()),"")</f>
        <v/>
      </c>
      <c r="B42" s="101">
        <f>IFERROR(VLOOKUP(A42,'Projects Master'!$A:$B,2,0),"")</f>
        <v/>
      </c>
      <c r="C42" s="218">
        <f>IFERROR(VLOOKUP(A42,'Projects Master'!$A:$K,11,0),"")</f>
        <v/>
      </c>
      <c r="D42" s="219" t="n"/>
      <c r="E42" s="219" t="n"/>
      <c r="F42" s="219" t="n"/>
      <c r="G42" s="219" t="n"/>
      <c r="H42" s="25">
        <f>IFERROR(VLOOKUP(A42,'Projects Master'!$A:$I,9,0),0)</f>
        <v/>
      </c>
      <c r="I42" s="7">
        <f>IFERROR(SUMIFS('Work Items'!O:O,'Work Items'!D:D,VLOOKUP(A42,'Projects Master'!$A:$B,2,0),'Work Items'!A:A,"Task"),0)</f>
        <v/>
      </c>
      <c r="J42" s="220" t="n"/>
      <c r="K42" s="221">
        <f>(H42-I42)*J42</f>
        <v/>
      </c>
      <c r="L42" s="117">
        <f>IFERROR(VLOOKUP(A42,'Projects Master'!$A:$K,5,0),"")</f>
        <v/>
      </c>
    </row>
    <row r="43">
      <c r="A43" s="2">
        <f>IFERROR(INDEX('Projects Master'!$A:$A,ROW()),"")</f>
        <v/>
      </c>
      <c r="B43" s="101">
        <f>IFERROR(VLOOKUP(A43,'Projects Master'!$A:$B,2,0),"")</f>
        <v/>
      </c>
      <c r="C43" s="218">
        <f>IFERROR(VLOOKUP(A43,'Projects Master'!$A:$K,11,0),"")</f>
        <v/>
      </c>
      <c r="D43" s="219" t="n"/>
      <c r="E43" s="219" t="n"/>
      <c r="F43" s="219" t="n"/>
      <c r="G43" s="219" t="n"/>
      <c r="H43" s="25">
        <f>IFERROR(VLOOKUP(A43,'Projects Master'!$A:$I,9,0),0)</f>
        <v/>
      </c>
      <c r="I43" s="7">
        <f>IFERROR(SUMIFS('Work Items'!O:O,'Work Items'!D:D,VLOOKUP(A43,'Projects Master'!$A:$B,2,0),'Work Items'!A:A,"Task"),0)</f>
        <v/>
      </c>
      <c r="J43" s="220" t="n"/>
      <c r="K43" s="221">
        <f>(H43-I43)*J43</f>
        <v/>
      </c>
      <c r="L43" s="117">
        <f>IFERROR(VLOOKUP(A43,'Projects Master'!$A:$K,5,0),"")</f>
        <v/>
      </c>
    </row>
    <row r="44">
      <c r="A44" s="2">
        <f>IFERROR(INDEX('Projects Master'!$A:$A,ROW()),"")</f>
        <v/>
      </c>
      <c r="B44" s="101">
        <f>IFERROR(VLOOKUP(A44,'Projects Master'!$A:$B,2,0),"")</f>
        <v/>
      </c>
      <c r="C44" s="218">
        <f>IFERROR(VLOOKUP(A44,'Projects Master'!$A:$K,11,0),"")</f>
        <v/>
      </c>
      <c r="D44" s="219" t="n"/>
      <c r="E44" s="219" t="n"/>
      <c r="F44" s="219" t="n"/>
      <c r="G44" s="219" t="n"/>
      <c r="H44" s="25">
        <f>IFERROR(VLOOKUP(A44,'Projects Master'!$A:$I,9,0),0)</f>
        <v/>
      </c>
      <c r="I44" s="7">
        <f>IFERROR(SUMIFS('Work Items'!O:O,'Work Items'!D:D,VLOOKUP(A44,'Projects Master'!$A:$B,2,0),'Work Items'!A:A,"Task"),0)</f>
        <v/>
      </c>
      <c r="J44" s="220" t="n"/>
      <c r="K44" s="221">
        <f>(H44-I44)*J44</f>
        <v/>
      </c>
      <c r="L44" s="117">
        <f>IFERROR(VLOOKUP(A44,'Projects Master'!$A:$K,5,0),"")</f>
        <v/>
      </c>
    </row>
    <row r="45">
      <c r="A45" s="2">
        <f>IFERROR(INDEX('Projects Master'!$A:$A,ROW()),"")</f>
        <v/>
      </c>
      <c r="B45" s="101">
        <f>IFERROR(VLOOKUP(A45,'Projects Master'!$A:$B,2,0),"")</f>
        <v/>
      </c>
      <c r="C45" s="218">
        <f>IFERROR(VLOOKUP(A45,'Projects Master'!$A:$K,11,0),"")</f>
        <v/>
      </c>
      <c r="D45" s="219" t="n"/>
      <c r="E45" s="219" t="n"/>
      <c r="F45" s="219" t="n"/>
      <c r="G45" s="219" t="n"/>
      <c r="H45" s="25">
        <f>IFERROR(VLOOKUP(A45,'Projects Master'!$A:$I,9,0),0)</f>
        <v/>
      </c>
      <c r="I45" s="7">
        <f>IFERROR(SUMIFS('Work Items'!O:O,'Work Items'!D:D,VLOOKUP(A45,'Projects Master'!$A:$B,2,0),'Work Items'!A:A,"Task"),0)</f>
        <v/>
      </c>
      <c r="J45" s="220" t="n"/>
      <c r="K45" s="221">
        <f>(H45-I45)*J45</f>
        <v/>
      </c>
      <c r="L45" s="117">
        <f>IFERROR(VLOOKUP(A45,'Projects Master'!$A:$K,5,0),"")</f>
        <v/>
      </c>
    </row>
    <row r="46">
      <c r="A46" s="2">
        <f>IFERROR(INDEX('Projects Master'!$A:$A,ROW()),"")</f>
        <v/>
      </c>
      <c r="B46" s="101">
        <f>IFERROR(VLOOKUP(A46,'Projects Master'!$A:$B,2,0),"")</f>
        <v/>
      </c>
      <c r="C46" s="218">
        <f>IFERROR(VLOOKUP(A46,'Projects Master'!$A:$K,11,0),"")</f>
        <v/>
      </c>
      <c r="D46" s="219" t="n"/>
      <c r="E46" s="219" t="n"/>
      <c r="F46" s="219" t="n"/>
      <c r="G46" s="219" t="n"/>
      <c r="H46" s="25">
        <f>IFERROR(VLOOKUP(A46,'Projects Master'!$A:$I,9,0),0)</f>
        <v/>
      </c>
      <c r="I46" s="7">
        <f>IFERROR(SUMIFS('Work Items'!O:O,'Work Items'!D:D,VLOOKUP(A46,'Projects Master'!$A:$B,2,0),'Work Items'!A:A,"Task"),0)</f>
        <v/>
      </c>
      <c r="J46" s="220" t="n"/>
      <c r="K46" s="221">
        <f>(H46-I46)*J46</f>
        <v/>
      </c>
      <c r="L46" s="117">
        <f>IFERROR(VLOOKUP(A46,'Projects Master'!$A:$K,5,0),"")</f>
        <v/>
      </c>
    </row>
    <row r="47">
      <c r="A47" s="2">
        <f>IFERROR(INDEX('Projects Master'!$A:$A,ROW()),"")</f>
        <v/>
      </c>
      <c r="B47" s="101">
        <f>IFERROR(VLOOKUP(A47,'Projects Master'!$A:$B,2,0),"")</f>
        <v/>
      </c>
      <c r="C47" s="218">
        <f>IFERROR(VLOOKUP(A47,'Projects Master'!$A:$K,11,0),"")</f>
        <v/>
      </c>
      <c r="D47" s="219" t="n"/>
      <c r="E47" s="219" t="n"/>
      <c r="F47" s="219" t="n"/>
      <c r="G47" s="219" t="n"/>
      <c r="H47" s="25">
        <f>IFERROR(VLOOKUP(A47,'Projects Master'!$A:$I,9,0),0)</f>
        <v/>
      </c>
      <c r="I47" s="7">
        <f>IFERROR(SUMIFS('Work Items'!O:O,'Work Items'!D:D,VLOOKUP(A47,'Projects Master'!$A:$B,2,0),'Work Items'!A:A,"Task"),0)</f>
        <v/>
      </c>
      <c r="J47" s="220" t="n"/>
      <c r="K47" s="221">
        <f>(H47-I47)*J47</f>
        <v/>
      </c>
      <c r="L47" s="117">
        <f>IFERROR(VLOOKUP(A47,'Projects Master'!$A:$K,5,0),"")</f>
        <v/>
      </c>
    </row>
    <row r="48">
      <c r="A48" s="2">
        <f>IFERROR(INDEX('Projects Master'!$A:$A,ROW()),"")</f>
        <v/>
      </c>
      <c r="B48" s="101">
        <f>IFERROR(VLOOKUP(A48,'Projects Master'!$A:$B,2,0),"")</f>
        <v/>
      </c>
      <c r="C48" s="218">
        <f>IFERROR(VLOOKUP(A48,'Projects Master'!$A:$K,11,0),"")</f>
        <v/>
      </c>
      <c r="D48" s="219" t="n"/>
      <c r="E48" s="219" t="n"/>
      <c r="F48" s="219" t="n"/>
      <c r="G48" s="219" t="n"/>
      <c r="H48" s="25">
        <f>IFERROR(VLOOKUP(A48,'Projects Master'!$A:$I,9,0),0)</f>
        <v/>
      </c>
      <c r="I48" s="7">
        <f>IFERROR(SUMIFS('Work Items'!O:O,'Work Items'!D:D,VLOOKUP(A48,'Projects Master'!$A:$B,2,0),'Work Items'!A:A,"Task"),0)</f>
        <v/>
      </c>
      <c r="J48" s="220" t="n"/>
      <c r="K48" s="221">
        <f>(H48-I48)*J48</f>
        <v/>
      </c>
      <c r="L48" s="117">
        <f>IFERROR(VLOOKUP(A48,'Projects Master'!$A:$K,5,0),"")</f>
        <v/>
      </c>
    </row>
    <row r="49">
      <c r="A49" s="2">
        <f>IFERROR(INDEX('Projects Master'!$A:$A,ROW()),"")</f>
        <v/>
      </c>
      <c r="B49" s="101">
        <f>IFERROR(VLOOKUP(A49,'Projects Master'!$A:$B,2,0),"")</f>
        <v/>
      </c>
      <c r="C49" s="218">
        <f>IFERROR(VLOOKUP(A49,'Projects Master'!$A:$K,11,0),"")</f>
        <v/>
      </c>
      <c r="D49" s="219" t="n"/>
      <c r="E49" s="219" t="n"/>
      <c r="F49" s="219" t="n"/>
      <c r="G49" s="219" t="n"/>
      <c r="H49" s="25">
        <f>IFERROR(VLOOKUP(A49,'Projects Master'!$A:$I,9,0),0)</f>
        <v/>
      </c>
      <c r="I49" s="7">
        <f>IFERROR(SUMIFS('Work Items'!O:O,'Work Items'!D:D,VLOOKUP(A49,'Projects Master'!$A:$B,2,0),'Work Items'!A:A,"Task"),0)</f>
        <v/>
      </c>
      <c r="J49" s="220" t="n"/>
      <c r="K49" s="221">
        <f>(H49-I49)*J49</f>
        <v/>
      </c>
      <c r="L49" s="117">
        <f>IFERROR(VLOOKUP(A49,'Projects Master'!$A:$K,5,0),"")</f>
        <v/>
      </c>
    </row>
    <row r="50">
      <c r="A50" s="2">
        <f>IFERROR(INDEX('Projects Master'!$A:$A,ROW()),"")</f>
        <v/>
      </c>
      <c r="B50" s="101">
        <f>IFERROR(VLOOKUP(A50,'Projects Master'!$A:$B,2,0),"")</f>
        <v/>
      </c>
      <c r="C50" s="218">
        <f>IFERROR(VLOOKUP(A50,'Projects Master'!$A:$K,11,0),"")</f>
        <v/>
      </c>
      <c r="D50" s="219" t="n"/>
      <c r="E50" s="219" t="n"/>
      <c r="F50" s="219" t="n"/>
      <c r="G50" s="219" t="n"/>
      <c r="H50" s="25">
        <f>IFERROR(VLOOKUP(A50,'Projects Master'!$A:$I,9,0),0)</f>
        <v/>
      </c>
      <c r="I50" s="7">
        <f>IFERROR(SUMIFS('Work Items'!O:O,'Work Items'!D:D,VLOOKUP(A50,'Projects Master'!$A:$B,2,0),'Work Items'!A:A,"Task"),0)</f>
        <v/>
      </c>
      <c r="J50" s="220" t="n"/>
      <c r="K50" s="221">
        <f>(H50-I50)*J50</f>
        <v/>
      </c>
      <c r="L50" s="117">
        <f>IFERROR(VLOOKUP(A50,'Projects Master'!$A:$K,5,0),"")</f>
        <v/>
      </c>
    </row>
    <row r="51">
      <c r="A51" s="2">
        <f>IFERROR(INDEX('Projects Master'!$A:$A,ROW()),"")</f>
        <v/>
      </c>
      <c r="B51" s="101">
        <f>IFERROR(VLOOKUP(A51,'Projects Master'!$A:$B,2,0),"")</f>
        <v/>
      </c>
      <c r="C51" s="218">
        <f>IFERROR(VLOOKUP(A51,'Projects Master'!$A:$K,11,0),"")</f>
        <v/>
      </c>
      <c r="D51" s="219" t="n"/>
      <c r="E51" s="219" t="n"/>
      <c r="F51" s="219" t="n"/>
      <c r="G51" s="219" t="n"/>
      <c r="H51" s="25">
        <f>IFERROR(VLOOKUP(A51,'Projects Master'!$A:$I,9,0),0)</f>
        <v/>
      </c>
      <c r="I51" s="7">
        <f>IFERROR(SUMIFS('Work Items'!O:O,'Work Items'!D:D,VLOOKUP(A51,'Projects Master'!$A:$B,2,0),'Work Items'!A:A,"Task"),0)</f>
        <v/>
      </c>
      <c r="J51" s="220" t="n"/>
      <c r="K51" s="221">
        <f>(H51-I51)*J51</f>
        <v/>
      </c>
      <c r="L51" s="117">
        <f>IFERROR(VLOOKUP(A51,'Projects Master'!$A:$K,5,0),"")</f>
        <v/>
      </c>
    </row>
    <row r="52">
      <c r="A52" s="2">
        <f>IFERROR(INDEX('Projects Master'!$A:$A,ROW()),"")</f>
        <v/>
      </c>
      <c r="B52" s="101">
        <f>IFERROR(VLOOKUP(A52,'Projects Master'!$A:$B,2,0),"")</f>
        <v/>
      </c>
      <c r="C52" s="218">
        <f>IFERROR(VLOOKUP(A52,'Projects Master'!$A:$K,11,0),"")</f>
        <v/>
      </c>
      <c r="D52" s="219" t="n"/>
      <c r="E52" s="219" t="n"/>
      <c r="F52" s="219" t="n"/>
      <c r="G52" s="219" t="n"/>
      <c r="H52" s="25">
        <f>IFERROR(VLOOKUP(A52,'Projects Master'!$A:$I,9,0),0)</f>
        <v/>
      </c>
      <c r="I52" s="7">
        <f>IFERROR(SUMIFS('Work Items'!O:O,'Work Items'!D:D,VLOOKUP(A52,'Projects Master'!$A:$B,2,0),'Work Items'!A:A,"Task"),0)</f>
        <v/>
      </c>
      <c r="J52" s="220" t="n"/>
      <c r="K52" s="221">
        <f>(H52-I52)*J52</f>
        <v/>
      </c>
      <c r="L52" s="117">
        <f>IFERROR(VLOOKUP(A52,'Projects Master'!$A:$K,5,0),"")</f>
        <v/>
      </c>
    </row>
    <row r="53">
      <c r="A53" s="2">
        <f>IFERROR(INDEX('Projects Master'!$A:$A,ROW()),"")</f>
        <v/>
      </c>
      <c r="B53" s="101">
        <f>IFERROR(VLOOKUP(A53,'Projects Master'!$A:$B,2,0),"")</f>
        <v/>
      </c>
      <c r="C53" s="218">
        <f>IFERROR(VLOOKUP(A53,'Projects Master'!$A:$K,11,0),"")</f>
        <v/>
      </c>
      <c r="D53" s="219" t="n"/>
      <c r="E53" s="219" t="n"/>
      <c r="F53" s="219" t="n"/>
      <c r="G53" s="219" t="n"/>
      <c r="H53" s="25">
        <f>IFERROR(VLOOKUP(A53,'Projects Master'!$A:$I,9,0),0)</f>
        <v/>
      </c>
      <c r="I53" s="7">
        <f>IFERROR(SUMIFS('Work Items'!O:O,'Work Items'!D:D,VLOOKUP(A53,'Projects Master'!$A:$B,2,0),'Work Items'!A:A,"Task"),0)</f>
        <v/>
      </c>
      <c r="J53" s="220" t="n"/>
      <c r="K53" s="221">
        <f>(H53-I53)*J53</f>
        <v/>
      </c>
      <c r="L53" s="117">
        <f>IFERROR(VLOOKUP(A53,'Projects Master'!$A:$K,5,0),"")</f>
        <v/>
      </c>
    </row>
    <row r="54">
      <c r="A54" s="2">
        <f>IFERROR(INDEX('Projects Master'!$A:$A,ROW()),"")</f>
        <v/>
      </c>
      <c r="B54" s="101">
        <f>IFERROR(VLOOKUP(A54,'Projects Master'!$A:$B,2,0),"")</f>
        <v/>
      </c>
      <c r="C54" s="218">
        <f>IFERROR(VLOOKUP(A54,'Projects Master'!$A:$K,11,0),"")</f>
        <v/>
      </c>
      <c r="D54" s="219" t="n"/>
      <c r="E54" s="219" t="n"/>
      <c r="F54" s="219" t="n"/>
      <c r="G54" s="219" t="n"/>
      <c r="H54" s="25">
        <f>IFERROR(VLOOKUP(A54,'Projects Master'!$A:$I,9,0),0)</f>
        <v/>
      </c>
      <c r="I54" s="7">
        <f>IFERROR(SUMIFS('Work Items'!O:O,'Work Items'!D:D,VLOOKUP(A54,'Projects Master'!$A:$B,2,0),'Work Items'!A:A,"Task"),0)</f>
        <v/>
      </c>
      <c r="J54" s="220" t="n"/>
      <c r="K54" s="221">
        <f>(H54-I54)*J54</f>
        <v/>
      </c>
      <c r="L54" s="117">
        <f>IFERROR(VLOOKUP(A54,'Projects Master'!$A:$K,5,0),"")</f>
        <v/>
      </c>
    </row>
    <row r="55">
      <c r="A55" s="2">
        <f>IFERROR(INDEX('Projects Master'!$A:$A,ROW()),"")</f>
        <v/>
      </c>
      <c r="B55" s="101">
        <f>IFERROR(VLOOKUP(A55,'Projects Master'!$A:$B,2,0),"")</f>
        <v/>
      </c>
      <c r="C55" s="218">
        <f>IFERROR(VLOOKUP(A55,'Projects Master'!$A:$K,11,0),"")</f>
        <v/>
      </c>
      <c r="D55" s="219" t="n"/>
      <c r="E55" s="219" t="n"/>
      <c r="F55" s="219" t="n"/>
      <c r="G55" s="219" t="n"/>
      <c r="H55" s="25">
        <f>IFERROR(VLOOKUP(A55,'Projects Master'!$A:$I,9,0),0)</f>
        <v/>
      </c>
      <c r="I55" s="7">
        <f>IFERROR(SUMIFS('Work Items'!O:O,'Work Items'!D:D,VLOOKUP(A55,'Projects Master'!$A:$B,2,0),'Work Items'!A:A,"Task"),0)</f>
        <v/>
      </c>
      <c r="J55" s="220" t="n"/>
      <c r="K55" s="221">
        <f>(H55-I55)*J55</f>
        <v/>
      </c>
      <c r="L55" s="117">
        <f>IFERROR(VLOOKUP(A55,'Projects Master'!$A:$K,5,0),"")</f>
        <v/>
      </c>
    </row>
    <row r="56">
      <c r="A56" s="2">
        <f>IFERROR(INDEX('Projects Master'!$A:$A,ROW()),"")</f>
        <v/>
      </c>
      <c r="B56" s="101">
        <f>IFERROR(VLOOKUP(A56,'Projects Master'!$A:$B,2,0),"")</f>
        <v/>
      </c>
      <c r="C56" s="218">
        <f>IFERROR(VLOOKUP(A56,'Projects Master'!$A:$K,11,0),"")</f>
        <v/>
      </c>
      <c r="D56" s="219" t="n"/>
      <c r="E56" s="219" t="n"/>
      <c r="F56" s="219" t="n"/>
      <c r="G56" s="219" t="n"/>
      <c r="H56" s="25">
        <f>IFERROR(VLOOKUP(A56,'Projects Master'!$A:$I,9,0),0)</f>
        <v/>
      </c>
      <c r="I56" s="7">
        <f>IFERROR(SUMIFS('Work Items'!O:O,'Work Items'!D:D,VLOOKUP(A56,'Projects Master'!$A:$B,2,0),'Work Items'!A:A,"Task"),0)</f>
        <v/>
      </c>
      <c r="J56" s="220" t="n"/>
      <c r="K56" s="221">
        <f>(H56-I56)*J56</f>
        <v/>
      </c>
      <c r="L56" s="117">
        <f>IFERROR(VLOOKUP(A56,'Projects Master'!$A:$K,5,0),"")</f>
        <v/>
      </c>
    </row>
    <row r="57">
      <c r="A57" s="2">
        <f>IFERROR(INDEX('Projects Master'!$A:$A,ROW()),"")</f>
        <v/>
      </c>
      <c r="B57" s="101">
        <f>IFERROR(VLOOKUP(A57,'Projects Master'!$A:$B,2,0),"")</f>
        <v/>
      </c>
      <c r="C57" s="218">
        <f>IFERROR(VLOOKUP(A57,'Projects Master'!$A:$K,11,0),"")</f>
        <v/>
      </c>
      <c r="D57" s="219" t="n"/>
      <c r="E57" s="219" t="n"/>
      <c r="F57" s="219" t="n"/>
      <c r="G57" s="219" t="n"/>
      <c r="H57" s="25">
        <f>IFERROR(VLOOKUP(A57,'Projects Master'!$A:$I,9,0),0)</f>
        <v/>
      </c>
      <c r="I57" s="7">
        <f>IFERROR(SUMIFS('Work Items'!O:O,'Work Items'!D:D,VLOOKUP(A57,'Projects Master'!$A:$B,2,0),'Work Items'!A:A,"Task"),0)</f>
        <v/>
      </c>
      <c r="J57" s="220" t="n"/>
      <c r="K57" s="221">
        <f>(H57-I57)*J57</f>
        <v/>
      </c>
      <c r="L57" s="117">
        <f>IFERROR(VLOOKUP(A57,'Projects Master'!$A:$K,5,0),"")</f>
        <v/>
      </c>
    </row>
    <row r="58">
      <c r="A58" s="2">
        <f>IFERROR(INDEX('Projects Master'!$A:$A,ROW()),"")</f>
        <v/>
      </c>
      <c r="B58" s="101">
        <f>IFERROR(VLOOKUP(A58,'Projects Master'!$A:$B,2,0),"")</f>
        <v/>
      </c>
      <c r="C58" s="218">
        <f>IFERROR(VLOOKUP(A58,'Projects Master'!$A:$K,11,0),"")</f>
        <v/>
      </c>
      <c r="D58" s="219" t="n"/>
      <c r="E58" s="219" t="n"/>
      <c r="F58" s="219" t="n"/>
      <c r="G58" s="219" t="n"/>
      <c r="H58" s="25">
        <f>IFERROR(VLOOKUP(A58,'Projects Master'!$A:$I,9,0),0)</f>
        <v/>
      </c>
      <c r="I58" s="7">
        <f>IFERROR(SUMIFS('Work Items'!O:O,'Work Items'!D:D,VLOOKUP(A58,'Projects Master'!$A:$B,2,0),'Work Items'!A:A,"Task"),0)</f>
        <v/>
      </c>
      <c r="J58" s="220" t="n"/>
      <c r="K58" s="221">
        <f>(H58-I58)*J58</f>
        <v/>
      </c>
      <c r="L58" s="117">
        <f>IFERROR(VLOOKUP(A58,'Projects Master'!$A:$K,5,0),"")</f>
        <v/>
      </c>
    </row>
    <row r="59">
      <c r="A59" s="2">
        <f>IFERROR(INDEX('Projects Master'!$A:$A,ROW()),"")</f>
        <v/>
      </c>
      <c r="B59" s="101">
        <f>IFERROR(VLOOKUP(A59,'Projects Master'!$A:$B,2,0),"")</f>
        <v/>
      </c>
      <c r="C59" s="218">
        <f>IFERROR(VLOOKUP(A59,'Projects Master'!$A:$K,11,0),"")</f>
        <v/>
      </c>
      <c r="D59" s="219" t="n"/>
      <c r="E59" s="219" t="n"/>
      <c r="F59" s="219" t="n"/>
      <c r="G59" s="219" t="n"/>
      <c r="H59" s="25">
        <f>IFERROR(VLOOKUP(A59,'Projects Master'!$A:$I,9,0),0)</f>
        <v/>
      </c>
      <c r="I59" s="7">
        <f>IFERROR(SUMIFS('Work Items'!O:O,'Work Items'!D:D,VLOOKUP(A59,'Projects Master'!$A:$B,2,0),'Work Items'!A:A,"Task"),0)</f>
        <v/>
      </c>
      <c r="J59" s="220" t="n"/>
      <c r="K59" s="221">
        <f>(H59-I59)*J59</f>
        <v/>
      </c>
      <c r="L59" s="117">
        <f>IFERROR(VLOOKUP(A59,'Projects Master'!$A:$K,5,0),"")</f>
        <v/>
      </c>
    </row>
    <row r="60">
      <c r="A60" s="2">
        <f>IFERROR(INDEX('Projects Master'!$A:$A,ROW()),"")</f>
        <v/>
      </c>
      <c r="B60" s="101">
        <f>IFERROR(VLOOKUP(A60,'Projects Master'!$A:$B,2,0),"")</f>
        <v/>
      </c>
      <c r="C60" s="218">
        <f>IFERROR(VLOOKUP(A60,'Projects Master'!$A:$K,11,0),"")</f>
        <v/>
      </c>
      <c r="D60" s="219" t="n"/>
      <c r="E60" s="219" t="n"/>
      <c r="F60" s="219" t="n"/>
      <c r="G60" s="219" t="n"/>
      <c r="H60" s="25">
        <f>IFERROR(VLOOKUP(A60,'Projects Master'!$A:$I,9,0),0)</f>
        <v/>
      </c>
      <c r="I60" s="7">
        <f>IFERROR(SUMIFS('Work Items'!O:O,'Work Items'!D:D,VLOOKUP(A60,'Projects Master'!$A:$B,2,0),'Work Items'!A:A,"Task"),0)</f>
        <v/>
      </c>
      <c r="J60" s="220" t="n"/>
      <c r="K60" s="221">
        <f>(H60-I60)*J60</f>
        <v/>
      </c>
      <c r="L60" s="117">
        <f>IFERROR(VLOOKUP(A60,'Projects Master'!$A:$K,5,0),"")</f>
        <v/>
      </c>
    </row>
    <row r="61">
      <c r="A61" s="2">
        <f>IFERROR(INDEX('Projects Master'!$A:$A,ROW()),"")</f>
        <v/>
      </c>
      <c r="B61" s="101">
        <f>IFERROR(VLOOKUP(A61,'Projects Master'!$A:$B,2,0),"")</f>
        <v/>
      </c>
      <c r="C61" s="218">
        <f>IFERROR(VLOOKUP(A61,'Projects Master'!$A:$K,11,0),"")</f>
        <v/>
      </c>
      <c r="D61" s="219" t="n"/>
      <c r="E61" s="219" t="n"/>
      <c r="F61" s="219" t="n"/>
      <c r="G61" s="219" t="n"/>
      <c r="H61" s="25">
        <f>IFERROR(VLOOKUP(A61,'Projects Master'!$A:$I,9,0),0)</f>
        <v/>
      </c>
      <c r="I61" s="7">
        <f>IFERROR(SUMIFS('Work Items'!O:O,'Work Items'!D:D,VLOOKUP(A61,'Projects Master'!$A:$B,2,0),'Work Items'!A:A,"Task"),0)</f>
        <v/>
      </c>
      <c r="J61" s="220" t="n"/>
      <c r="K61" s="221">
        <f>(H61-I61)*J61</f>
        <v/>
      </c>
      <c r="L61" s="117">
        <f>IFERROR(VLOOKUP(A61,'Projects Master'!$A:$K,5,0),"")</f>
        <v/>
      </c>
    </row>
    <row r="62">
      <c r="A62" s="2">
        <f>IFERROR(INDEX('Projects Master'!$A:$A,ROW()),"")</f>
        <v/>
      </c>
      <c r="B62" s="101">
        <f>IFERROR(VLOOKUP(A62,'Projects Master'!$A:$B,2,0),"")</f>
        <v/>
      </c>
      <c r="C62" s="218">
        <f>IFERROR(VLOOKUP(A62,'Projects Master'!$A:$K,11,0),"")</f>
        <v/>
      </c>
      <c r="D62" s="219" t="n"/>
      <c r="E62" s="219" t="n"/>
      <c r="F62" s="219" t="n"/>
      <c r="G62" s="219" t="n"/>
      <c r="H62" s="25">
        <f>IFERROR(VLOOKUP(A62,'Projects Master'!$A:$I,9,0),0)</f>
        <v/>
      </c>
      <c r="I62" s="7">
        <f>IFERROR(SUMIFS('Work Items'!O:O,'Work Items'!D:D,VLOOKUP(A62,'Projects Master'!$A:$B,2,0),'Work Items'!A:A,"Task"),0)</f>
        <v/>
      </c>
      <c r="J62" s="220" t="n"/>
      <c r="K62" s="221">
        <f>(H62-I62)*J62</f>
        <v/>
      </c>
      <c r="L62" s="117">
        <f>IFERROR(VLOOKUP(A62,'Projects Master'!$A:$K,5,0),"")</f>
        <v/>
      </c>
    </row>
    <row r="63">
      <c r="A63" s="2">
        <f>IFERROR(INDEX('Projects Master'!$A:$A,ROW()),"")</f>
        <v/>
      </c>
      <c r="B63" s="101">
        <f>IFERROR(VLOOKUP(A63,'Projects Master'!$A:$B,2,0),"")</f>
        <v/>
      </c>
      <c r="C63" s="218">
        <f>IFERROR(VLOOKUP(A63,'Projects Master'!$A:$K,11,0),"")</f>
        <v/>
      </c>
      <c r="D63" s="219" t="n"/>
      <c r="E63" s="219" t="n"/>
      <c r="F63" s="219" t="n"/>
      <c r="G63" s="219" t="n"/>
      <c r="H63" s="25">
        <f>IFERROR(VLOOKUP(A63,'Projects Master'!$A:$I,9,0),0)</f>
        <v/>
      </c>
      <c r="I63" s="7">
        <f>IFERROR(SUMIFS('Work Items'!O:O,'Work Items'!D:D,VLOOKUP(A63,'Projects Master'!$A:$B,2,0),'Work Items'!A:A,"Task"),0)</f>
        <v/>
      </c>
      <c r="J63" s="220" t="n"/>
      <c r="K63" s="221">
        <f>(H63-I63)*J63</f>
        <v/>
      </c>
      <c r="L63" s="117">
        <f>IFERROR(VLOOKUP(A63,'Projects Master'!$A:$K,5,0),"")</f>
        <v/>
      </c>
    </row>
    <row r="64">
      <c r="A64" s="2">
        <f>IFERROR(INDEX('Projects Master'!$A:$A,ROW()),"")</f>
        <v/>
      </c>
      <c r="B64" s="101">
        <f>IFERROR(VLOOKUP(A64,'Projects Master'!$A:$B,2,0),"")</f>
        <v/>
      </c>
      <c r="C64" s="218">
        <f>IFERROR(VLOOKUP(A64,'Projects Master'!$A:$K,11,0),"")</f>
        <v/>
      </c>
      <c r="D64" s="219" t="n"/>
      <c r="E64" s="219" t="n"/>
      <c r="F64" s="219" t="n"/>
      <c r="G64" s="219" t="n"/>
      <c r="H64" s="25">
        <f>IFERROR(VLOOKUP(A64,'Projects Master'!$A:$I,9,0),0)</f>
        <v/>
      </c>
      <c r="I64" s="7">
        <f>IFERROR(SUMIFS('Work Items'!O:O,'Work Items'!D:D,VLOOKUP(A64,'Projects Master'!$A:$B,2,0),'Work Items'!A:A,"Task"),0)</f>
        <v/>
      </c>
      <c r="J64" s="220" t="n"/>
      <c r="K64" s="221">
        <f>(H64-I64)*J64</f>
        <v/>
      </c>
      <c r="L64" s="117">
        <f>IFERROR(VLOOKUP(A64,'Projects Master'!$A:$K,5,0),"")</f>
        <v/>
      </c>
    </row>
    <row r="65">
      <c r="A65" s="2">
        <f>IFERROR(INDEX('Projects Master'!$A:$A,ROW()),"")</f>
        <v/>
      </c>
      <c r="B65" s="101">
        <f>IFERROR(VLOOKUP(A65,'Projects Master'!$A:$B,2,0),"")</f>
        <v/>
      </c>
      <c r="C65" s="218">
        <f>IFERROR(VLOOKUP(A65,'Projects Master'!$A:$K,11,0),"")</f>
        <v/>
      </c>
      <c r="D65" s="219" t="n"/>
      <c r="E65" s="219" t="n"/>
      <c r="F65" s="219" t="n"/>
      <c r="G65" s="219" t="n"/>
      <c r="H65" s="25">
        <f>IFERROR(VLOOKUP(A65,'Projects Master'!$A:$I,9,0),0)</f>
        <v/>
      </c>
      <c r="I65" s="7">
        <f>IFERROR(SUMIFS('Work Items'!O:O,'Work Items'!D:D,VLOOKUP(A65,'Projects Master'!$A:$B,2,0),'Work Items'!A:A,"Task"),0)</f>
        <v/>
      </c>
      <c r="J65" s="220" t="n"/>
      <c r="K65" s="221">
        <f>(H65-I65)*J65</f>
        <v/>
      </c>
      <c r="L65" s="117">
        <f>IFERROR(VLOOKUP(A65,'Projects Master'!$A:$K,5,0),"")</f>
        <v/>
      </c>
    </row>
    <row r="66">
      <c r="A66" s="2">
        <f>IFERROR(INDEX('Projects Master'!$A:$A,ROW()),"")</f>
        <v/>
      </c>
      <c r="B66" s="101">
        <f>IFERROR(VLOOKUP(A66,'Projects Master'!$A:$B,2,0),"")</f>
        <v/>
      </c>
      <c r="C66" s="218">
        <f>IFERROR(VLOOKUP(A66,'Projects Master'!$A:$K,11,0),"")</f>
        <v/>
      </c>
      <c r="D66" s="219" t="n"/>
      <c r="E66" s="219" t="n"/>
      <c r="F66" s="219" t="n"/>
      <c r="G66" s="219" t="n"/>
      <c r="H66" s="25">
        <f>IFERROR(VLOOKUP(A66,'Projects Master'!$A:$I,9,0),0)</f>
        <v/>
      </c>
      <c r="I66" s="7">
        <f>IFERROR(SUMIFS('Work Items'!O:O,'Work Items'!D:D,VLOOKUP(A66,'Projects Master'!$A:$B,2,0),'Work Items'!A:A,"Task"),0)</f>
        <v/>
      </c>
      <c r="J66" s="220" t="n"/>
      <c r="K66" s="221">
        <f>(H66-I66)*J66</f>
        <v/>
      </c>
      <c r="L66" s="117">
        <f>IFERROR(VLOOKUP(A66,'Projects Master'!$A:$K,5,0),"")</f>
        <v/>
      </c>
    </row>
    <row r="67">
      <c r="A67" s="2">
        <f>IFERROR(INDEX('Projects Master'!$A:$A,ROW()),"")</f>
        <v/>
      </c>
      <c r="B67" s="101">
        <f>IFERROR(VLOOKUP(A67,'Projects Master'!$A:$B,2,0),"")</f>
        <v/>
      </c>
      <c r="C67" s="218">
        <f>IFERROR(VLOOKUP(A67,'Projects Master'!$A:$K,11,0),"")</f>
        <v/>
      </c>
      <c r="D67" s="219" t="n"/>
      <c r="E67" s="219" t="n"/>
      <c r="F67" s="219" t="n"/>
      <c r="G67" s="219" t="n"/>
      <c r="H67" s="25">
        <f>IFERROR(VLOOKUP(A67,'Projects Master'!$A:$I,9,0),0)</f>
        <v/>
      </c>
      <c r="I67" s="7">
        <f>IFERROR(SUMIFS('Work Items'!O:O,'Work Items'!D:D,VLOOKUP(A67,'Projects Master'!$A:$B,2,0),'Work Items'!A:A,"Task"),0)</f>
        <v/>
      </c>
      <c r="J67" s="220" t="n"/>
      <c r="K67" s="221">
        <f>(H67-I67)*J67</f>
        <v/>
      </c>
      <c r="L67" s="117">
        <f>IFERROR(VLOOKUP(A67,'Projects Master'!$A:$K,5,0),"")</f>
        <v/>
      </c>
    </row>
    <row r="68">
      <c r="A68" s="2">
        <f>IFERROR(INDEX('Projects Master'!$A:$A,ROW()),"")</f>
        <v/>
      </c>
      <c r="B68" s="101">
        <f>IFERROR(VLOOKUP(A68,'Projects Master'!$A:$B,2,0),"")</f>
        <v/>
      </c>
      <c r="C68" s="218">
        <f>IFERROR(VLOOKUP(A68,'Projects Master'!$A:$K,11,0),"")</f>
        <v/>
      </c>
      <c r="D68" s="219" t="n"/>
      <c r="E68" s="219" t="n"/>
      <c r="F68" s="219" t="n"/>
      <c r="G68" s="219" t="n"/>
      <c r="H68" s="25">
        <f>IFERROR(VLOOKUP(A68,'Projects Master'!$A:$I,9,0),0)</f>
        <v/>
      </c>
      <c r="I68" s="7">
        <f>IFERROR(SUMIFS('Work Items'!O:O,'Work Items'!D:D,VLOOKUP(A68,'Projects Master'!$A:$B,2,0),'Work Items'!A:A,"Task"),0)</f>
        <v/>
      </c>
      <c r="J68" s="220" t="n"/>
      <c r="K68" s="221">
        <f>(H68-I68)*J68</f>
        <v/>
      </c>
      <c r="L68" s="117">
        <f>IFERROR(VLOOKUP(A68,'Projects Master'!$A:$K,5,0),"")</f>
        <v/>
      </c>
    </row>
    <row r="69">
      <c r="A69" s="2">
        <f>IFERROR(INDEX('Projects Master'!$A:$A,ROW()),"")</f>
        <v/>
      </c>
      <c r="B69" s="101">
        <f>IFERROR(VLOOKUP(A69,'Projects Master'!$A:$B,2,0),"")</f>
        <v/>
      </c>
      <c r="C69" s="218">
        <f>IFERROR(VLOOKUP(A69,'Projects Master'!$A:$K,11,0),"")</f>
        <v/>
      </c>
      <c r="D69" s="219" t="n"/>
      <c r="E69" s="219" t="n"/>
      <c r="F69" s="219" t="n"/>
      <c r="G69" s="219" t="n"/>
      <c r="H69" s="25">
        <f>IFERROR(VLOOKUP(A69,'Projects Master'!$A:$I,9,0),0)</f>
        <v/>
      </c>
      <c r="I69" s="7">
        <f>IFERROR(SUMIFS('Work Items'!O:O,'Work Items'!D:D,VLOOKUP(A69,'Projects Master'!$A:$B,2,0),'Work Items'!A:A,"Task"),0)</f>
        <v/>
      </c>
      <c r="J69" s="220" t="n"/>
      <c r="K69" s="221">
        <f>(H69-I69)*J69</f>
        <v/>
      </c>
      <c r="L69" s="117">
        <f>IFERROR(VLOOKUP(A69,'Projects Master'!$A:$K,5,0),"")</f>
        <v/>
      </c>
    </row>
    <row r="70">
      <c r="A70" s="2">
        <f>IFERROR(INDEX('Projects Master'!$A:$A,ROW()),"")</f>
        <v/>
      </c>
      <c r="B70" s="101">
        <f>IFERROR(VLOOKUP(A70,'Projects Master'!$A:$B,2,0),"")</f>
        <v/>
      </c>
      <c r="C70" s="218">
        <f>IFERROR(VLOOKUP(A70,'Projects Master'!$A:$K,11,0),"")</f>
        <v/>
      </c>
      <c r="D70" s="219" t="n"/>
      <c r="E70" s="219" t="n"/>
      <c r="F70" s="219" t="n"/>
      <c r="G70" s="219" t="n"/>
      <c r="H70" s="25">
        <f>IFERROR(VLOOKUP(A70,'Projects Master'!$A:$I,9,0),0)</f>
        <v/>
      </c>
      <c r="I70" s="7">
        <f>IFERROR(SUMIFS('Work Items'!O:O,'Work Items'!D:D,VLOOKUP(A70,'Projects Master'!$A:$B,2,0),'Work Items'!A:A,"Task"),0)</f>
        <v/>
      </c>
      <c r="J70" s="220" t="n"/>
      <c r="K70" s="221">
        <f>(H70-I70)*J70</f>
        <v/>
      </c>
      <c r="L70" s="117">
        <f>IFERROR(VLOOKUP(A70,'Projects Master'!$A:$K,5,0),"")</f>
        <v/>
      </c>
    </row>
    <row r="71">
      <c r="A71" s="2">
        <f>IFERROR(INDEX('Projects Master'!$A:$A,ROW()),"")</f>
        <v/>
      </c>
      <c r="B71" s="101">
        <f>IFERROR(VLOOKUP(A71,'Projects Master'!$A:$B,2,0),"")</f>
        <v/>
      </c>
      <c r="C71" s="218">
        <f>IFERROR(VLOOKUP(A71,'Projects Master'!$A:$K,11,0),"")</f>
        <v/>
      </c>
      <c r="D71" s="219" t="n"/>
      <c r="E71" s="219" t="n"/>
      <c r="F71" s="219" t="n"/>
      <c r="G71" s="219" t="n"/>
      <c r="H71" s="25">
        <f>IFERROR(VLOOKUP(A71,'Projects Master'!$A:$I,9,0),0)</f>
        <v/>
      </c>
      <c r="I71" s="7">
        <f>IFERROR(SUMIFS('Work Items'!O:O,'Work Items'!D:D,VLOOKUP(A71,'Projects Master'!$A:$B,2,0),'Work Items'!A:A,"Task"),0)</f>
        <v/>
      </c>
      <c r="J71" s="220" t="n"/>
      <c r="K71" s="221">
        <f>(H71-I71)*J71</f>
        <v/>
      </c>
      <c r="L71" s="117">
        <f>IFERROR(VLOOKUP(A71,'Projects Master'!$A:$K,5,0),"")</f>
        <v/>
      </c>
    </row>
    <row r="72">
      <c r="A72" s="2">
        <f>IFERROR(INDEX('Projects Master'!$A:$A,ROW()),"")</f>
        <v/>
      </c>
      <c r="B72" s="101">
        <f>IFERROR(VLOOKUP(A72,'Projects Master'!$A:$B,2,0),"")</f>
        <v/>
      </c>
      <c r="C72" s="218">
        <f>IFERROR(VLOOKUP(A72,'Projects Master'!$A:$K,11,0),"")</f>
        <v/>
      </c>
      <c r="D72" s="219" t="n"/>
      <c r="E72" s="219" t="n"/>
      <c r="F72" s="219" t="n"/>
      <c r="G72" s="219" t="n"/>
      <c r="H72" s="25">
        <f>IFERROR(VLOOKUP(A72,'Projects Master'!$A:$I,9,0),0)</f>
        <v/>
      </c>
      <c r="I72" s="7">
        <f>IFERROR(SUMIFS('Work Items'!O:O,'Work Items'!D:D,VLOOKUP(A72,'Projects Master'!$A:$B,2,0),'Work Items'!A:A,"Task"),0)</f>
        <v/>
      </c>
      <c r="J72" s="220" t="n"/>
      <c r="K72" s="221">
        <f>(H72-I72)*J72</f>
        <v/>
      </c>
      <c r="L72" s="117">
        <f>IFERROR(VLOOKUP(A72,'Projects Master'!$A:$K,5,0),"")</f>
        <v/>
      </c>
    </row>
    <row r="73">
      <c r="A73" s="2">
        <f>IFERROR(INDEX('Projects Master'!$A:$A,ROW()),"")</f>
        <v/>
      </c>
      <c r="B73" s="101">
        <f>IFERROR(VLOOKUP(A73,'Projects Master'!$A:$B,2,0),"")</f>
        <v/>
      </c>
      <c r="C73" s="218">
        <f>IFERROR(VLOOKUP(A73,'Projects Master'!$A:$K,11,0),"")</f>
        <v/>
      </c>
      <c r="D73" s="219" t="n"/>
      <c r="E73" s="219" t="n"/>
      <c r="F73" s="219" t="n"/>
      <c r="G73" s="219" t="n"/>
      <c r="H73" s="25">
        <f>IFERROR(VLOOKUP(A73,'Projects Master'!$A:$I,9,0),0)</f>
        <v/>
      </c>
      <c r="I73" s="7">
        <f>IFERROR(SUMIFS('Work Items'!O:O,'Work Items'!D:D,VLOOKUP(A73,'Projects Master'!$A:$B,2,0),'Work Items'!A:A,"Task"),0)</f>
        <v/>
      </c>
      <c r="J73" s="220" t="n"/>
      <c r="K73" s="221">
        <f>(H73-I73)*J73</f>
        <v/>
      </c>
      <c r="L73" s="117">
        <f>IFERROR(VLOOKUP(A73,'Projects Master'!$A:$K,5,0),"")</f>
        <v/>
      </c>
    </row>
    <row r="74">
      <c r="A74" s="2">
        <f>IFERROR(INDEX('Projects Master'!$A:$A,ROW()),"")</f>
        <v/>
      </c>
      <c r="B74" s="101">
        <f>IFERROR(VLOOKUP(A74,'Projects Master'!$A:$B,2,0),"")</f>
        <v/>
      </c>
      <c r="C74" s="218">
        <f>IFERROR(VLOOKUP(A74,'Projects Master'!$A:$K,11,0),"")</f>
        <v/>
      </c>
      <c r="D74" s="219" t="n"/>
      <c r="E74" s="219" t="n"/>
      <c r="F74" s="219" t="n"/>
      <c r="G74" s="219" t="n"/>
      <c r="H74" s="25">
        <f>IFERROR(VLOOKUP(A74,'Projects Master'!$A:$I,9,0),0)</f>
        <v/>
      </c>
      <c r="I74" s="7">
        <f>IFERROR(SUMIFS('Work Items'!O:O,'Work Items'!D:D,VLOOKUP(A74,'Projects Master'!$A:$B,2,0),'Work Items'!A:A,"Task"),0)</f>
        <v/>
      </c>
      <c r="J74" s="220" t="n"/>
      <c r="K74" s="221">
        <f>(H74-I74)*J74</f>
        <v/>
      </c>
      <c r="L74" s="117">
        <f>IFERROR(VLOOKUP(A74,'Projects Master'!$A:$K,5,0),"")</f>
        <v/>
      </c>
    </row>
    <row r="75">
      <c r="A75" s="2">
        <f>IFERROR(INDEX('Projects Master'!$A:$A,ROW()),"")</f>
        <v/>
      </c>
      <c r="B75" s="101">
        <f>IFERROR(VLOOKUP(A75,'Projects Master'!$A:$B,2,0),"")</f>
        <v/>
      </c>
      <c r="C75" s="218">
        <f>IFERROR(VLOOKUP(A75,'Projects Master'!$A:$K,11,0),"")</f>
        <v/>
      </c>
      <c r="D75" s="219" t="n"/>
      <c r="E75" s="219" t="n"/>
      <c r="F75" s="219" t="n"/>
      <c r="G75" s="219" t="n"/>
      <c r="H75" s="25">
        <f>IFERROR(VLOOKUP(A75,'Projects Master'!$A:$I,9,0),0)</f>
        <v/>
      </c>
      <c r="I75" s="7">
        <f>IFERROR(SUMIFS('Work Items'!O:O,'Work Items'!D:D,VLOOKUP(A75,'Projects Master'!$A:$B,2,0),'Work Items'!A:A,"Task"),0)</f>
        <v/>
      </c>
      <c r="J75" s="220" t="n"/>
      <c r="K75" s="221">
        <f>(H75-I75)*J75</f>
        <v/>
      </c>
      <c r="L75" s="117">
        <f>IFERROR(VLOOKUP(A75,'Projects Master'!$A:$K,5,0),"")</f>
        <v/>
      </c>
    </row>
    <row r="76">
      <c r="A76" s="2">
        <f>IFERROR(INDEX('Projects Master'!$A:$A,ROW()),"")</f>
        <v/>
      </c>
      <c r="B76" s="101">
        <f>IFERROR(VLOOKUP(A76,'Projects Master'!$A:$B,2,0),"")</f>
        <v/>
      </c>
      <c r="C76" s="218">
        <f>IFERROR(VLOOKUP(A76,'Projects Master'!$A:$K,11,0),"")</f>
        <v/>
      </c>
      <c r="D76" s="219" t="n"/>
      <c r="E76" s="219" t="n"/>
      <c r="F76" s="219" t="n"/>
      <c r="G76" s="219" t="n"/>
      <c r="H76" s="25">
        <f>IFERROR(VLOOKUP(A76,'Projects Master'!$A:$I,9,0),0)</f>
        <v/>
      </c>
      <c r="I76" s="7">
        <f>IFERROR(SUMIFS('Work Items'!O:O,'Work Items'!D:D,VLOOKUP(A76,'Projects Master'!$A:$B,2,0),'Work Items'!A:A,"Task"),0)</f>
        <v/>
      </c>
      <c r="J76" s="220" t="n"/>
      <c r="K76" s="221">
        <f>(H76-I76)*J76</f>
        <v/>
      </c>
      <c r="L76" s="117">
        <f>IFERROR(VLOOKUP(A76,'Projects Master'!$A:$K,5,0),"")</f>
        <v/>
      </c>
    </row>
    <row r="77">
      <c r="A77" s="2">
        <f>IFERROR(INDEX('Projects Master'!$A:$A,ROW()),"")</f>
        <v/>
      </c>
      <c r="B77" s="101">
        <f>IFERROR(VLOOKUP(A77,'Projects Master'!$A:$B,2,0),"")</f>
        <v/>
      </c>
      <c r="C77" s="218">
        <f>IFERROR(VLOOKUP(A77,'Projects Master'!$A:$K,11,0),"")</f>
        <v/>
      </c>
      <c r="D77" s="219" t="n"/>
      <c r="E77" s="219" t="n"/>
      <c r="F77" s="219" t="n"/>
      <c r="G77" s="219" t="n"/>
      <c r="H77" s="25">
        <f>IFERROR(VLOOKUP(A77,'Projects Master'!$A:$I,9,0),0)</f>
        <v/>
      </c>
      <c r="I77" s="7">
        <f>IFERROR(SUMIFS('Work Items'!O:O,'Work Items'!D:D,VLOOKUP(A77,'Projects Master'!$A:$B,2,0),'Work Items'!A:A,"Task"),0)</f>
        <v/>
      </c>
      <c r="J77" s="220" t="n"/>
      <c r="K77" s="221">
        <f>(H77-I77)*J77</f>
        <v/>
      </c>
      <c r="L77" s="117">
        <f>IFERROR(VLOOKUP(A77,'Projects Master'!$A:$K,5,0),"")</f>
        <v/>
      </c>
    </row>
    <row r="78">
      <c r="A78" s="2">
        <f>IFERROR(INDEX('Projects Master'!$A:$A,ROW()),"")</f>
        <v/>
      </c>
      <c r="B78" s="101">
        <f>IFERROR(VLOOKUP(A78,'Projects Master'!$A:$B,2,0),"")</f>
        <v/>
      </c>
      <c r="C78" s="218">
        <f>IFERROR(VLOOKUP(A78,'Projects Master'!$A:$K,11,0),"")</f>
        <v/>
      </c>
      <c r="D78" s="219" t="n"/>
      <c r="E78" s="219" t="n"/>
      <c r="F78" s="219" t="n"/>
      <c r="G78" s="219" t="n"/>
      <c r="H78" s="25">
        <f>IFERROR(VLOOKUP(A78,'Projects Master'!$A:$I,9,0),0)</f>
        <v/>
      </c>
      <c r="I78" s="7">
        <f>IFERROR(SUMIFS('Work Items'!O:O,'Work Items'!D:D,VLOOKUP(A78,'Projects Master'!$A:$B,2,0),'Work Items'!A:A,"Task"),0)</f>
        <v/>
      </c>
      <c r="J78" s="220" t="n"/>
      <c r="K78" s="221">
        <f>(H78-I78)*J78</f>
        <v/>
      </c>
      <c r="L78" s="117">
        <f>IFERROR(VLOOKUP(A78,'Projects Master'!$A:$K,5,0),"")</f>
        <v/>
      </c>
    </row>
    <row r="79">
      <c r="A79" s="2">
        <f>IFERROR(INDEX('Projects Master'!$A:$A,ROW()),"")</f>
        <v/>
      </c>
      <c r="B79" s="101">
        <f>IFERROR(VLOOKUP(A79,'Projects Master'!$A:$B,2,0),"")</f>
        <v/>
      </c>
      <c r="C79" s="218">
        <f>IFERROR(VLOOKUP(A79,'Projects Master'!$A:$K,11,0),"")</f>
        <v/>
      </c>
      <c r="D79" s="219" t="n"/>
      <c r="E79" s="219" t="n"/>
      <c r="F79" s="219" t="n"/>
      <c r="G79" s="219" t="n"/>
      <c r="H79" s="25">
        <f>IFERROR(VLOOKUP(A79,'Projects Master'!$A:$I,9,0),0)</f>
        <v/>
      </c>
      <c r="I79" s="7">
        <f>IFERROR(SUMIFS('Work Items'!O:O,'Work Items'!D:D,VLOOKUP(A79,'Projects Master'!$A:$B,2,0),'Work Items'!A:A,"Task"),0)</f>
        <v/>
      </c>
      <c r="J79" s="220" t="n"/>
      <c r="K79" s="221">
        <f>(H79-I79)*J79</f>
        <v/>
      </c>
      <c r="L79" s="117">
        <f>IFERROR(VLOOKUP(A79,'Projects Master'!$A:$K,5,0),"")</f>
        <v/>
      </c>
    </row>
    <row r="80">
      <c r="A80" s="2">
        <f>IFERROR(INDEX('Projects Master'!$A:$A,ROW()),"")</f>
        <v/>
      </c>
      <c r="B80" s="101">
        <f>IFERROR(VLOOKUP(A80,'Projects Master'!$A:$B,2,0),"")</f>
        <v/>
      </c>
      <c r="C80" s="218">
        <f>IFERROR(VLOOKUP(A80,'Projects Master'!$A:$K,11,0),"")</f>
        <v/>
      </c>
      <c r="D80" s="219" t="n"/>
      <c r="E80" s="219" t="n"/>
      <c r="F80" s="219" t="n"/>
      <c r="G80" s="219" t="n"/>
      <c r="H80" s="25">
        <f>IFERROR(VLOOKUP(A80,'Projects Master'!$A:$I,9,0),0)</f>
        <v/>
      </c>
      <c r="I80" s="7">
        <f>IFERROR(SUMIFS('Work Items'!O:O,'Work Items'!D:D,VLOOKUP(A80,'Projects Master'!$A:$B,2,0),'Work Items'!A:A,"Task"),0)</f>
        <v/>
      </c>
      <c r="J80" s="220" t="n"/>
      <c r="K80" s="221">
        <f>(H80-I80)*J80</f>
        <v/>
      </c>
      <c r="L80" s="117">
        <f>IFERROR(VLOOKUP(A80,'Projects Master'!$A:$K,5,0),"")</f>
        <v/>
      </c>
    </row>
    <row r="81">
      <c r="A81" s="2">
        <f>IFERROR(INDEX('Projects Master'!$A:$A,ROW()),"")</f>
        <v/>
      </c>
      <c r="B81" s="101">
        <f>IFERROR(VLOOKUP(A81,'Projects Master'!$A:$B,2,0),"")</f>
        <v/>
      </c>
      <c r="C81" s="218">
        <f>IFERROR(VLOOKUP(A81,'Projects Master'!$A:$K,11,0),"")</f>
        <v/>
      </c>
      <c r="D81" s="219" t="n"/>
      <c r="E81" s="219" t="n"/>
      <c r="F81" s="219" t="n"/>
      <c r="G81" s="219" t="n"/>
      <c r="H81" s="25">
        <f>IFERROR(VLOOKUP(A81,'Projects Master'!$A:$I,9,0),0)</f>
        <v/>
      </c>
      <c r="I81" s="7">
        <f>IFERROR(SUMIFS('Work Items'!O:O,'Work Items'!D:D,VLOOKUP(A81,'Projects Master'!$A:$B,2,0),'Work Items'!A:A,"Task"),0)</f>
        <v/>
      </c>
      <c r="J81" s="220" t="n"/>
      <c r="K81" s="221">
        <f>(H81-I81)*J81</f>
        <v/>
      </c>
      <c r="L81" s="117">
        <f>IFERROR(VLOOKUP(A81,'Projects Master'!$A:$K,5,0),"")</f>
        <v/>
      </c>
    </row>
    <row r="82">
      <c r="A82" s="2">
        <f>IFERROR(INDEX('Projects Master'!$A:$A,ROW()),"")</f>
        <v/>
      </c>
      <c r="B82" s="101">
        <f>IFERROR(VLOOKUP(A82,'Projects Master'!$A:$B,2,0),"")</f>
        <v/>
      </c>
      <c r="C82" s="218">
        <f>IFERROR(VLOOKUP(A82,'Projects Master'!$A:$K,11,0),"")</f>
        <v/>
      </c>
      <c r="D82" s="219" t="n"/>
      <c r="E82" s="219" t="n"/>
      <c r="F82" s="219" t="n"/>
      <c r="G82" s="219" t="n"/>
      <c r="H82" s="25">
        <f>IFERROR(VLOOKUP(A82,'Projects Master'!$A:$I,9,0),0)</f>
        <v/>
      </c>
      <c r="I82" s="7">
        <f>IFERROR(SUMIFS('Work Items'!O:O,'Work Items'!D:D,VLOOKUP(A82,'Projects Master'!$A:$B,2,0),'Work Items'!A:A,"Task"),0)</f>
        <v/>
      </c>
      <c r="J82" s="220" t="n"/>
      <c r="K82" s="221">
        <f>(H82-I82)*J82</f>
        <v/>
      </c>
      <c r="L82" s="117">
        <f>IFERROR(VLOOKUP(A82,'Projects Master'!$A:$K,5,0),"")</f>
        <v/>
      </c>
    </row>
    <row r="83">
      <c r="A83" s="2">
        <f>IFERROR(INDEX('Projects Master'!$A:$A,ROW()),"")</f>
        <v/>
      </c>
      <c r="B83" s="101">
        <f>IFERROR(VLOOKUP(A83,'Projects Master'!$A:$B,2,0),"")</f>
        <v/>
      </c>
      <c r="C83" s="218">
        <f>IFERROR(VLOOKUP(A83,'Projects Master'!$A:$K,11,0),"")</f>
        <v/>
      </c>
      <c r="D83" s="219" t="n"/>
      <c r="E83" s="219" t="n"/>
      <c r="F83" s="219" t="n"/>
      <c r="G83" s="219" t="n"/>
      <c r="H83" s="25">
        <f>IFERROR(VLOOKUP(A83,'Projects Master'!$A:$I,9,0),0)</f>
        <v/>
      </c>
      <c r="I83" s="7">
        <f>IFERROR(SUMIFS('Work Items'!O:O,'Work Items'!D:D,VLOOKUP(A83,'Projects Master'!$A:$B,2,0),'Work Items'!A:A,"Task"),0)</f>
        <v/>
      </c>
      <c r="J83" s="220" t="n"/>
      <c r="K83" s="221">
        <f>(H83-I83)*J83</f>
        <v/>
      </c>
      <c r="L83" s="117">
        <f>IFERROR(VLOOKUP(A83,'Projects Master'!$A:$K,5,0),"")</f>
        <v/>
      </c>
    </row>
    <row r="84">
      <c r="A84" s="2">
        <f>IFERROR(INDEX('Projects Master'!$A:$A,ROW()),"")</f>
        <v/>
      </c>
      <c r="B84" s="101">
        <f>IFERROR(VLOOKUP(A84,'Projects Master'!$A:$B,2,0),"")</f>
        <v/>
      </c>
      <c r="C84" s="218">
        <f>IFERROR(VLOOKUP(A84,'Projects Master'!$A:$K,11,0),"")</f>
        <v/>
      </c>
      <c r="D84" s="219" t="n"/>
      <c r="E84" s="219" t="n"/>
      <c r="F84" s="219" t="n"/>
      <c r="G84" s="219" t="n"/>
      <c r="H84" s="25">
        <f>IFERROR(VLOOKUP(A84,'Projects Master'!$A:$I,9,0),0)</f>
        <v/>
      </c>
      <c r="I84" s="7">
        <f>IFERROR(SUMIFS('Work Items'!O:O,'Work Items'!D:D,VLOOKUP(A84,'Projects Master'!$A:$B,2,0),'Work Items'!A:A,"Task"),0)</f>
        <v/>
      </c>
      <c r="J84" s="220" t="n"/>
      <c r="K84" s="221">
        <f>(H84-I84)*J84</f>
        <v/>
      </c>
      <c r="L84" s="117">
        <f>IFERROR(VLOOKUP(A84,'Projects Master'!$A:$K,5,0),"")</f>
        <v/>
      </c>
    </row>
    <row r="85">
      <c r="A85" s="2">
        <f>IFERROR(INDEX('Projects Master'!$A:$A,ROW()),"")</f>
        <v/>
      </c>
      <c r="B85" s="101">
        <f>IFERROR(VLOOKUP(A85,'Projects Master'!$A:$B,2,0),"")</f>
        <v/>
      </c>
      <c r="C85" s="218">
        <f>IFERROR(VLOOKUP(A85,'Projects Master'!$A:$K,11,0),"")</f>
        <v/>
      </c>
      <c r="D85" s="219" t="n"/>
      <c r="E85" s="219" t="n"/>
      <c r="F85" s="219" t="n"/>
      <c r="G85" s="219" t="n"/>
      <c r="H85" s="25">
        <f>IFERROR(VLOOKUP(A85,'Projects Master'!$A:$I,9,0),0)</f>
        <v/>
      </c>
      <c r="I85" s="7">
        <f>IFERROR(SUMIFS('Work Items'!O:O,'Work Items'!D:D,VLOOKUP(A85,'Projects Master'!$A:$B,2,0),'Work Items'!A:A,"Task"),0)</f>
        <v/>
      </c>
      <c r="J85" s="220" t="n"/>
      <c r="K85" s="221">
        <f>(H85-I85)*J85</f>
        <v/>
      </c>
      <c r="L85" s="117">
        <f>IFERROR(VLOOKUP(A85,'Projects Master'!$A:$K,5,0),"")</f>
        <v/>
      </c>
    </row>
    <row r="86">
      <c r="A86" s="2">
        <f>IFERROR(INDEX('Projects Master'!$A:$A,ROW()),"")</f>
        <v/>
      </c>
      <c r="B86" s="101">
        <f>IFERROR(VLOOKUP(A86,'Projects Master'!$A:$B,2,0),"")</f>
        <v/>
      </c>
      <c r="C86" s="218">
        <f>IFERROR(VLOOKUP(A86,'Projects Master'!$A:$K,11,0),"")</f>
        <v/>
      </c>
      <c r="D86" s="219" t="n"/>
      <c r="E86" s="219" t="n"/>
      <c r="F86" s="219" t="n"/>
      <c r="G86" s="219" t="n"/>
      <c r="H86" s="25">
        <f>IFERROR(VLOOKUP(A86,'Projects Master'!$A:$I,9,0),0)</f>
        <v/>
      </c>
      <c r="I86" s="7">
        <f>IFERROR(SUMIFS('Work Items'!O:O,'Work Items'!D:D,VLOOKUP(A86,'Projects Master'!$A:$B,2,0),'Work Items'!A:A,"Task"),0)</f>
        <v/>
      </c>
      <c r="J86" s="220" t="n"/>
      <c r="K86" s="221">
        <f>(H86-I86)*J86</f>
        <v/>
      </c>
      <c r="L86" s="117">
        <f>IFERROR(VLOOKUP(A86,'Projects Master'!$A:$K,5,0),"")</f>
        <v/>
      </c>
    </row>
    <row r="87">
      <c r="A87" s="2">
        <f>IFERROR(INDEX('Projects Master'!$A:$A,ROW()),"")</f>
        <v/>
      </c>
      <c r="B87" s="101">
        <f>IFERROR(VLOOKUP(A87,'Projects Master'!$A:$B,2,0),"")</f>
        <v/>
      </c>
      <c r="C87" s="218">
        <f>IFERROR(VLOOKUP(A87,'Projects Master'!$A:$K,11,0),"")</f>
        <v/>
      </c>
      <c r="D87" s="219" t="n"/>
      <c r="E87" s="219" t="n"/>
      <c r="F87" s="219" t="n"/>
      <c r="G87" s="219" t="n"/>
      <c r="H87" s="25">
        <f>IFERROR(VLOOKUP(A87,'Projects Master'!$A:$I,9,0),0)</f>
        <v/>
      </c>
      <c r="I87" s="7">
        <f>IFERROR(SUMIFS('Work Items'!O:O,'Work Items'!D:D,VLOOKUP(A87,'Projects Master'!$A:$B,2,0),'Work Items'!A:A,"Task"),0)</f>
        <v/>
      </c>
      <c r="J87" s="220" t="n"/>
      <c r="K87" s="221">
        <f>(H87-I87)*J87</f>
        <v/>
      </c>
      <c r="L87" s="117">
        <f>IFERROR(VLOOKUP(A87,'Projects Master'!$A:$K,5,0),"")</f>
        <v/>
      </c>
    </row>
    <row r="88">
      <c r="A88" s="2">
        <f>IFERROR(INDEX('Projects Master'!$A:$A,ROW()),"")</f>
        <v/>
      </c>
      <c r="B88" s="101">
        <f>IFERROR(VLOOKUP(A88,'Projects Master'!$A:$B,2,0),"")</f>
        <v/>
      </c>
      <c r="C88" s="218">
        <f>IFERROR(VLOOKUP(A88,'Projects Master'!$A:$K,11,0),"")</f>
        <v/>
      </c>
      <c r="D88" s="219" t="n"/>
      <c r="E88" s="219" t="n"/>
      <c r="F88" s="219" t="n"/>
      <c r="G88" s="219" t="n"/>
      <c r="H88" s="25">
        <f>IFERROR(VLOOKUP(A88,'Projects Master'!$A:$I,9,0),0)</f>
        <v/>
      </c>
      <c r="I88" s="7">
        <f>IFERROR(SUMIFS('Work Items'!O:O,'Work Items'!D:D,VLOOKUP(A88,'Projects Master'!$A:$B,2,0),'Work Items'!A:A,"Task"),0)</f>
        <v/>
      </c>
      <c r="J88" s="220" t="n"/>
      <c r="K88" s="221">
        <f>(H88-I88)*J88</f>
        <v/>
      </c>
      <c r="L88" s="117">
        <f>IFERROR(VLOOKUP(A88,'Projects Master'!$A:$K,5,0),"")</f>
        <v/>
      </c>
    </row>
    <row r="89">
      <c r="A89" s="2">
        <f>IFERROR(INDEX('Projects Master'!$A:$A,ROW()),"")</f>
        <v/>
      </c>
      <c r="B89" s="101">
        <f>IFERROR(VLOOKUP(A89,'Projects Master'!$A:$B,2,0),"")</f>
        <v/>
      </c>
      <c r="C89" s="218">
        <f>IFERROR(VLOOKUP(A89,'Projects Master'!$A:$K,11,0),"")</f>
        <v/>
      </c>
      <c r="D89" s="219" t="n"/>
      <c r="E89" s="219" t="n"/>
      <c r="F89" s="219" t="n"/>
      <c r="G89" s="219" t="n"/>
      <c r="H89" s="25">
        <f>IFERROR(VLOOKUP(A89,'Projects Master'!$A:$I,9,0),0)</f>
        <v/>
      </c>
      <c r="I89" s="7">
        <f>IFERROR(SUMIFS('Work Items'!O:O,'Work Items'!D:D,VLOOKUP(A89,'Projects Master'!$A:$B,2,0),'Work Items'!A:A,"Task"),0)</f>
        <v/>
      </c>
      <c r="J89" s="220" t="n"/>
      <c r="K89" s="221">
        <f>(H89-I89)*J89</f>
        <v/>
      </c>
      <c r="L89" s="117">
        <f>IFERROR(VLOOKUP(A89,'Projects Master'!$A:$K,5,0),"")</f>
        <v/>
      </c>
    </row>
    <row r="90">
      <c r="A90" s="2">
        <f>IFERROR(INDEX('Projects Master'!$A:$A,ROW()),"")</f>
        <v/>
      </c>
      <c r="B90" s="101">
        <f>IFERROR(VLOOKUP(A90,'Projects Master'!$A:$B,2,0),"")</f>
        <v/>
      </c>
      <c r="C90" s="218">
        <f>IFERROR(VLOOKUP(A90,'Projects Master'!$A:$K,11,0),"")</f>
        <v/>
      </c>
      <c r="D90" s="219" t="n"/>
      <c r="E90" s="219" t="n"/>
      <c r="F90" s="219" t="n"/>
      <c r="G90" s="219" t="n"/>
      <c r="H90" s="25">
        <f>IFERROR(VLOOKUP(A90,'Projects Master'!$A:$I,9,0),0)</f>
        <v/>
      </c>
      <c r="I90" s="7">
        <f>IFERROR(SUMIFS('Work Items'!O:O,'Work Items'!D:D,VLOOKUP(A90,'Projects Master'!$A:$B,2,0),'Work Items'!A:A,"Task"),0)</f>
        <v/>
      </c>
      <c r="J90" s="220" t="n"/>
      <c r="K90" s="221">
        <f>(H90-I90)*J90</f>
        <v/>
      </c>
      <c r="L90" s="117">
        <f>IFERROR(VLOOKUP(A90,'Projects Master'!$A:$K,5,0),"")</f>
        <v/>
      </c>
    </row>
    <row r="91">
      <c r="A91" s="2">
        <f>IFERROR(INDEX('Projects Master'!$A:$A,ROW()),"")</f>
        <v/>
      </c>
      <c r="B91" s="101">
        <f>IFERROR(VLOOKUP(A91,'Projects Master'!$A:$B,2,0),"")</f>
        <v/>
      </c>
      <c r="C91" s="218">
        <f>IFERROR(VLOOKUP(A91,'Projects Master'!$A:$K,11,0),"")</f>
        <v/>
      </c>
      <c r="D91" s="219" t="n"/>
      <c r="E91" s="219" t="n"/>
      <c r="F91" s="219" t="n"/>
      <c r="G91" s="219" t="n"/>
      <c r="H91" s="25">
        <f>IFERROR(VLOOKUP(A91,'Projects Master'!$A:$I,9,0),0)</f>
        <v/>
      </c>
      <c r="I91" s="7">
        <f>IFERROR(SUMIFS('Work Items'!O:O,'Work Items'!D:D,VLOOKUP(A91,'Projects Master'!$A:$B,2,0),'Work Items'!A:A,"Task"),0)</f>
        <v/>
      </c>
      <c r="J91" s="220" t="n"/>
      <c r="K91" s="221">
        <f>(H91-I91)*J91</f>
        <v/>
      </c>
      <c r="L91" s="117">
        <f>IFERROR(VLOOKUP(A91,'Projects Master'!$A:$K,5,0),"")</f>
        <v/>
      </c>
    </row>
    <row r="92">
      <c r="A92" s="2">
        <f>IFERROR(INDEX('Projects Master'!$A:$A,ROW()),"")</f>
        <v/>
      </c>
      <c r="B92" s="101">
        <f>IFERROR(VLOOKUP(A92,'Projects Master'!$A:$B,2,0),"")</f>
        <v/>
      </c>
      <c r="C92" s="218">
        <f>IFERROR(VLOOKUP(A92,'Projects Master'!$A:$K,11,0),"")</f>
        <v/>
      </c>
      <c r="D92" s="219" t="n"/>
      <c r="E92" s="219" t="n"/>
      <c r="F92" s="219" t="n"/>
      <c r="G92" s="219" t="n"/>
      <c r="H92" s="25">
        <f>IFERROR(VLOOKUP(A92,'Projects Master'!$A:$I,9,0),0)</f>
        <v/>
      </c>
      <c r="I92" s="7">
        <f>IFERROR(SUMIFS('Work Items'!O:O,'Work Items'!D:D,VLOOKUP(A92,'Projects Master'!$A:$B,2,0),'Work Items'!A:A,"Task"),0)</f>
        <v/>
      </c>
      <c r="J92" s="220" t="n"/>
      <c r="K92" s="221">
        <f>(H92-I92)*J92</f>
        <v/>
      </c>
      <c r="L92" s="117">
        <f>IFERROR(VLOOKUP(A92,'Projects Master'!$A:$K,5,0),"")</f>
        <v/>
      </c>
    </row>
    <row r="93">
      <c r="A93" s="2">
        <f>IFERROR(INDEX('Projects Master'!$A:$A,ROW()),"")</f>
        <v/>
      </c>
      <c r="B93" s="101">
        <f>IFERROR(VLOOKUP(A93,'Projects Master'!$A:$B,2,0),"")</f>
        <v/>
      </c>
      <c r="C93" s="218">
        <f>IFERROR(VLOOKUP(A93,'Projects Master'!$A:$K,11,0),"")</f>
        <v/>
      </c>
      <c r="D93" s="219" t="n"/>
      <c r="E93" s="219" t="n"/>
      <c r="F93" s="219" t="n"/>
      <c r="G93" s="219" t="n"/>
      <c r="H93" s="25">
        <f>IFERROR(VLOOKUP(A93,'Projects Master'!$A:$I,9,0),0)</f>
        <v/>
      </c>
      <c r="I93" s="7">
        <f>IFERROR(SUMIFS('Work Items'!O:O,'Work Items'!D:D,VLOOKUP(A93,'Projects Master'!$A:$B,2,0),'Work Items'!A:A,"Task"),0)</f>
        <v/>
      </c>
      <c r="J93" s="220" t="n"/>
      <c r="K93" s="221">
        <f>(H93-I93)*J93</f>
        <v/>
      </c>
      <c r="L93" s="117">
        <f>IFERROR(VLOOKUP(A93,'Projects Master'!$A:$K,5,0),"")</f>
        <v/>
      </c>
    </row>
    <row r="94">
      <c r="A94" s="2">
        <f>IFERROR(INDEX('Projects Master'!$A:$A,ROW()),"")</f>
        <v/>
      </c>
      <c r="B94" s="101">
        <f>IFERROR(VLOOKUP(A94,'Projects Master'!$A:$B,2,0),"")</f>
        <v/>
      </c>
      <c r="C94" s="218">
        <f>IFERROR(VLOOKUP(A94,'Projects Master'!$A:$K,11,0),"")</f>
        <v/>
      </c>
      <c r="D94" s="219" t="n"/>
      <c r="E94" s="219" t="n"/>
      <c r="F94" s="219" t="n"/>
      <c r="G94" s="219" t="n"/>
      <c r="H94" s="25">
        <f>IFERROR(VLOOKUP(A94,'Projects Master'!$A:$I,9,0),0)</f>
        <v/>
      </c>
      <c r="I94" s="7">
        <f>IFERROR(SUMIFS('Work Items'!O:O,'Work Items'!D:D,VLOOKUP(A94,'Projects Master'!$A:$B,2,0),'Work Items'!A:A,"Task"),0)</f>
        <v/>
      </c>
      <c r="J94" s="220" t="n"/>
      <c r="K94" s="221">
        <f>(H94-I94)*J94</f>
        <v/>
      </c>
      <c r="L94" s="117">
        <f>IFERROR(VLOOKUP(A94,'Projects Master'!$A:$K,5,0),"")</f>
        <v/>
      </c>
    </row>
    <row r="95">
      <c r="A95" s="2">
        <f>IFERROR(INDEX('Projects Master'!$A:$A,ROW()),"")</f>
        <v/>
      </c>
      <c r="B95" s="101">
        <f>IFERROR(VLOOKUP(A95,'Projects Master'!$A:$B,2,0),"")</f>
        <v/>
      </c>
      <c r="C95" s="218">
        <f>IFERROR(VLOOKUP(A95,'Projects Master'!$A:$K,11,0),"")</f>
        <v/>
      </c>
      <c r="D95" s="219" t="n"/>
      <c r="E95" s="219" t="n"/>
      <c r="F95" s="219" t="n"/>
      <c r="G95" s="219" t="n"/>
      <c r="H95" s="25">
        <f>IFERROR(VLOOKUP(A95,'Projects Master'!$A:$I,9,0),0)</f>
        <v/>
      </c>
      <c r="I95" s="7">
        <f>IFERROR(SUMIFS('Work Items'!O:O,'Work Items'!D:D,VLOOKUP(A95,'Projects Master'!$A:$B,2,0),'Work Items'!A:A,"Task"),0)</f>
        <v/>
      </c>
      <c r="J95" s="220" t="n"/>
      <c r="K95" s="221">
        <f>(H95-I95)*J95</f>
        <v/>
      </c>
      <c r="L95" s="117">
        <f>IFERROR(VLOOKUP(A95,'Projects Master'!$A:$K,5,0),"")</f>
        <v/>
      </c>
    </row>
    <row r="96">
      <c r="A96" s="2">
        <f>IFERROR(INDEX('Projects Master'!$A:$A,ROW()),"")</f>
        <v/>
      </c>
      <c r="B96" s="101">
        <f>IFERROR(VLOOKUP(A96,'Projects Master'!$A:$B,2,0),"")</f>
        <v/>
      </c>
      <c r="C96" s="218">
        <f>IFERROR(VLOOKUP(A96,'Projects Master'!$A:$K,11,0),"")</f>
        <v/>
      </c>
      <c r="D96" s="219" t="n"/>
      <c r="E96" s="219" t="n"/>
      <c r="F96" s="219" t="n"/>
      <c r="G96" s="219" t="n"/>
      <c r="H96" s="25">
        <f>IFERROR(VLOOKUP(A96,'Projects Master'!$A:$I,9,0),0)</f>
        <v/>
      </c>
      <c r="I96" s="7">
        <f>IFERROR(SUMIFS('Work Items'!O:O,'Work Items'!D:D,VLOOKUP(A96,'Projects Master'!$A:$B,2,0),'Work Items'!A:A,"Task"),0)</f>
        <v/>
      </c>
      <c r="J96" s="220" t="n"/>
      <c r="K96" s="221">
        <f>(H96-I96)*J96</f>
        <v/>
      </c>
      <c r="L96" s="117">
        <f>IFERROR(VLOOKUP(A96,'Projects Master'!$A:$K,5,0),"")</f>
        <v/>
      </c>
    </row>
    <row r="97">
      <c r="A97" s="2">
        <f>IFERROR(INDEX('Projects Master'!$A:$A,ROW()),"")</f>
        <v/>
      </c>
      <c r="B97" s="101">
        <f>IFERROR(VLOOKUP(A97,'Projects Master'!$A:$B,2,0),"")</f>
        <v/>
      </c>
      <c r="C97" s="218">
        <f>IFERROR(VLOOKUP(A97,'Projects Master'!$A:$K,11,0),"")</f>
        <v/>
      </c>
      <c r="D97" s="219" t="n"/>
      <c r="E97" s="219" t="n"/>
      <c r="F97" s="219" t="n"/>
      <c r="G97" s="219" t="n"/>
      <c r="H97" s="25">
        <f>IFERROR(VLOOKUP(A97,'Projects Master'!$A:$I,9,0),0)</f>
        <v/>
      </c>
      <c r="I97" s="7">
        <f>IFERROR(SUMIFS('Work Items'!O:O,'Work Items'!D:D,VLOOKUP(A97,'Projects Master'!$A:$B,2,0),'Work Items'!A:A,"Task"),0)</f>
        <v/>
      </c>
      <c r="J97" s="220" t="n"/>
      <c r="K97" s="221">
        <f>(H97-I97)*J97</f>
        <v/>
      </c>
      <c r="L97" s="117">
        <f>IFERROR(VLOOKUP(A97,'Projects Master'!$A:$K,5,0),"")</f>
        <v/>
      </c>
    </row>
    <row r="98">
      <c r="A98" s="2">
        <f>IFERROR(INDEX('Projects Master'!$A:$A,ROW()),"")</f>
        <v/>
      </c>
      <c r="B98" s="101">
        <f>IFERROR(VLOOKUP(A98,'Projects Master'!$A:$B,2,0),"")</f>
        <v/>
      </c>
      <c r="C98" s="218">
        <f>IFERROR(VLOOKUP(A98,'Projects Master'!$A:$K,11,0),"")</f>
        <v/>
      </c>
      <c r="D98" s="219" t="n"/>
      <c r="E98" s="219" t="n"/>
      <c r="F98" s="219" t="n"/>
      <c r="G98" s="219" t="n"/>
      <c r="H98" s="25">
        <f>IFERROR(VLOOKUP(A98,'Projects Master'!$A:$I,9,0),0)</f>
        <v/>
      </c>
      <c r="I98" s="7">
        <f>IFERROR(SUMIFS('Work Items'!O:O,'Work Items'!D:D,VLOOKUP(A98,'Projects Master'!$A:$B,2,0),'Work Items'!A:A,"Task"),0)</f>
        <v/>
      </c>
      <c r="J98" s="220" t="n"/>
      <c r="K98" s="221">
        <f>(H98-I98)*J98</f>
        <v/>
      </c>
      <c r="L98" s="117">
        <f>IFERROR(VLOOKUP(A98,'Projects Master'!$A:$K,5,0),"")</f>
        <v/>
      </c>
    </row>
    <row r="99">
      <c r="A99" s="2">
        <f>IFERROR(INDEX('Projects Master'!$A:$A,ROW()),"")</f>
        <v/>
      </c>
      <c r="B99" s="101">
        <f>IFERROR(VLOOKUP(A99,'Projects Master'!$A:$B,2,0),"")</f>
        <v/>
      </c>
      <c r="C99" s="218">
        <f>IFERROR(VLOOKUP(A99,'Projects Master'!$A:$K,11,0),"")</f>
        <v/>
      </c>
      <c r="D99" s="219" t="n"/>
      <c r="E99" s="219" t="n"/>
      <c r="F99" s="219" t="n"/>
      <c r="G99" s="219" t="n"/>
      <c r="H99" s="25">
        <f>IFERROR(VLOOKUP(A99,'Projects Master'!$A:$I,9,0),0)</f>
        <v/>
      </c>
      <c r="I99" s="7">
        <f>IFERROR(SUMIFS('Work Items'!O:O,'Work Items'!D:D,VLOOKUP(A99,'Projects Master'!$A:$B,2,0),'Work Items'!A:A,"Task"),0)</f>
        <v/>
      </c>
      <c r="J99" s="220" t="n"/>
      <c r="K99" s="221">
        <f>(H99-I99)*J99</f>
        <v/>
      </c>
      <c r="L99" s="117">
        <f>IFERROR(VLOOKUP(A99,'Projects Master'!$A:$K,5,0),"")</f>
        <v/>
      </c>
    </row>
    <row r="100">
      <c r="A100" s="2">
        <f>IFERROR(INDEX('Projects Master'!$A:$A,ROW()),"")</f>
        <v/>
      </c>
      <c r="B100" s="101">
        <f>IFERROR(VLOOKUP(A100,'Projects Master'!$A:$B,2,0),"")</f>
        <v/>
      </c>
      <c r="C100" s="218">
        <f>IFERROR(VLOOKUP(A100,'Projects Master'!$A:$K,11,0),"")</f>
        <v/>
      </c>
      <c r="D100" s="219" t="n"/>
      <c r="E100" s="219" t="n"/>
      <c r="F100" s="219" t="n"/>
      <c r="G100" s="219" t="n"/>
      <c r="H100" s="25">
        <f>IFERROR(VLOOKUP(A100,'Projects Master'!$A:$I,9,0),0)</f>
        <v/>
      </c>
      <c r="I100" s="7">
        <f>IFERROR(SUMIFS('Work Items'!O:O,'Work Items'!D:D,VLOOKUP(A100,'Projects Master'!$A:$B,2,0),'Work Items'!A:A,"Task"),0)</f>
        <v/>
      </c>
      <c r="J100" s="220" t="n"/>
      <c r="K100" s="221">
        <f>(H100-I100)*J100</f>
        <v/>
      </c>
      <c r="L100" s="117">
        <f>IFERROR(VLOOKUP(A100,'Projects Master'!$A:$K,5,0),"")</f>
        <v/>
      </c>
    </row>
    <row r="101">
      <c r="A101" s="2">
        <f>IFERROR(INDEX('Projects Master'!$A:$A,ROW()),"")</f>
        <v/>
      </c>
      <c r="B101" s="101">
        <f>IFERROR(VLOOKUP(A101,'Projects Master'!$A:$B,2,0),"")</f>
        <v/>
      </c>
      <c r="C101" s="218">
        <f>IFERROR(VLOOKUP(A101,'Projects Master'!$A:$K,11,0),"")</f>
        <v/>
      </c>
      <c r="D101" s="219" t="n"/>
      <c r="E101" s="219" t="n"/>
      <c r="F101" s="219" t="n"/>
      <c r="G101" s="219" t="n"/>
      <c r="H101" s="25">
        <f>IFERROR(VLOOKUP(A101,'Projects Master'!$A:$I,9,0),0)</f>
        <v/>
      </c>
      <c r="I101" s="7">
        <f>IFERROR(SUMIFS('Work Items'!O:O,'Work Items'!D:D,VLOOKUP(A101,'Projects Master'!$A:$B,2,0),'Work Items'!A:A,"Task"),0)</f>
        <v/>
      </c>
      <c r="J101" s="220" t="n"/>
      <c r="K101" s="221">
        <f>(H101-I101)*J101</f>
        <v/>
      </c>
      <c r="L101" s="117">
        <f>IFERROR(VLOOKUP(A101,'Projects Master'!$A:$K,5,0),"")</f>
        <v/>
      </c>
    </row>
    <row r="102">
      <c r="A102" s="2">
        <f>IFERROR(INDEX('Projects Master'!$A:$A,ROW()),"")</f>
        <v/>
      </c>
      <c r="B102" s="101">
        <f>IFERROR(VLOOKUP(A102,'Projects Master'!$A:$B,2,0),"")</f>
        <v/>
      </c>
      <c r="C102" s="218">
        <f>IFERROR(VLOOKUP(A102,'Projects Master'!$A:$K,11,0),"")</f>
        <v/>
      </c>
      <c r="D102" s="219" t="n"/>
      <c r="E102" s="219" t="n"/>
      <c r="F102" s="219" t="n"/>
      <c r="G102" s="219" t="n"/>
      <c r="H102" s="25">
        <f>IFERROR(VLOOKUP(A102,'Projects Master'!$A:$I,9,0),0)</f>
        <v/>
      </c>
      <c r="I102" s="7">
        <f>IFERROR(SUMIFS('Work Items'!O:O,'Work Items'!D:D,VLOOKUP(A102,'Projects Master'!$A:$B,2,0),'Work Items'!A:A,"Task"),0)</f>
        <v/>
      </c>
      <c r="J102" s="220" t="n"/>
      <c r="K102" s="221">
        <f>(H102-I102)*J102</f>
        <v/>
      </c>
      <c r="L102" s="117">
        <f>IFERROR(VLOOKUP(A102,'Projects Master'!$A:$K,5,0),"")</f>
        <v/>
      </c>
    </row>
    <row r="103">
      <c r="A103" s="2">
        <f>IFERROR(INDEX('Projects Master'!$A:$A,ROW()),"")</f>
        <v/>
      </c>
      <c r="B103" s="101">
        <f>IFERROR(VLOOKUP(A103,'Projects Master'!$A:$B,2,0),"")</f>
        <v/>
      </c>
      <c r="C103" s="218">
        <f>IFERROR(VLOOKUP(A103,'Projects Master'!$A:$K,11,0),"")</f>
        <v/>
      </c>
      <c r="D103" s="219" t="n"/>
      <c r="E103" s="219" t="n"/>
      <c r="F103" s="219" t="n"/>
      <c r="G103" s="219" t="n"/>
      <c r="H103" s="25">
        <f>IFERROR(VLOOKUP(A103,'Projects Master'!$A:$I,9,0),0)</f>
        <v/>
      </c>
      <c r="I103" s="7">
        <f>IFERROR(SUMIFS('Work Items'!O:O,'Work Items'!D:D,VLOOKUP(A103,'Projects Master'!$A:$B,2,0),'Work Items'!A:A,"Task"),0)</f>
        <v/>
      </c>
      <c r="J103" s="220" t="n"/>
      <c r="K103" s="221">
        <f>(H103-I103)*J103</f>
        <v/>
      </c>
      <c r="L103" s="117">
        <f>IFERROR(VLOOKUP(A103,'Projects Master'!$A:$K,5,0),"")</f>
        <v/>
      </c>
    </row>
    <row r="104">
      <c r="A104" s="2">
        <f>IFERROR(INDEX('Projects Master'!$A:$A,ROW()),"")</f>
        <v/>
      </c>
      <c r="B104" s="101">
        <f>IFERROR(VLOOKUP(A104,'Projects Master'!$A:$B,2,0),"")</f>
        <v/>
      </c>
      <c r="C104" s="218">
        <f>IFERROR(VLOOKUP(A104,'Projects Master'!$A:$K,11,0),"")</f>
        <v/>
      </c>
      <c r="D104" s="219" t="n"/>
      <c r="E104" s="219" t="n"/>
      <c r="F104" s="219" t="n"/>
      <c r="G104" s="219" t="n"/>
      <c r="H104" s="25">
        <f>IFERROR(VLOOKUP(A104,'Projects Master'!$A:$I,9,0),0)</f>
        <v/>
      </c>
      <c r="I104" s="7">
        <f>IFERROR(SUMIFS('Work Items'!O:O,'Work Items'!D:D,VLOOKUP(A104,'Projects Master'!$A:$B,2,0),'Work Items'!A:A,"Task"),0)</f>
        <v/>
      </c>
      <c r="J104" s="220" t="n"/>
      <c r="K104" s="221">
        <f>(H104-I104)*J104</f>
        <v/>
      </c>
      <c r="L104" s="117">
        <f>IFERROR(VLOOKUP(A104,'Projects Master'!$A:$K,5,0),"")</f>
        <v/>
      </c>
    </row>
    <row r="105">
      <c r="A105" s="2">
        <f>IFERROR(INDEX('Projects Master'!$A:$A,ROW()),"")</f>
        <v/>
      </c>
      <c r="B105" s="101">
        <f>IFERROR(VLOOKUP(A105,'Projects Master'!$A:$B,2,0),"")</f>
        <v/>
      </c>
      <c r="C105" s="218">
        <f>IFERROR(VLOOKUP(A105,'Projects Master'!$A:$K,11,0),"")</f>
        <v/>
      </c>
      <c r="D105" s="219" t="n"/>
      <c r="E105" s="219" t="n"/>
      <c r="F105" s="219" t="n"/>
      <c r="G105" s="219" t="n"/>
      <c r="H105" s="25">
        <f>IFERROR(VLOOKUP(A105,'Projects Master'!$A:$I,9,0),0)</f>
        <v/>
      </c>
      <c r="I105" s="7">
        <f>IFERROR(SUMIFS('Work Items'!O:O,'Work Items'!D:D,VLOOKUP(A105,'Projects Master'!$A:$B,2,0),'Work Items'!A:A,"Task"),0)</f>
        <v/>
      </c>
      <c r="J105" s="220" t="n"/>
      <c r="K105" s="221">
        <f>(H105-I105)*J105</f>
        <v/>
      </c>
      <c r="L105" s="117">
        <f>IFERROR(VLOOKUP(A105,'Projects Master'!$A:$K,5,0),"")</f>
        <v/>
      </c>
    </row>
    <row r="106">
      <c r="A106" s="2">
        <f>IFERROR(INDEX('Projects Master'!$A:$A,ROW()),"")</f>
        <v/>
      </c>
      <c r="B106" s="101">
        <f>IFERROR(VLOOKUP(A106,'Projects Master'!$A:$B,2,0),"")</f>
        <v/>
      </c>
      <c r="C106" s="218">
        <f>IFERROR(VLOOKUP(A106,'Projects Master'!$A:$K,11,0),"")</f>
        <v/>
      </c>
      <c r="D106" s="219" t="n"/>
      <c r="E106" s="219" t="n"/>
      <c r="F106" s="219" t="n"/>
      <c r="G106" s="219" t="n"/>
      <c r="H106" s="25">
        <f>IFERROR(VLOOKUP(A106,'Projects Master'!$A:$I,9,0),0)</f>
        <v/>
      </c>
      <c r="I106" s="7">
        <f>IFERROR(SUMIFS('Work Items'!O:O,'Work Items'!D:D,VLOOKUP(A106,'Projects Master'!$A:$B,2,0),'Work Items'!A:A,"Task"),0)</f>
        <v/>
      </c>
      <c r="J106" s="220" t="n"/>
      <c r="K106" s="221">
        <f>(H106-I106)*J106</f>
        <v/>
      </c>
      <c r="L106" s="117">
        <f>IFERROR(VLOOKUP(A106,'Projects Master'!$A:$K,5,0),"")</f>
        <v/>
      </c>
    </row>
    <row r="107">
      <c r="A107" s="2">
        <f>IFERROR(INDEX('Projects Master'!$A:$A,ROW()),"")</f>
        <v/>
      </c>
      <c r="B107" s="101">
        <f>IFERROR(VLOOKUP(A107,'Projects Master'!$A:$B,2,0),"")</f>
        <v/>
      </c>
      <c r="C107" s="218">
        <f>IFERROR(VLOOKUP(A107,'Projects Master'!$A:$K,11,0),"")</f>
        <v/>
      </c>
      <c r="D107" s="219" t="n"/>
      <c r="E107" s="219" t="n"/>
      <c r="F107" s="219" t="n"/>
      <c r="G107" s="219" t="n"/>
      <c r="H107" s="25">
        <f>IFERROR(VLOOKUP(A107,'Projects Master'!$A:$I,9,0),0)</f>
        <v/>
      </c>
      <c r="I107" s="7">
        <f>IFERROR(SUMIFS('Work Items'!O:O,'Work Items'!D:D,VLOOKUP(A107,'Projects Master'!$A:$B,2,0),'Work Items'!A:A,"Task"),0)</f>
        <v/>
      </c>
      <c r="J107" s="220" t="n"/>
      <c r="K107" s="221">
        <f>(H107-I107)*J107</f>
        <v/>
      </c>
      <c r="L107" s="117">
        <f>IFERROR(VLOOKUP(A107,'Projects Master'!$A:$K,5,0),"")</f>
        <v/>
      </c>
    </row>
    <row r="108">
      <c r="A108" s="2">
        <f>IFERROR(INDEX('Projects Master'!$A:$A,ROW()),"")</f>
        <v/>
      </c>
      <c r="B108" s="101">
        <f>IFERROR(VLOOKUP(A108,'Projects Master'!$A:$B,2,0),"")</f>
        <v/>
      </c>
      <c r="C108" s="218">
        <f>IFERROR(VLOOKUP(A108,'Projects Master'!$A:$K,11,0),"")</f>
        <v/>
      </c>
      <c r="D108" s="219" t="n"/>
      <c r="E108" s="219" t="n"/>
      <c r="F108" s="219" t="n"/>
      <c r="G108" s="219" t="n"/>
      <c r="H108" s="25">
        <f>IFERROR(VLOOKUP(A108,'Projects Master'!$A:$I,9,0),0)</f>
        <v/>
      </c>
      <c r="I108" s="7">
        <f>IFERROR(SUMIFS('Work Items'!O:O,'Work Items'!D:D,VLOOKUP(A108,'Projects Master'!$A:$B,2,0),'Work Items'!A:A,"Task"),0)</f>
        <v/>
      </c>
      <c r="J108" s="220" t="n"/>
      <c r="K108" s="221">
        <f>(H108-I108)*J108</f>
        <v/>
      </c>
      <c r="L108" s="117">
        <f>IFERROR(VLOOKUP(A108,'Projects Master'!$A:$K,5,0),"")</f>
        <v/>
      </c>
    </row>
    <row r="109">
      <c r="A109" s="2">
        <f>IFERROR(INDEX('Projects Master'!$A:$A,ROW()),"")</f>
        <v/>
      </c>
      <c r="B109" s="101">
        <f>IFERROR(VLOOKUP(A109,'Projects Master'!$A:$B,2,0),"")</f>
        <v/>
      </c>
      <c r="C109" s="218">
        <f>IFERROR(VLOOKUP(A109,'Projects Master'!$A:$K,11,0),"")</f>
        <v/>
      </c>
      <c r="D109" s="219" t="n"/>
      <c r="E109" s="219" t="n"/>
      <c r="F109" s="219" t="n"/>
      <c r="G109" s="219" t="n"/>
      <c r="H109" s="25">
        <f>IFERROR(VLOOKUP(A109,'Projects Master'!$A:$I,9,0),0)</f>
        <v/>
      </c>
      <c r="I109" s="7">
        <f>IFERROR(SUMIFS('Work Items'!O:O,'Work Items'!D:D,VLOOKUP(A109,'Projects Master'!$A:$B,2,0),'Work Items'!A:A,"Task"),0)</f>
        <v/>
      </c>
      <c r="J109" s="220" t="n"/>
      <c r="K109" s="221">
        <f>(H109-I109)*J109</f>
        <v/>
      </c>
      <c r="L109" s="117">
        <f>IFERROR(VLOOKUP(A109,'Projects Master'!$A:$K,5,0),"")</f>
        <v/>
      </c>
    </row>
    <row r="110">
      <c r="A110" s="2">
        <f>IFERROR(INDEX('Projects Master'!$A:$A,ROW()),"")</f>
        <v/>
      </c>
      <c r="B110" s="101">
        <f>IFERROR(VLOOKUP(A110,'Projects Master'!$A:$B,2,0),"")</f>
        <v/>
      </c>
      <c r="C110" s="218">
        <f>IFERROR(VLOOKUP(A110,'Projects Master'!$A:$K,11,0),"")</f>
        <v/>
      </c>
      <c r="D110" s="219" t="n"/>
      <c r="E110" s="219" t="n"/>
      <c r="F110" s="219" t="n"/>
      <c r="G110" s="219" t="n"/>
      <c r="H110" s="25">
        <f>IFERROR(VLOOKUP(A110,'Projects Master'!$A:$I,9,0),0)</f>
        <v/>
      </c>
      <c r="I110" s="7">
        <f>IFERROR(SUMIFS('Work Items'!O:O,'Work Items'!D:D,VLOOKUP(A110,'Projects Master'!$A:$B,2,0),'Work Items'!A:A,"Task"),0)</f>
        <v/>
      </c>
      <c r="J110" s="220" t="n"/>
      <c r="K110" s="221">
        <f>(H110-I110)*J110</f>
        <v/>
      </c>
      <c r="L110" s="117">
        <f>IFERROR(VLOOKUP(A110,'Projects Master'!$A:$K,5,0),"")</f>
        <v/>
      </c>
    </row>
    <row r="111">
      <c r="A111" s="2">
        <f>IFERROR(INDEX('Projects Master'!$A:$A,ROW()),"")</f>
        <v/>
      </c>
      <c r="B111" s="101">
        <f>IFERROR(VLOOKUP(A111,'Projects Master'!$A:$B,2,0),"")</f>
        <v/>
      </c>
      <c r="C111" s="218">
        <f>IFERROR(VLOOKUP(A111,'Projects Master'!$A:$K,11,0),"")</f>
        <v/>
      </c>
      <c r="D111" s="219" t="n"/>
      <c r="E111" s="219" t="n"/>
      <c r="F111" s="219" t="n"/>
      <c r="G111" s="219" t="n"/>
      <c r="H111" s="25">
        <f>IFERROR(VLOOKUP(A111,'Projects Master'!$A:$I,9,0),0)</f>
        <v/>
      </c>
      <c r="I111" s="7">
        <f>IFERROR(SUMIFS('Work Items'!O:O,'Work Items'!D:D,VLOOKUP(A111,'Projects Master'!$A:$B,2,0),'Work Items'!A:A,"Task"),0)</f>
        <v/>
      </c>
      <c r="J111" s="220" t="n"/>
      <c r="K111" s="221">
        <f>(H111-I111)*J111</f>
        <v/>
      </c>
      <c r="L111" s="117">
        <f>IFERROR(VLOOKUP(A111,'Projects Master'!$A:$K,5,0),"")</f>
        <v/>
      </c>
    </row>
    <row r="112">
      <c r="A112" s="2">
        <f>IFERROR(INDEX('Projects Master'!$A:$A,ROW()),"")</f>
        <v/>
      </c>
      <c r="B112" s="101">
        <f>IFERROR(VLOOKUP(A112,'Projects Master'!$A:$B,2,0),"")</f>
        <v/>
      </c>
      <c r="C112" s="218">
        <f>IFERROR(VLOOKUP(A112,'Projects Master'!$A:$K,11,0),"")</f>
        <v/>
      </c>
      <c r="D112" s="219" t="n"/>
      <c r="E112" s="219" t="n"/>
      <c r="F112" s="219" t="n"/>
      <c r="G112" s="219" t="n"/>
      <c r="H112" s="25">
        <f>IFERROR(VLOOKUP(A112,'Projects Master'!$A:$I,9,0),0)</f>
        <v/>
      </c>
      <c r="I112" s="7">
        <f>IFERROR(SUMIFS('Work Items'!O:O,'Work Items'!D:D,VLOOKUP(A112,'Projects Master'!$A:$B,2,0),'Work Items'!A:A,"Task"),0)</f>
        <v/>
      </c>
      <c r="J112" s="220" t="n"/>
      <c r="K112" s="221">
        <f>(H112-I112)*J112</f>
        <v/>
      </c>
      <c r="L112" s="117">
        <f>IFERROR(VLOOKUP(A112,'Projects Master'!$A:$K,5,0),"")</f>
        <v/>
      </c>
    </row>
    <row r="113">
      <c r="A113" s="2">
        <f>IFERROR(INDEX('Projects Master'!$A:$A,ROW()),"")</f>
        <v/>
      </c>
      <c r="B113" s="101">
        <f>IFERROR(VLOOKUP(A113,'Projects Master'!$A:$B,2,0),"")</f>
        <v/>
      </c>
      <c r="C113" s="218">
        <f>IFERROR(VLOOKUP(A113,'Projects Master'!$A:$K,11,0),"")</f>
        <v/>
      </c>
      <c r="D113" s="219" t="n"/>
      <c r="E113" s="219" t="n"/>
      <c r="F113" s="219" t="n"/>
      <c r="G113" s="219" t="n"/>
      <c r="H113" s="25">
        <f>IFERROR(VLOOKUP(A113,'Projects Master'!$A:$I,9,0),0)</f>
        <v/>
      </c>
      <c r="I113" s="7">
        <f>IFERROR(SUMIFS('Work Items'!O:O,'Work Items'!D:D,VLOOKUP(A113,'Projects Master'!$A:$B,2,0),'Work Items'!A:A,"Task"),0)</f>
        <v/>
      </c>
      <c r="J113" s="220" t="n"/>
      <c r="K113" s="221">
        <f>(H113-I113)*J113</f>
        <v/>
      </c>
      <c r="L113" s="117">
        <f>IFERROR(VLOOKUP(A113,'Projects Master'!$A:$K,5,0),"")</f>
        <v/>
      </c>
    </row>
    <row r="114">
      <c r="A114" s="2">
        <f>IFERROR(INDEX('Projects Master'!$A:$A,ROW()),"")</f>
        <v/>
      </c>
      <c r="B114" s="101">
        <f>IFERROR(VLOOKUP(A114,'Projects Master'!$A:$B,2,0),"")</f>
        <v/>
      </c>
      <c r="C114" s="218">
        <f>IFERROR(VLOOKUP(A114,'Projects Master'!$A:$K,11,0),"")</f>
        <v/>
      </c>
      <c r="D114" s="219" t="n"/>
      <c r="E114" s="219" t="n"/>
      <c r="F114" s="219" t="n"/>
      <c r="G114" s="219" t="n"/>
      <c r="H114" s="25">
        <f>IFERROR(VLOOKUP(A114,'Projects Master'!$A:$I,9,0),0)</f>
        <v/>
      </c>
      <c r="I114" s="7">
        <f>IFERROR(SUMIFS('Work Items'!O:O,'Work Items'!D:D,VLOOKUP(A114,'Projects Master'!$A:$B,2,0),'Work Items'!A:A,"Task"),0)</f>
        <v/>
      </c>
      <c r="J114" s="220" t="n"/>
      <c r="K114" s="221">
        <f>(H114-I114)*J114</f>
        <v/>
      </c>
      <c r="L114" s="117">
        <f>IFERROR(VLOOKUP(A114,'Projects Master'!$A:$K,5,0),"")</f>
        <v/>
      </c>
    </row>
    <row r="115">
      <c r="A115" s="2">
        <f>IFERROR(INDEX('Projects Master'!$A:$A,ROW()),"")</f>
        <v/>
      </c>
      <c r="B115" s="101">
        <f>IFERROR(VLOOKUP(A115,'Projects Master'!$A:$B,2,0),"")</f>
        <v/>
      </c>
      <c r="C115" s="218">
        <f>IFERROR(VLOOKUP(A115,'Projects Master'!$A:$K,11,0),"")</f>
        <v/>
      </c>
      <c r="D115" s="219" t="n"/>
      <c r="E115" s="219" t="n"/>
      <c r="F115" s="219" t="n"/>
      <c r="G115" s="219" t="n"/>
      <c r="H115" s="25">
        <f>IFERROR(VLOOKUP(A115,'Projects Master'!$A:$I,9,0),0)</f>
        <v/>
      </c>
      <c r="I115" s="7">
        <f>IFERROR(SUMIFS('Work Items'!O:O,'Work Items'!D:D,VLOOKUP(A115,'Projects Master'!$A:$B,2,0),'Work Items'!A:A,"Task"),0)</f>
        <v/>
      </c>
      <c r="J115" s="220" t="n"/>
      <c r="K115" s="221">
        <f>(H115-I115)*J115</f>
        <v/>
      </c>
      <c r="L115" s="117">
        <f>IFERROR(VLOOKUP(A115,'Projects Master'!$A:$K,5,0),"")</f>
        <v/>
      </c>
    </row>
    <row r="116">
      <c r="A116" s="2">
        <f>IFERROR(INDEX('Projects Master'!$A:$A,ROW()),"")</f>
        <v/>
      </c>
      <c r="B116" s="101">
        <f>IFERROR(VLOOKUP(A116,'Projects Master'!$A:$B,2,0),"")</f>
        <v/>
      </c>
      <c r="C116" s="218">
        <f>IFERROR(VLOOKUP(A116,'Projects Master'!$A:$K,11,0),"")</f>
        <v/>
      </c>
      <c r="D116" s="219" t="n"/>
      <c r="E116" s="219" t="n"/>
      <c r="F116" s="219" t="n"/>
      <c r="G116" s="219" t="n"/>
      <c r="H116" s="25">
        <f>IFERROR(VLOOKUP(A116,'Projects Master'!$A:$I,9,0),0)</f>
        <v/>
      </c>
      <c r="I116" s="7">
        <f>IFERROR(SUMIFS('Work Items'!O:O,'Work Items'!D:D,VLOOKUP(A116,'Projects Master'!$A:$B,2,0),'Work Items'!A:A,"Task"),0)</f>
        <v/>
      </c>
      <c r="J116" s="220" t="n"/>
      <c r="K116" s="221">
        <f>(H116-I116)*J116</f>
        <v/>
      </c>
      <c r="L116" s="117">
        <f>IFERROR(VLOOKUP(A116,'Projects Master'!$A:$K,5,0),"")</f>
        <v/>
      </c>
    </row>
    <row r="117">
      <c r="A117" s="2">
        <f>IFERROR(INDEX('Projects Master'!$A:$A,ROW()),"")</f>
        <v/>
      </c>
      <c r="B117" s="101">
        <f>IFERROR(VLOOKUP(A117,'Projects Master'!$A:$B,2,0),"")</f>
        <v/>
      </c>
      <c r="C117" s="218">
        <f>IFERROR(VLOOKUP(A117,'Projects Master'!$A:$K,11,0),"")</f>
        <v/>
      </c>
      <c r="D117" s="219" t="n"/>
      <c r="E117" s="219" t="n"/>
      <c r="F117" s="219" t="n"/>
      <c r="G117" s="219" t="n"/>
      <c r="H117" s="25">
        <f>IFERROR(VLOOKUP(A117,'Projects Master'!$A:$I,9,0),0)</f>
        <v/>
      </c>
      <c r="I117" s="7">
        <f>IFERROR(SUMIFS('Work Items'!O:O,'Work Items'!D:D,VLOOKUP(A117,'Projects Master'!$A:$B,2,0),'Work Items'!A:A,"Task"),0)</f>
        <v/>
      </c>
      <c r="J117" s="220" t="n"/>
      <c r="K117" s="221">
        <f>(H117-I117)*J117</f>
        <v/>
      </c>
      <c r="L117" s="117">
        <f>IFERROR(VLOOKUP(A117,'Projects Master'!$A:$K,5,0),"")</f>
        <v/>
      </c>
    </row>
    <row r="118">
      <c r="A118" s="2">
        <f>IFERROR(INDEX('Projects Master'!$A:$A,ROW()),"")</f>
        <v/>
      </c>
      <c r="B118" s="101">
        <f>IFERROR(VLOOKUP(A118,'Projects Master'!$A:$B,2,0),"")</f>
        <v/>
      </c>
      <c r="C118" s="218">
        <f>IFERROR(VLOOKUP(A118,'Projects Master'!$A:$K,11,0),"")</f>
        <v/>
      </c>
      <c r="D118" s="219" t="n"/>
      <c r="E118" s="219" t="n"/>
      <c r="F118" s="219" t="n"/>
      <c r="G118" s="219" t="n"/>
      <c r="H118" s="25">
        <f>IFERROR(VLOOKUP(A118,'Projects Master'!$A:$I,9,0),0)</f>
        <v/>
      </c>
      <c r="I118" s="7">
        <f>IFERROR(SUMIFS('Work Items'!O:O,'Work Items'!D:D,VLOOKUP(A118,'Projects Master'!$A:$B,2,0),'Work Items'!A:A,"Task"),0)</f>
        <v/>
      </c>
      <c r="J118" s="220" t="n"/>
      <c r="K118" s="221">
        <f>(H118-I118)*J118</f>
        <v/>
      </c>
      <c r="L118" s="117">
        <f>IFERROR(VLOOKUP(A118,'Projects Master'!$A:$K,5,0),"")</f>
        <v/>
      </c>
    </row>
    <row r="119">
      <c r="A119" s="2">
        <f>IFERROR(INDEX('Projects Master'!$A:$A,ROW()),"")</f>
        <v/>
      </c>
      <c r="B119" s="101">
        <f>IFERROR(VLOOKUP(A119,'Projects Master'!$A:$B,2,0),"")</f>
        <v/>
      </c>
      <c r="C119" s="218">
        <f>IFERROR(VLOOKUP(A119,'Projects Master'!$A:$K,11,0),"")</f>
        <v/>
      </c>
      <c r="D119" s="219" t="n"/>
      <c r="E119" s="219" t="n"/>
      <c r="F119" s="219" t="n"/>
      <c r="G119" s="219" t="n"/>
      <c r="H119" s="25">
        <f>IFERROR(VLOOKUP(A119,'Projects Master'!$A:$I,9,0),0)</f>
        <v/>
      </c>
      <c r="I119" s="7">
        <f>IFERROR(SUMIFS('Work Items'!O:O,'Work Items'!D:D,VLOOKUP(A119,'Projects Master'!$A:$B,2,0),'Work Items'!A:A,"Task"),0)</f>
        <v/>
      </c>
      <c r="J119" s="220" t="n"/>
      <c r="K119" s="221">
        <f>(H119-I119)*J119</f>
        <v/>
      </c>
      <c r="L119" s="117">
        <f>IFERROR(VLOOKUP(A119,'Projects Master'!$A:$K,5,0),"")</f>
        <v/>
      </c>
    </row>
    <row r="120">
      <c r="A120" s="2">
        <f>IFERROR(INDEX('Projects Master'!$A:$A,ROW()),"")</f>
        <v/>
      </c>
      <c r="B120" s="101">
        <f>IFERROR(VLOOKUP(A120,'Projects Master'!$A:$B,2,0),"")</f>
        <v/>
      </c>
      <c r="C120" s="218">
        <f>IFERROR(VLOOKUP(A120,'Projects Master'!$A:$K,11,0),"")</f>
        <v/>
      </c>
      <c r="D120" s="219" t="n"/>
      <c r="E120" s="219" t="n"/>
      <c r="F120" s="219" t="n"/>
      <c r="G120" s="219" t="n"/>
      <c r="H120" s="25">
        <f>IFERROR(VLOOKUP(A120,'Projects Master'!$A:$I,9,0),0)</f>
        <v/>
      </c>
      <c r="I120" s="7">
        <f>IFERROR(SUMIFS('Work Items'!O:O,'Work Items'!D:D,VLOOKUP(A120,'Projects Master'!$A:$B,2,0),'Work Items'!A:A,"Task"),0)</f>
        <v/>
      </c>
      <c r="J120" s="220" t="n"/>
      <c r="K120" s="221">
        <f>(H120-I120)*J120</f>
        <v/>
      </c>
      <c r="L120" s="117">
        <f>IFERROR(VLOOKUP(A120,'Projects Master'!$A:$K,5,0),"")</f>
        <v/>
      </c>
    </row>
    <row r="121">
      <c r="A121" s="2">
        <f>IFERROR(INDEX('Projects Master'!$A:$A,ROW()),"")</f>
        <v/>
      </c>
      <c r="B121" s="101">
        <f>IFERROR(VLOOKUP(A121,'Projects Master'!$A:$B,2,0),"")</f>
        <v/>
      </c>
      <c r="C121" s="218">
        <f>IFERROR(VLOOKUP(A121,'Projects Master'!$A:$K,11,0),"")</f>
        <v/>
      </c>
      <c r="D121" s="219" t="n"/>
      <c r="E121" s="219" t="n"/>
      <c r="F121" s="219" t="n"/>
      <c r="G121" s="219" t="n"/>
      <c r="H121" s="25">
        <f>IFERROR(VLOOKUP(A121,'Projects Master'!$A:$I,9,0),0)</f>
        <v/>
      </c>
      <c r="I121" s="7">
        <f>IFERROR(SUMIFS('Work Items'!O:O,'Work Items'!D:D,VLOOKUP(A121,'Projects Master'!$A:$B,2,0),'Work Items'!A:A,"Task"),0)</f>
        <v/>
      </c>
      <c r="J121" s="220" t="n"/>
      <c r="K121" s="221">
        <f>(H121-I121)*J121</f>
        <v/>
      </c>
      <c r="L121" s="117">
        <f>IFERROR(VLOOKUP(A121,'Projects Master'!$A:$K,5,0),"")</f>
        <v/>
      </c>
    </row>
    <row r="122">
      <c r="A122" s="2">
        <f>IFERROR(INDEX('Projects Master'!$A:$A,ROW()),"")</f>
        <v/>
      </c>
      <c r="B122" s="101">
        <f>IFERROR(VLOOKUP(A122,'Projects Master'!$A:$B,2,0),"")</f>
        <v/>
      </c>
      <c r="C122" s="218">
        <f>IFERROR(VLOOKUP(A122,'Projects Master'!$A:$K,11,0),"")</f>
        <v/>
      </c>
      <c r="D122" s="219" t="n"/>
      <c r="E122" s="219" t="n"/>
      <c r="F122" s="219" t="n"/>
      <c r="G122" s="219" t="n"/>
      <c r="H122" s="25">
        <f>IFERROR(VLOOKUP(A122,'Projects Master'!$A:$I,9,0),0)</f>
        <v/>
      </c>
      <c r="I122" s="7">
        <f>IFERROR(SUMIFS('Work Items'!O:O,'Work Items'!D:D,VLOOKUP(A122,'Projects Master'!$A:$B,2,0),'Work Items'!A:A,"Task"),0)</f>
        <v/>
      </c>
      <c r="J122" s="220" t="n"/>
      <c r="K122" s="221">
        <f>(H122-I122)*J122</f>
        <v/>
      </c>
      <c r="L122" s="117">
        <f>IFERROR(VLOOKUP(A122,'Projects Master'!$A:$K,5,0),"")</f>
        <v/>
      </c>
    </row>
    <row r="123">
      <c r="A123" s="2">
        <f>IFERROR(INDEX('Projects Master'!$A:$A,ROW()),"")</f>
        <v/>
      </c>
      <c r="B123" s="101">
        <f>IFERROR(VLOOKUP(A123,'Projects Master'!$A:$B,2,0),"")</f>
        <v/>
      </c>
      <c r="C123" s="218">
        <f>IFERROR(VLOOKUP(A123,'Projects Master'!$A:$K,11,0),"")</f>
        <v/>
      </c>
      <c r="D123" s="219" t="n"/>
      <c r="E123" s="219" t="n"/>
      <c r="F123" s="219" t="n"/>
      <c r="G123" s="219" t="n"/>
      <c r="H123" s="25">
        <f>IFERROR(VLOOKUP(A123,'Projects Master'!$A:$I,9,0),0)</f>
        <v/>
      </c>
      <c r="I123" s="7">
        <f>IFERROR(SUMIFS('Work Items'!O:O,'Work Items'!D:D,VLOOKUP(A123,'Projects Master'!$A:$B,2,0),'Work Items'!A:A,"Task"),0)</f>
        <v/>
      </c>
      <c r="J123" s="220" t="n"/>
      <c r="K123" s="221">
        <f>(H123-I123)*J123</f>
        <v/>
      </c>
      <c r="L123" s="117">
        <f>IFERROR(VLOOKUP(A123,'Projects Master'!$A:$K,5,0),"")</f>
        <v/>
      </c>
    </row>
    <row r="124">
      <c r="A124" s="2">
        <f>IFERROR(INDEX('Projects Master'!$A:$A,ROW()),"")</f>
        <v/>
      </c>
      <c r="B124" s="101">
        <f>IFERROR(VLOOKUP(A124,'Projects Master'!$A:$B,2,0),"")</f>
        <v/>
      </c>
      <c r="C124" s="218">
        <f>IFERROR(VLOOKUP(A124,'Projects Master'!$A:$K,11,0),"")</f>
        <v/>
      </c>
      <c r="D124" s="219" t="n"/>
      <c r="E124" s="219" t="n"/>
      <c r="F124" s="219" t="n"/>
      <c r="G124" s="219" t="n"/>
      <c r="H124" s="25">
        <f>IFERROR(VLOOKUP(A124,'Projects Master'!$A:$I,9,0),0)</f>
        <v/>
      </c>
      <c r="I124" s="7">
        <f>IFERROR(SUMIFS('Work Items'!O:O,'Work Items'!D:D,VLOOKUP(A124,'Projects Master'!$A:$B,2,0),'Work Items'!A:A,"Task"),0)</f>
        <v/>
      </c>
      <c r="J124" s="220" t="n"/>
      <c r="K124" s="221">
        <f>(H124-I124)*J124</f>
        <v/>
      </c>
      <c r="L124" s="117">
        <f>IFERROR(VLOOKUP(A124,'Projects Master'!$A:$K,5,0),"")</f>
        <v/>
      </c>
    </row>
    <row r="125">
      <c r="A125" s="2">
        <f>IFERROR(INDEX('Projects Master'!$A:$A,ROW()),"")</f>
        <v/>
      </c>
      <c r="B125" s="101">
        <f>IFERROR(VLOOKUP(A125,'Projects Master'!$A:$B,2,0),"")</f>
        <v/>
      </c>
      <c r="C125" s="218">
        <f>IFERROR(VLOOKUP(A125,'Projects Master'!$A:$K,11,0),"")</f>
        <v/>
      </c>
      <c r="D125" s="219" t="n"/>
      <c r="E125" s="219" t="n"/>
      <c r="F125" s="219" t="n"/>
      <c r="G125" s="219" t="n"/>
      <c r="H125" s="25">
        <f>IFERROR(VLOOKUP(A125,'Projects Master'!$A:$I,9,0),0)</f>
        <v/>
      </c>
      <c r="I125" s="7">
        <f>IFERROR(SUMIFS('Work Items'!O:O,'Work Items'!D:D,VLOOKUP(A125,'Projects Master'!$A:$B,2,0),'Work Items'!A:A,"Task"),0)</f>
        <v/>
      </c>
      <c r="J125" s="220" t="n"/>
      <c r="K125" s="221">
        <f>(H125-I125)*J125</f>
        <v/>
      </c>
      <c r="L125" s="117">
        <f>IFERROR(VLOOKUP(A125,'Projects Master'!$A:$K,5,0),"")</f>
        <v/>
      </c>
    </row>
    <row r="126">
      <c r="A126" s="2">
        <f>IFERROR(INDEX('Projects Master'!$A:$A,ROW()),"")</f>
        <v/>
      </c>
      <c r="B126" s="101">
        <f>IFERROR(VLOOKUP(A126,'Projects Master'!$A:$B,2,0),"")</f>
        <v/>
      </c>
      <c r="C126" s="218">
        <f>IFERROR(VLOOKUP(A126,'Projects Master'!$A:$K,11,0),"")</f>
        <v/>
      </c>
      <c r="D126" s="219" t="n"/>
      <c r="E126" s="219" t="n"/>
      <c r="F126" s="219" t="n"/>
      <c r="G126" s="219" t="n"/>
      <c r="H126" s="25">
        <f>IFERROR(VLOOKUP(A126,'Projects Master'!$A:$I,9,0),0)</f>
        <v/>
      </c>
      <c r="I126" s="7">
        <f>IFERROR(SUMIFS('Work Items'!O:O,'Work Items'!D:D,VLOOKUP(A126,'Projects Master'!$A:$B,2,0),'Work Items'!A:A,"Task"),0)</f>
        <v/>
      </c>
      <c r="J126" s="220" t="n"/>
      <c r="K126" s="221">
        <f>(H126-I126)*J126</f>
        <v/>
      </c>
      <c r="L126" s="117">
        <f>IFERROR(VLOOKUP(A126,'Projects Master'!$A:$K,5,0),"")</f>
        <v/>
      </c>
    </row>
    <row r="127">
      <c r="A127" s="2">
        <f>IFERROR(INDEX('Projects Master'!$A:$A,ROW()),"")</f>
        <v/>
      </c>
      <c r="B127" s="101">
        <f>IFERROR(VLOOKUP(A127,'Projects Master'!$A:$B,2,0),"")</f>
        <v/>
      </c>
      <c r="C127" s="218">
        <f>IFERROR(VLOOKUP(A127,'Projects Master'!$A:$K,11,0),"")</f>
        <v/>
      </c>
      <c r="D127" s="219" t="n"/>
      <c r="E127" s="219" t="n"/>
      <c r="F127" s="219" t="n"/>
      <c r="G127" s="219" t="n"/>
      <c r="H127" s="25">
        <f>IFERROR(VLOOKUP(A127,'Projects Master'!$A:$I,9,0),0)</f>
        <v/>
      </c>
      <c r="I127" s="7">
        <f>IFERROR(SUMIFS('Work Items'!O:O,'Work Items'!D:D,VLOOKUP(A127,'Projects Master'!$A:$B,2,0),'Work Items'!A:A,"Task"),0)</f>
        <v/>
      </c>
      <c r="J127" s="220" t="n"/>
      <c r="K127" s="221">
        <f>(H127-I127)*J127</f>
        <v/>
      </c>
      <c r="L127" s="117">
        <f>IFERROR(VLOOKUP(A127,'Projects Master'!$A:$K,5,0),"")</f>
        <v/>
      </c>
    </row>
    <row r="128">
      <c r="A128" s="2">
        <f>IFERROR(INDEX('Projects Master'!$A:$A,ROW()),"")</f>
        <v/>
      </c>
      <c r="B128" s="101">
        <f>IFERROR(VLOOKUP(A128,'Projects Master'!$A:$B,2,0),"")</f>
        <v/>
      </c>
      <c r="C128" s="218">
        <f>IFERROR(VLOOKUP(A128,'Projects Master'!$A:$K,11,0),"")</f>
        <v/>
      </c>
      <c r="D128" s="219" t="n"/>
      <c r="E128" s="219" t="n"/>
      <c r="F128" s="219" t="n"/>
      <c r="G128" s="219" t="n"/>
      <c r="H128" s="25">
        <f>IFERROR(VLOOKUP(A128,'Projects Master'!$A:$I,9,0),0)</f>
        <v/>
      </c>
      <c r="I128" s="7">
        <f>IFERROR(SUMIFS('Work Items'!O:O,'Work Items'!D:D,VLOOKUP(A128,'Projects Master'!$A:$B,2,0),'Work Items'!A:A,"Task"),0)</f>
        <v/>
      </c>
      <c r="J128" s="220" t="n"/>
      <c r="K128" s="221">
        <f>(H128-I128)*J128</f>
        <v/>
      </c>
      <c r="L128" s="117">
        <f>IFERROR(VLOOKUP(A128,'Projects Master'!$A:$K,5,0),"")</f>
        <v/>
      </c>
    </row>
    <row r="129">
      <c r="A129" s="2">
        <f>IFERROR(INDEX('Projects Master'!$A:$A,ROW()),"")</f>
        <v/>
      </c>
      <c r="B129" s="101">
        <f>IFERROR(VLOOKUP(A129,'Projects Master'!$A:$B,2,0),"")</f>
        <v/>
      </c>
      <c r="C129" s="218">
        <f>IFERROR(VLOOKUP(A129,'Projects Master'!$A:$K,11,0),"")</f>
        <v/>
      </c>
      <c r="D129" s="219" t="n"/>
      <c r="E129" s="219" t="n"/>
      <c r="F129" s="219" t="n"/>
      <c r="G129" s="219" t="n"/>
      <c r="H129" s="25">
        <f>IFERROR(VLOOKUP(A129,'Projects Master'!$A:$I,9,0),0)</f>
        <v/>
      </c>
      <c r="I129" s="7">
        <f>IFERROR(SUMIFS('Work Items'!O:O,'Work Items'!D:D,VLOOKUP(A129,'Projects Master'!$A:$B,2,0),'Work Items'!A:A,"Task"),0)</f>
        <v/>
      </c>
      <c r="J129" s="220" t="n"/>
      <c r="K129" s="221">
        <f>(H129-I129)*J129</f>
        <v/>
      </c>
      <c r="L129" s="117">
        <f>IFERROR(VLOOKUP(A129,'Projects Master'!$A:$K,5,0),"")</f>
        <v/>
      </c>
    </row>
    <row r="130">
      <c r="A130" s="2">
        <f>IFERROR(INDEX('Projects Master'!$A:$A,ROW()),"")</f>
        <v/>
      </c>
      <c r="B130" s="101">
        <f>IFERROR(VLOOKUP(A130,'Projects Master'!$A:$B,2,0),"")</f>
        <v/>
      </c>
      <c r="C130" s="218">
        <f>IFERROR(VLOOKUP(A130,'Projects Master'!$A:$K,11,0),"")</f>
        <v/>
      </c>
      <c r="D130" s="219" t="n"/>
      <c r="E130" s="219" t="n"/>
      <c r="F130" s="219" t="n"/>
      <c r="G130" s="219" t="n"/>
      <c r="H130" s="25">
        <f>IFERROR(VLOOKUP(A130,'Projects Master'!$A:$I,9,0),0)</f>
        <v/>
      </c>
      <c r="I130" s="7">
        <f>IFERROR(SUMIFS('Work Items'!O:O,'Work Items'!D:D,VLOOKUP(A130,'Projects Master'!$A:$B,2,0),'Work Items'!A:A,"Task"),0)</f>
        <v/>
      </c>
      <c r="J130" s="220" t="n"/>
      <c r="K130" s="221">
        <f>(H130-I130)*J130</f>
        <v/>
      </c>
      <c r="L130" s="117">
        <f>IFERROR(VLOOKUP(A130,'Projects Master'!$A:$K,5,0),"")</f>
        <v/>
      </c>
    </row>
    <row r="131">
      <c r="A131" s="2">
        <f>IFERROR(INDEX('Projects Master'!$A:$A,ROW()),"")</f>
        <v/>
      </c>
      <c r="B131" s="101">
        <f>IFERROR(VLOOKUP(A131,'Projects Master'!$A:$B,2,0),"")</f>
        <v/>
      </c>
      <c r="C131" s="218">
        <f>IFERROR(VLOOKUP(A131,'Projects Master'!$A:$K,11,0),"")</f>
        <v/>
      </c>
      <c r="D131" s="219" t="n"/>
      <c r="E131" s="219" t="n"/>
      <c r="F131" s="219" t="n"/>
      <c r="G131" s="219" t="n"/>
      <c r="H131" s="25">
        <f>IFERROR(VLOOKUP(A131,'Projects Master'!$A:$I,9,0),0)</f>
        <v/>
      </c>
      <c r="I131" s="7">
        <f>IFERROR(SUMIFS('Work Items'!O:O,'Work Items'!D:D,VLOOKUP(A131,'Projects Master'!$A:$B,2,0),'Work Items'!A:A,"Task"),0)</f>
        <v/>
      </c>
      <c r="J131" s="220" t="n"/>
      <c r="K131" s="221">
        <f>(H131-I131)*J131</f>
        <v/>
      </c>
      <c r="L131" s="117">
        <f>IFERROR(VLOOKUP(A131,'Projects Master'!$A:$K,5,0),"")</f>
        <v/>
      </c>
    </row>
    <row r="132">
      <c r="A132" s="2">
        <f>IFERROR(INDEX('Projects Master'!$A:$A,ROW()),"")</f>
        <v/>
      </c>
      <c r="B132" s="101">
        <f>IFERROR(VLOOKUP(A132,'Projects Master'!$A:$B,2,0),"")</f>
        <v/>
      </c>
      <c r="C132" s="218">
        <f>IFERROR(VLOOKUP(A132,'Projects Master'!$A:$K,11,0),"")</f>
        <v/>
      </c>
      <c r="D132" s="219" t="n"/>
      <c r="E132" s="219" t="n"/>
      <c r="F132" s="219" t="n"/>
      <c r="G132" s="219" t="n"/>
      <c r="H132" s="25">
        <f>IFERROR(VLOOKUP(A132,'Projects Master'!$A:$I,9,0),0)</f>
        <v/>
      </c>
      <c r="I132" s="7">
        <f>IFERROR(SUMIFS('Work Items'!O:O,'Work Items'!D:D,VLOOKUP(A132,'Projects Master'!$A:$B,2,0),'Work Items'!A:A,"Task"),0)</f>
        <v/>
      </c>
      <c r="J132" s="220" t="n"/>
      <c r="K132" s="221">
        <f>(H132-I132)*J132</f>
        <v/>
      </c>
      <c r="L132" s="117">
        <f>IFERROR(VLOOKUP(A132,'Projects Master'!$A:$K,5,0),"")</f>
        <v/>
      </c>
    </row>
    <row r="133">
      <c r="A133" s="2">
        <f>IFERROR(INDEX('Projects Master'!$A:$A,ROW()),"")</f>
        <v/>
      </c>
      <c r="B133" s="101">
        <f>IFERROR(VLOOKUP(A133,'Projects Master'!$A:$B,2,0),"")</f>
        <v/>
      </c>
      <c r="C133" s="218">
        <f>IFERROR(VLOOKUP(A133,'Projects Master'!$A:$K,11,0),"")</f>
        <v/>
      </c>
      <c r="D133" s="219" t="n"/>
      <c r="E133" s="219" t="n"/>
      <c r="F133" s="219" t="n"/>
      <c r="G133" s="219" t="n"/>
      <c r="H133" s="25">
        <f>IFERROR(VLOOKUP(A133,'Projects Master'!$A:$I,9,0),0)</f>
        <v/>
      </c>
      <c r="I133" s="7">
        <f>IFERROR(SUMIFS('Work Items'!O:O,'Work Items'!D:D,VLOOKUP(A133,'Projects Master'!$A:$B,2,0),'Work Items'!A:A,"Task"),0)</f>
        <v/>
      </c>
      <c r="J133" s="220" t="n"/>
      <c r="K133" s="221">
        <f>(H133-I133)*J133</f>
        <v/>
      </c>
      <c r="L133" s="117">
        <f>IFERROR(VLOOKUP(A133,'Projects Master'!$A:$K,5,0),"")</f>
        <v/>
      </c>
    </row>
    <row r="134">
      <c r="A134" s="2">
        <f>IFERROR(INDEX('Projects Master'!$A:$A,ROW()),"")</f>
        <v/>
      </c>
      <c r="B134" s="101">
        <f>IFERROR(VLOOKUP(A134,'Projects Master'!$A:$B,2,0),"")</f>
        <v/>
      </c>
      <c r="C134" s="218">
        <f>IFERROR(VLOOKUP(A134,'Projects Master'!$A:$K,11,0),"")</f>
        <v/>
      </c>
      <c r="D134" s="219" t="n"/>
      <c r="E134" s="219" t="n"/>
      <c r="F134" s="219" t="n"/>
      <c r="G134" s="219" t="n"/>
      <c r="H134" s="25">
        <f>IFERROR(VLOOKUP(A134,'Projects Master'!$A:$I,9,0),0)</f>
        <v/>
      </c>
      <c r="I134" s="7">
        <f>IFERROR(SUMIFS('Work Items'!O:O,'Work Items'!D:D,VLOOKUP(A134,'Projects Master'!$A:$B,2,0),'Work Items'!A:A,"Task"),0)</f>
        <v/>
      </c>
      <c r="J134" s="220" t="n"/>
      <c r="K134" s="221">
        <f>(H134-I134)*J134</f>
        <v/>
      </c>
      <c r="L134" s="117">
        <f>IFERROR(VLOOKUP(A134,'Projects Master'!$A:$K,5,0),"")</f>
        <v/>
      </c>
    </row>
    <row r="135">
      <c r="A135" s="2">
        <f>IFERROR(INDEX('Projects Master'!$A:$A,ROW()),"")</f>
        <v/>
      </c>
      <c r="B135" s="101">
        <f>IFERROR(VLOOKUP(A135,'Projects Master'!$A:$B,2,0),"")</f>
        <v/>
      </c>
      <c r="C135" s="218">
        <f>IFERROR(VLOOKUP(A135,'Projects Master'!$A:$K,11,0),"")</f>
        <v/>
      </c>
      <c r="D135" s="219" t="n"/>
      <c r="E135" s="219" t="n"/>
      <c r="F135" s="219" t="n"/>
      <c r="G135" s="219" t="n"/>
      <c r="H135" s="25">
        <f>IFERROR(VLOOKUP(A135,'Projects Master'!$A:$I,9,0),0)</f>
        <v/>
      </c>
      <c r="I135" s="7">
        <f>IFERROR(SUMIFS('Work Items'!O:O,'Work Items'!D:D,VLOOKUP(A135,'Projects Master'!$A:$B,2,0),'Work Items'!A:A,"Task"),0)</f>
        <v/>
      </c>
      <c r="J135" s="220" t="n"/>
      <c r="K135" s="221">
        <f>(H135-I135)*J135</f>
        <v/>
      </c>
      <c r="L135" s="117">
        <f>IFERROR(VLOOKUP(A135,'Projects Master'!$A:$K,5,0),"")</f>
        <v/>
      </c>
    </row>
    <row r="136">
      <c r="A136" s="2">
        <f>IFERROR(INDEX('Projects Master'!$A:$A,ROW()),"")</f>
        <v/>
      </c>
      <c r="B136" s="101">
        <f>IFERROR(VLOOKUP(A136,'Projects Master'!$A:$B,2,0),"")</f>
        <v/>
      </c>
      <c r="C136" s="218">
        <f>IFERROR(VLOOKUP(A136,'Projects Master'!$A:$K,11,0),"")</f>
        <v/>
      </c>
      <c r="D136" s="219" t="n"/>
      <c r="E136" s="219" t="n"/>
      <c r="F136" s="219" t="n"/>
      <c r="G136" s="219" t="n"/>
      <c r="H136" s="25">
        <f>IFERROR(VLOOKUP(A136,'Projects Master'!$A:$I,9,0),0)</f>
        <v/>
      </c>
      <c r="I136" s="7">
        <f>IFERROR(SUMIFS('Work Items'!O:O,'Work Items'!D:D,VLOOKUP(A136,'Projects Master'!$A:$B,2,0),'Work Items'!A:A,"Task"),0)</f>
        <v/>
      </c>
      <c r="J136" s="220" t="n"/>
      <c r="K136" s="221">
        <f>(H136-I136)*J136</f>
        <v/>
      </c>
      <c r="L136" s="117">
        <f>IFERROR(VLOOKUP(A136,'Projects Master'!$A:$K,5,0),"")</f>
        <v/>
      </c>
    </row>
    <row r="137">
      <c r="A137" s="2">
        <f>IFERROR(INDEX('Projects Master'!$A:$A,ROW()),"")</f>
        <v/>
      </c>
      <c r="B137" s="101">
        <f>IFERROR(VLOOKUP(A137,'Projects Master'!$A:$B,2,0),"")</f>
        <v/>
      </c>
      <c r="C137" s="218">
        <f>IFERROR(VLOOKUP(A137,'Projects Master'!$A:$K,11,0),"")</f>
        <v/>
      </c>
      <c r="D137" s="219" t="n"/>
      <c r="E137" s="219" t="n"/>
      <c r="F137" s="219" t="n"/>
      <c r="G137" s="219" t="n"/>
      <c r="H137" s="25">
        <f>IFERROR(VLOOKUP(A137,'Projects Master'!$A:$I,9,0),0)</f>
        <v/>
      </c>
      <c r="I137" s="7">
        <f>IFERROR(SUMIFS('Work Items'!O:O,'Work Items'!D:D,VLOOKUP(A137,'Projects Master'!$A:$B,2,0),'Work Items'!A:A,"Task"),0)</f>
        <v/>
      </c>
      <c r="J137" s="220" t="n"/>
      <c r="K137" s="221">
        <f>(H137-I137)*J137</f>
        <v/>
      </c>
      <c r="L137" s="117">
        <f>IFERROR(VLOOKUP(A137,'Projects Master'!$A:$K,5,0),"")</f>
        <v/>
      </c>
    </row>
    <row r="138">
      <c r="A138" s="2">
        <f>IFERROR(INDEX('Projects Master'!$A:$A,ROW()),"")</f>
        <v/>
      </c>
      <c r="B138" s="101">
        <f>IFERROR(VLOOKUP(A138,'Projects Master'!$A:$B,2,0),"")</f>
        <v/>
      </c>
      <c r="C138" s="218">
        <f>IFERROR(VLOOKUP(A138,'Projects Master'!$A:$K,11,0),"")</f>
        <v/>
      </c>
      <c r="D138" s="219" t="n"/>
      <c r="E138" s="219" t="n"/>
      <c r="F138" s="219" t="n"/>
      <c r="G138" s="219" t="n"/>
      <c r="H138" s="25">
        <f>IFERROR(VLOOKUP(A138,'Projects Master'!$A:$I,9,0),0)</f>
        <v/>
      </c>
      <c r="I138" s="7">
        <f>IFERROR(SUMIFS('Work Items'!O:O,'Work Items'!D:D,VLOOKUP(A138,'Projects Master'!$A:$B,2,0),'Work Items'!A:A,"Task"),0)</f>
        <v/>
      </c>
      <c r="J138" s="220" t="n"/>
      <c r="K138" s="221">
        <f>(H138-I138)*J138</f>
        <v/>
      </c>
      <c r="L138" s="117">
        <f>IFERROR(VLOOKUP(A138,'Projects Master'!$A:$K,5,0),"")</f>
        <v/>
      </c>
    </row>
    <row r="139">
      <c r="A139" s="2">
        <f>IFERROR(INDEX('Projects Master'!$A:$A,ROW()),"")</f>
        <v/>
      </c>
      <c r="B139" s="101">
        <f>IFERROR(VLOOKUP(A139,'Projects Master'!$A:$B,2,0),"")</f>
        <v/>
      </c>
      <c r="C139" s="218">
        <f>IFERROR(VLOOKUP(A139,'Projects Master'!$A:$K,11,0),"")</f>
        <v/>
      </c>
      <c r="D139" s="219" t="n"/>
      <c r="E139" s="219" t="n"/>
      <c r="F139" s="219" t="n"/>
      <c r="G139" s="219" t="n"/>
      <c r="H139" s="25">
        <f>IFERROR(VLOOKUP(A139,'Projects Master'!$A:$I,9,0),0)</f>
        <v/>
      </c>
      <c r="I139" s="7">
        <f>IFERROR(SUMIFS('Work Items'!O:O,'Work Items'!D:D,VLOOKUP(A139,'Projects Master'!$A:$B,2,0),'Work Items'!A:A,"Task"),0)</f>
        <v/>
      </c>
      <c r="J139" s="220" t="n"/>
      <c r="K139" s="221">
        <f>(H139-I139)*J139</f>
        <v/>
      </c>
      <c r="L139" s="117">
        <f>IFERROR(VLOOKUP(A139,'Projects Master'!$A:$K,5,0),"")</f>
        <v/>
      </c>
    </row>
    <row r="140">
      <c r="A140" s="2">
        <f>IFERROR(INDEX('Projects Master'!$A:$A,ROW()),"")</f>
        <v/>
      </c>
      <c r="B140" s="101">
        <f>IFERROR(VLOOKUP(A140,'Projects Master'!$A:$B,2,0),"")</f>
        <v/>
      </c>
      <c r="C140" s="218">
        <f>IFERROR(VLOOKUP(A140,'Projects Master'!$A:$K,11,0),"")</f>
        <v/>
      </c>
      <c r="D140" s="219" t="n"/>
      <c r="E140" s="219" t="n"/>
      <c r="F140" s="219" t="n"/>
      <c r="G140" s="219" t="n"/>
      <c r="H140" s="25">
        <f>IFERROR(VLOOKUP(A140,'Projects Master'!$A:$I,9,0),0)</f>
        <v/>
      </c>
      <c r="I140" s="7">
        <f>IFERROR(SUMIFS('Work Items'!O:O,'Work Items'!D:D,VLOOKUP(A140,'Projects Master'!$A:$B,2,0),'Work Items'!A:A,"Task"),0)</f>
        <v/>
      </c>
      <c r="J140" s="220" t="n"/>
      <c r="K140" s="221">
        <f>(H140-I140)*J140</f>
        <v/>
      </c>
      <c r="L140" s="117">
        <f>IFERROR(VLOOKUP(A140,'Projects Master'!$A:$K,5,0),"")</f>
        <v/>
      </c>
    </row>
    <row r="141">
      <c r="A141" s="2">
        <f>IFERROR(INDEX('Projects Master'!$A:$A,ROW()),"")</f>
        <v/>
      </c>
      <c r="B141" s="101">
        <f>IFERROR(VLOOKUP(A141,'Projects Master'!$A:$B,2,0),"")</f>
        <v/>
      </c>
      <c r="C141" s="218">
        <f>IFERROR(VLOOKUP(A141,'Projects Master'!$A:$K,11,0),"")</f>
        <v/>
      </c>
      <c r="D141" s="219" t="n"/>
      <c r="E141" s="219" t="n"/>
      <c r="F141" s="219" t="n"/>
      <c r="G141" s="219" t="n"/>
      <c r="H141" s="25">
        <f>IFERROR(VLOOKUP(A141,'Projects Master'!$A:$I,9,0),0)</f>
        <v/>
      </c>
      <c r="I141" s="7">
        <f>IFERROR(SUMIFS('Work Items'!O:O,'Work Items'!D:D,VLOOKUP(A141,'Projects Master'!$A:$B,2,0),'Work Items'!A:A,"Task"),0)</f>
        <v/>
      </c>
      <c r="J141" s="220" t="n"/>
      <c r="K141" s="221">
        <f>(H141-I141)*J141</f>
        <v/>
      </c>
      <c r="L141" s="117">
        <f>IFERROR(VLOOKUP(A141,'Projects Master'!$A:$K,5,0),"")</f>
        <v/>
      </c>
    </row>
    <row r="142">
      <c r="A142" s="2">
        <f>IFERROR(INDEX('Projects Master'!$A:$A,ROW()),"")</f>
        <v/>
      </c>
      <c r="B142" s="101">
        <f>IFERROR(VLOOKUP(A142,'Projects Master'!$A:$B,2,0),"")</f>
        <v/>
      </c>
      <c r="C142" s="218">
        <f>IFERROR(VLOOKUP(A142,'Projects Master'!$A:$K,11,0),"")</f>
        <v/>
      </c>
      <c r="D142" s="219" t="n"/>
      <c r="E142" s="219" t="n"/>
      <c r="F142" s="219" t="n"/>
      <c r="G142" s="219" t="n"/>
      <c r="H142" s="25">
        <f>IFERROR(VLOOKUP(A142,'Projects Master'!$A:$I,9,0),0)</f>
        <v/>
      </c>
      <c r="I142" s="7">
        <f>IFERROR(SUMIFS('Work Items'!O:O,'Work Items'!D:D,VLOOKUP(A142,'Projects Master'!$A:$B,2,0),'Work Items'!A:A,"Task"),0)</f>
        <v/>
      </c>
      <c r="J142" s="220" t="n"/>
      <c r="K142" s="221">
        <f>(H142-I142)*J142</f>
        <v/>
      </c>
      <c r="L142" s="117">
        <f>IFERROR(VLOOKUP(A142,'Projects Master'!$A:$K,5,0),"")</f>
        <v/>
      </c>
    </row>
    <row r="143">
      <c r="A143" s="2">
        <f>IFERROR(INDEX('Projects Master'!$A:$A,ROW()),"")</f>
        <v/>
      </c>
      <c r="B143" s="101">
        <f>IFERROR(VLOOKUP(A143,'Projects Master'!$A:$B,2,0),"")</f>
        <v/>
      </c>
      <c r="C143" s="218">
        <f>IFERROR(VLOOKUP(A143,'Projects Master'!$A:$K,11,0),"")</f>
        <v/>
      </c>
      <c r="D143" s="219" t="n"/>
      <c r="E143" s="219" t="n"/>
      <c r="F143" s="219" t="n"/>
      <c r="G143" s="219" t="n"/>
      <c r="H143" s="25">
        <f>IFERROR(VLOOKUP(A143,'Projects Master'!$A:$I,9,0),0)</f>
        <v/>
      </c>
      <c r="I143" s="7">
        <f>IFERROR(SUMIFS('Work Items'!O:O,'Work Items'!D:D,VLOOKUP(A143,'Projects Master'!$A:$B,2,0),'Work Items'!A:A,"Task"),0)</f>
        <v/>
      </c>
      <c r="J143" s="220" t="n"/>
      <c r="K143" s="221">
        <f>(H143-I143)*J143</f>
        <v/>
      </c>
      <c r="L143" s="117">
        <f>IFERROR(VLOOKUP(A143,'Projects Master'!$A:$K,5,0),"")</f>
        <v/>
      </c>
    </row>
    <row r="144">
      <c r="A144" s="2">
        <f>IFERROR(INDEX('Projects Master'!$A:$A,ROW()),"")</f>
        <v/>
      </c>
      <c r="B144" s="101">
        <f>IFERROR(VLOOKUP(A144,'Projects Master'!$A:$B,2,0),"")</f>
        <v/>
      </c>
      <c r="C144" s="218">
        <f>IFERROR(VLOOKUP(A144,'Projects Master'!$A:$K,11,0),"")</f>
        <v/>
      </c>
      <c r="D144" s="219" t="n"/>
      <c r="E144" s="219" t="n"/>
      <c r="F144" s="219" t="n"/>
      <c r="G144" s="219" t="n"/>
      <c r="H144" s="25">
        <f>IFERROR(VLOOKUP(A144,'Projects Master'!$A:$I,9,0),0)</f>
        <v/>
      </c>
      <c r="I144" s="7">
        <f>IFERROR(SUMIFS('Work Items'!O:O,'Work Items'!D:D,VLOOKUP(A144,'Projects Master'!$A:$B,2,0),'Work Items'!A:A,"Task"),0)</f>
        <v/>
      </c>
      <c r="J144" s="220" t="n"/>
      <c r="K144" s="221">
        <f>(H144-I144)*J144</f>
        <v/>
      </c>
      <c r="L144" s="117">
        <f>IFERROR(VLOOKUP(A144,'Projects Master'!$A:$K,5,0),"")</f>
        <v/>
      </c>
    </row>
    <row r="145">
      <c r="A145" s="2">
        <f>IFERROR(INDEX('Projects Master'!$A:$A,ROW()),"")</f>
        <v/>
      </c>
      <c r="B145" s="101">
        <f>IFERROR(VLOOKUP(A145,'Projects Master'!$A:$B,2,0),"")</f>
        <v/>
      </c>
      <c r="C145" s="218">
        <f>IFERROR(VLOOKUP(A145,'Projects Master'!$A:$K,11,0),"")</f>
        <v/>
      </c>
      <c r="D145" s="219" t="n"/>
      <c r="E145" s="219" t="n"/>
      <c r="F145" s="219" t="n"/>
      <c r="G145" s="219" t="n"/>
      <c r="H145" s="25">
        <f>IFERROR(VLOOKUP(A145,'Projects Master'!$A:$I,9,0),0)</f>
        <v/>
      </c>
      <c r="I145" s="7">
        <f>IFERROR(SUMIFS('Work Items'!O:O,'Work Items'!D:D,VLOOKUP(A145,'Projects Master'!$A:$B,2,0),'Work Items'!A:A,"Task"),0)</f>
        <v/>
      </c>
      <c r="J145" s="220" t="n"/>
      <c r="K145" s="221">
        <f>(H145-I145)*J145</f>
        <v/>
      </c>
      <c r="L145" s="117">
        <f>IFERROR(VLOOKUP(A145,'Projects Master'!$A:$K,5,0),"")</f>
        <v/>
      </c>
    </row>
    <row r="146">
      <c r="A146" s="2">
        <f>IFERROR(INDEX('Projects Master'!$A:$A,ROW()),"")</f>
        <v/>
      </c>
      <c r="B146" s="101">
        <f>IFERROR(VLOOKUP(A146,'Projects Master'!$A:$B,2,0),"")</f>
        <v/>
      </c>
      <c r="C146" s="218">
        <f>IFERROR(VLOOKUP(A146,'Projects Master'!$A:$K,11,0),"")</f>
        <v/>
      </c>
      <c r="D146" s="219" t="n"/>
      <c r="E146" s="219" t="n"/>
      <c r="F146" s="219" t="n"/>
      <c r="G146" s="219" t="n"/>
      <c r="H146" s="25">
        <f>IFERROR(VLOOKUP(A146,'Projects Master'!$A:$I,9,0),0)</f>
        <v/>
      </c>
      <c r="I146" s="7">
        <f>IFERROR(SUMIFS('Work Items'!O:O,'Work Items'!D:D,VLOOKUP(A146,'Projects Master'!$A:$B,2,0),'Work Items'!A:A,"Task"),0)</f>
        <v/>
      </c>
      <c r="J146" s="220" t="n"/>
      <c r="K146" s="221">
        <f>(H146-I146)*J146</f>
        <v/>
      </c>
      <c r="L146" s="117">
        <f>IFERROR(VLOOKUP(A146,'Projects Master'!$A:$K,5,0),"")</f>
        <v/>
      </c>
    </row>
    <row r="147">
      <c r="A147" s="2">
        <f>IFERROR(INDEX('Projects Master'!$A:$A,ROW()),"")</f>
        <v/>
      </c>
      <c r="B147" s="101">
        <f>IFERROR(VLOOKUP(A147,'Projects Master'!$A:$B,2,0),"")</f>
        <v/>
      </c>
      <c r="C147" s="218">
        <f>IFERROR(VLOOKUP(A147,'Projects Master'!$A:$K,11,0),"")</f>
        <v/>
      </c>
      <c r="D147" s="219" t="n"/>
      <c r="E147" s="219" t="n"/>
      <c r="F147" s="219" t="n"/>
      <c r="G147" s="219" t="n"/>
      <c r="H147" s="25">
        <f>IFERROR(VLOOKUP(A147,'Projects Master'!$A:$I,9,0),0)</f>
        <v/>
      </c>
      <c r="I147" s="7">
        <f>IFERROR(SUMIFS('Work Items'!O:O,'Work Items'!D:D,VLOOKUP(A147,'Projects Master'!$A:$B,2,0),'Work Items'!A:A,"Task"),0)</f>
        <v/>
      </c>
      <c r="J147" s="220" t="n"/>
      <c r="K147" s="221">
        <f>(H147-I147)*J147</f>
        <v/>
      </c>
      <c r="L147" s="117">
        <f>IFERROR(VLOOKUP(A147,'Projects Master'!$A:$K,5,0),"")</f>
        <v/>
      </c>
    </row>
    <row r="148">
      <c r="A148" s="2">
        <f>IFERROR(INDEX('Projects Master'!$A:$A,ROW()),"")</f>
        <v/>
      </c>
      <c r="B148" s="101">
        <f>IFERROR(VLOOKUP(A148,'Projects Master'!$A:$B,2,0),"")</f>
        <v/>
      </c>
      <c r="C148" s="218">
        <f>IFERROR(VLOOKUP(A148,'Projects Master'!$A:$K,11,0),"")</f>
        <v/>
      </c>
      <c r="D148" s="219" t="n"/>
      <c r="E148" s="219" t="n"/>
      <c r="F148" s="219" t="n"/>
      <c r="G148" s="219" t="n"/>
      <c r="H148" s="25">
        <f>IFERROR(VLOOKUP(A148,'Projects Master'!$A:$I,9,0),0)</f>
        <v/>
      </c>
      <c r="I148" s="7">
        <f>IFERROR(SUMIFS('Work Items'!O:O,'Work Items'!D:D,VLOOKUP(A148,'Projects Master'!$A:$B,2,0),'Work Items'!A:A,"Task"),0)</f>
        <v/>
      </c>
      <c r="J148" s="220" t="n"/>
      <c r="K148" s="221">
        <f>(H148-I148)*J148</f>
        <v/>
      </c>
      <c r="L148" s="117">
        <f>IFERROR(VLOOKUP(A148,'Projects Master'!$A:$K,5,0),"")</f>
        <v/>
      </c>
    </row>
    <row r="149">
      <c r="A149" s="2">
        <f>IFERROR(INDEX('Projects Master'!$A:$A,ROW()),"")</f>
        <v/>
      </c>
      <c r="B149" s="101">
        <f>IFERROR(VLOOKUP(A149,'Projects Master'!$A:$B,2,0),"")</f>
        <v/>
      </c>
      <c r="C149" s="218">
        <f>IFERROR(VLOOKUP(A149,'Projects Master'!$A:$K,11,0),"")</f>
        <v/>
      </c>
      <c r="D149" s="219" t="n"/>
      <c r="E149" s="219" t="n"/>
      <c r="F149" s="219" t="n"/>
      <c r="G149" s="219" t="n"/>
      <c r="H149" s="25">
        <f>IFERROR(VLOOKUP(A149,'Projects Master'!$A:$I,9,0),0)</f>
        <v/>
      </c>
      <c r="I149" s="7">
        <f>IFERROR(SUMIFS('Work Items'!O:O,'Work Items'!D:D,VLOOKUP(A149,'Projects Master'!$A:$B,2,0),'Work Items'!A:A,"Task"),0)</f>
        <v/>
      </c>
      <c r="J149" s="220" t="n"/>
      <c r="K149" s="221">
        <f>(H149-I149)*J149</f>
        <v/>
      </c>
      <c r="L149" s="117">
        <f>IFERROR(VLOOKUP(A149,'Projects Master'!$A:$K,5,0),"")</f>
        <v/>
      </c>
    </row>
    <row r="150">
      <c r="A150" s="2">
        <f>IFERROR(INDEX('Projects Master'!$A:$A,ROW()),"")</f>
        <v/>
      </c>
      <c r="B150" s="101">
        <f>IFERROR(VLOOKUP(A150,'Projects Master'!$A:$B,2,0),"")</f>
        <v/>
      </c>
      <c r="C150" s="218">
        <f>IFERROR(VLOOKUP(A150,'Projects Master'!$A:$K,11,0),"")</f>
        <v/>
      </c>
      <c r="D150" s="219" t="n"/>
      <c r="E150" s="219" t="n"/>
      <c r="F150" s="219" t="n"/>
      <c r="G150" s="219" t="n"/>
      <c r="H150" s="25">
        <f>IFERROR(VLOOKUP(A150,'Projects Master'!$A:$I,9,0),0)</f>
        <v/>
      </c>
      <c r="I150" s="7">
        <f>IFERROR(SUMIFS('Work Items'!O:O,'Work Items'!D:D,VLOOKUP(A150,'Projects Master'!$A:$B,2,0),'Work Items'!A:A,"Task"),0)</f>
        <v/>
      </c>
      <c r="J150" s="220" t="n"/>
      <c r="K150" s="221">
        <f>(H150-I150)*J150</f>
        <v/>
      </c>
      <c r="L150" s="117">
        <f>IFERROR(VLOOKUP(A150,'Projects Master'!$A:$K,5,0),"")</f>
        <v/>
      </c>
    </row>
    <row r="151">
      <c r="A151" s="2">
        <f>IFERROR(INDEX('Projects Master'!$A:$A,ROW()),"")</f>
        <v/>
      </c>
      <c r="B151" s="101">
        <f>IFERROR(VLOOKUP(A151,'Projects Master'!$A:$B,2,0),"")</f>
        <v/>
      </c>
      <c r="C151" s="218">
        <f>IFERROR(VLOOKUP(A151,'Projects Master'!$A:$K,11,0),"")</f>
        <v/>
      </c>
      <c r="D151" s="219" t="n"/>
      <c r="E151" s="219" t="n"/>
      <c r="F151" s="219" t="n"/>
      <c r="G151" s="219" t="n"/>
      <c r="H151" s="25">
        <f>IFERROR(VLOOKUP(A151,'Projects Master'!$A:$I,9,0),0)</f>
        <v/>
      </c>
      <c r="I151" s="7">
        <f>IFERROR(SUMIFS('Work Items'!O:O,'Work Items'!D:D,VLOOKUP(A151,'Projects Master'!$A:$B,2,0),'Work Items'!A:A,"Task"),0)</f>
        <v/>
      </c>
      <c r="J151" s="220" t="n"/>
      <c r="K151" s="221">
        <f>(H151-I151)*J151</f>
        <v/>
      </c>
      <c r="L151" s="117">
        <f>IFERROR(VLOOKUP(A151,'Projects Master'!$A:$K,5,0),"")</f>
        <v/>
      </c>
    </row>
    <row r="152">
      <c r="A152" s="2">
        <f>IFERROR(INDEX('Projects Master'!$A:$A,ROW()),"")</f>
        <v/>
      </c>
      <c r="B152" s="101">
        <f>IFERROR(VLOOKUP(A152,'Projects Master'!$A:$B,2,0),"")</f>
        <v/>
      </c>
      <c r="C152" s="218">
        <f>IFERROR(VLOOKUP(A152,'Projects Master'!$A:$K,11,0),"")</f>
        <v/>
      </c>
      <c r="D152" s="219" t="n"/>
      <c r="E152" s="219" t="n"/>
      <c r="F152" s="219" t="n"/>
      <c r="G152" s="219" t="n"/>
      <c r="H152" s="25">
        <f>IFERROR(VLOOKUP(A152,'Projects Master'!$A:$I,9,0),0)</f>
        <v/>
      </c>
      <c r="I152" s="7">
        <f>IFERROR(SUMIFS('Work Items'!O:O,'Work Items'!D:D,VLOOKUP(A152,'Projects Master'!$A:$B,2,0),'Work Items'!A:A,"Task"),0)</f>
        <v/>
      </c>
      <c r="J152" s="220" t="n"/>
      <c r="K152" s="221">
        <f>(H152-I152)*J152</f>
        <v/>
      </c>
      <c r="L152" s="117">
        <f>IFERROR(VLOOKUP(A152,'Projects Master'!$A:$K,5,0),"")</f>
        <v/>
      </c>
    </row>
    <row r="153">
      <c r="A153" s="2">
        <f>IFERROR(INDEX('Projects Master'!$A:$A,ROW()),"")</f>
        <v/>
      </c>
      <c r="B153" s="101">
        <f>IFERROR(VLOOKUP(A153,'Projects Master'!$A:$B,2,0),"")</f>
        <v/>
      </c>
      <c r="C153" s="218">
        <f>IFERROR(VLOOKUP(A153,'Projects Master'!$A:$K,11,0),"")</f>
        <v/>
      </c>
      <c r="D153" s="219" t="n"/>
      <c r="E153" s="219" t="n"/>
      <c r="F153" s="219" t="n"/>
      <c r="G153" s="219" t="n"/>
      <c r="H153" s="25">
        <f>IFERROR(VLOOKUP(A153,'Projects Master'!$A:$I,9,0),0)</f>
        <v/>
      </c>
      <c r="I153" s="7">
        <f>IFERROR(SUMIFS('Work Items'!O:O,'Work Items'!D:D,VLOOKUP(A153,'Projects Master'!$A:$B,2,0),'Work Items'!A:A,"Task"),0)</f>
        <v/>
      </c>
      <c r="J153" s="220" t="n"/>
      <c r="K153" s="221">
        <f>(H153-I153)*J153</f>
        <v/>
      </c>
      <c r="L153" s="117">
        <f>IFERROR(VLOOKUP(A153,'Projects Master'!$A:$K,5,0),"")</f>
        <v/>
      </c>
    </row>
    <row r="154">
      <c r="A154" s="2">
        <f>IFERROR(INDEX('Projects Master'!$A:$A,ROW()),"")</f>
        <v/>
      </c>
      <c r="B154" s="101">
        <f>IFERROR(VLOOKUP(A154,'Projects Master'!$A:$B,2,0),"")</f>
        <v/>
      </c>
      <c r="C154" s="218">
        <f>IFERROR(VLOOKUP(A154,'Projects Master'!$A:$K,11,0),"")</f>
        <v/>
      </c>
      <c r="D154" s="219" t="n"/>
      <c r="E154" s="219" t="n"/>
      <c r="F154" s="219" t="n"/>
      <c r="G154" s="219" t="n"/>
      <c r="H154" s="25">
        <f>IFERROR(VLOOKUP(A154,'Projects Master'!$A:$I,9,0),0)</f>
        <v/>
      </c>
      <c r="I154" s="7">
        <f>IFERROR(SUMIFS('Work Items'!O:O,'Work Items'!D:D,VLOOKUP(A154,'Projects Master'!$A:$B,2,0),'Work Items'!A:A,"Task"),0)</f>
        <v/>
      </c>
      <c r="J154" s="220" t="n"/>
      <c r="K154" s="221">
        <f>(H154-I154)*J154</f>
        <v/>
      </c>
      <c r="L154" s="117">
        <f>IFERROR(VLOOKUP(A154,'Projects Master'!$A:$K,5,0),"")</f>
        <v/>
      </c>
    </row>
    <row r="156">
      <c r="A156" s="2" t="inlineStr">
        <is>
          <t>TOTAL</t>
        </is>
      </c>
      <c r="B156" s="211" t="n"/>
      <c r="C156" s="218">
        <f>SUM(C5:C154)</f>
        <v/>
      </c>
      <c r="D156" s="219">
        <f>SUM(D5:D154)</f>
        <v/>
      </c>
      <c r="E156" s="219">
        <f>SUM(E5:E154)</f>
        <v/>
      </c>
      <c r="F156" s="219">
        <f>SUM(F5:F154)</f>
        <v/>
      </c>
      <c r="G156" s="219">
        <f>SUM(G5:G154)</f>
        <v/>
      </c>
      <c r="H156" s="25">
        <f>SUM(H5:H154)</f>
        <v/>
      </c>
      <c r="I156" s="7">
        <f>SUM(I5:I154)</f>
        <v/>
      </c>
      <c r="J156" s="220" t="n"/>
      <c r="K156" s="221">
        <f>SUM(K5:K154)</f>
        <v/>
      </c>
      <c r="L156" s="117" t="n"/>
    </row>
  </sheetData>
  <mergeCells count="4">
    <mergeCell ref="A2:K2"/>
    <mergeCell ref="A156:B156"/>
    <mergeCell ref="A1:K1"/>
    <mergeCell ref="A3:K3"/>
  </mergeCells>
  <conditionalFormatting sqref="K5:K154">
    <cfRule type="expression" priority="1" dxfId="0">
      <formula>K5&lt;0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595959"/>
    <outlinePr summaryBelow="1" summaryRight="1"/>
    <pageSetUpPr/>
  </sheetPr>
  <dimension ref="A1:R9"/>
  <sheetViews>
    <sheetView workbookViewId="0">
      <pane ySplit="4" topLeftCell="A5" activePane="bottomLeft" state="frozen"/>
      <selection pane="bottomLeft" activeCell="E7" sqref="E7"/>
    </sheetView>
  </sheetViews>
  <sheetFormatPr baseColWidth="10" defaultColWidth="8.83203125" defaultRowHeight="15"/>
  <cols>
    <col width="10" customWidth="1" style="66" min="1" max="1"/>
    <col width="24" customWidth="1" style="66" min="2" max="2"/>
    <col width="22" customWidth="1" style="66" min="3" max="3"/>
    <col width="14.1640625" bestFit="1" customWidth="1" style="66" min="4" max="4"/>
    <col width="28" customWidth="1" style="66" min="5" max="5"/>
    <col width="10" customWidth="1" style="66" min="6" max="6"/>
    <col width="14" customWidth="1" style="66" min="7" max="8"/>
    <col width="12" customWidth="1" style="66" min="9" max="9"/>
    <col width="24" customWidth="1" style="66" min="10" max="10"/>
  </cols>
  <sheetData>
    <row r="1" ht="28" customHeight="1" s="66">
      <c r="A1" s="75" t="inlineStr">
        <is>
          <t>OrbitFlow — Projects Master  |  Lookup source for all sheets</t>
        </is>
      </c>
    </row>
    <row r="2" ht="6" customHeight="1" s="66">
      <c r="A2" s="89" t="n"/>
    </row>
    <row r="3" ht="18" customHeight="1" s="66">
      <c r="A3" s="88" t="inlineStr">
        <is>
          <t>Project Name in column B must match Module column in Work Items exactly  ·  SOW Hrs = contracted effort hours</t>
        </is>
      </c>
    </row>
    <row r="4" ht="28" customHeight="1" s="66">
      <c r="A4" s="17" t="inlineStr">
        <is>
          <t>Project ID</t>
        </is>
      </c>
      <c r="B4" s="17" t="inlineStr">
        <is>
          <t>Project Name</t>
        </is>
      </c>
      <c r="C4" s="17" t="inlineStr">
        <is>
          <t>PM</t>
        </is>
      </c>
      <c r="D4" s="17" t="inlineStr">
        <is>
          <t>Account Manager</t>
        </is>
      </c>
      <c r="E4" s="17" t="inlineStr">
        <is>
          <t>Project Type</t>
        </is>
      </c>
      <c r="F4" s="17" t="inlineStr">
        <is>
          <t>Status</t>
        </is>
      </c>
      <c r="G4" s="17" t="inlineStr">
        <is>
          <t>Start Date</t>
        </is>
      </c>
      <c r="H4" s="17" t="inlineStr">
        <is>
          <t>End Date</t>
        </is>
      </c>
      <c r="I4" s="17" t="inlineStr">
        <is>
          <t>SOW Hrs</t>
        </is>
      </c>
      <c r="J4" s="17" t="inlineStr">
        <is>
          <t>Domain</t>
        </is>
      </c>
      <c r="K4" s="111" t="inlineStr">
        <is>
          <t>SOW Value ($)</t>
        </is>
      </c>
      <c r="L4" s="17" t="inlineStr">
        <is>
          <t>Priority</t>
        </is>
      </c>
      <c r="M4" s="17" t="inlineStr">
        <is>
          <t>Health</t>
        </is>
      </c>
      <c r="N4" s="17" t="inlineStr">
        <is>
          <t>Business Unit</t>
        </is>
      </c>
      <c r="O4" s="17" t="inlineStr">
        <is>
          <t>Delivery Manager</t>
        </is>
      </c>
      <c r="P4" s="17" t="inlineStr">
        <is>
          <t>Technology</t>
        </is>
      </c>
      <c r="Q4" s="17" t="inlineStr">
        <is>
          <t>Currency</t>
        </is>
      </c>
      <c r="R4" s="17" t="inlineStr">
        <is>
          <t>Description</t>
        </is>
      </c>
    </row>
    <row r="5" ht="20" customHeight="1" s="66">
      <c r="A5" s="2" t="inlineStr">
        <is>
          <t>P001</t>
        </is>
      </c>
      <c r="B5" s="26" t="inlineStr">
        <is>
          <t>GCI Phase 1</t>
        </is>
      </c>
      <c r="C5" s="101" t="inlineStr">
        <is>
          <t>Gopinath Vedantham</t>
        </is>
      </c>
      <c r="D5" s="101" t="inlineStr">
        <is>
          <t>Gopikrishna Vemuri</t>
        </is>
      </c>
      <c r="E5" s="4" t="inlineStr">
        <is>
          <t>Fixed Monthly Block of Hours</t>
        </is>
      </c>
      <c r="F5" s="28" t="inlineStr">
        <is>
          <t>Active</t>
        </is>
      </c>
      <c r="G5" s="6" t="n">
        <v>45658</v>
      </c>
      <c r="H5" s="6" t="n">
        <v>46022</v>
      </c>
      <c r="I5" s="7" t="n">
        <v>3840</v>
      </c>
      <c r="J5" s="101" t="inlineStr">
        <is>
          <t>Telecommunications</t>
        </is>
      </c>
      <c r="K5" s="222" t="n">
        <v>460800</v>
      </c>
      <c r="L5" t="inlineStr">
        <is>
          <t>Medium</t>
        </is>
      </c>
      <c r="M5" t="inlineStr">
        <is>
          <t>Green</t>
        </is>
      </c>
      <c r="Q5" t="inlineStr">
        <is>
          <t>USD</t>
        </is>
      </c>
    </row>
    <row r="6" ht="20" customHeight="1" s="66">
      <c r="A6" s="2" t="inlineStr">
        <is>
          <t>P002</t>
        </is>
      </c>
      <c r="B6" s="26" t="inlineStr">
        <is>
          <t>Control Solutions</t>
        </is>
      </c>
      <c r="C6" s="22" t="inlineStr">
        <is>
          <t>Deepti Bhatt</t>
        </is>
      </c>
      <c r="D6" s="22" t="inlineStr">
        <is>
          <t>Gopikrishna Vemuri</t>
        </is>
      </c>
      <c r="E6" s="20" t="inlineStr">
        <is>
          <t>One Time - Implementation</t>
        </is>
      </c>
      <c r="F6" s="28" t="inlineStr">
        <is>
          <t>Active</t>
        </is>
      </c>
      <c r="G6" s="6" t="n">
        <v>45707</v>
      </c>
      <c r="H6" s="6" t="n">
        <v>45747</v>
      </c>
      <c r="I6" s="7" t="n">
        <v>1018</v>
      </c>
      <c r="J6" s="22" t="inlineStr">
        <is>
          <t>Manufacturing</t>
        </is>
      </c>
      <c r="K6" s="222" t="n">
        <v>89800</v>
      </c>
      <c r="L6" t="inlineStr">
        <is>
          <t>Medium</t>
        </is>
      </c>
      <c r="M6" t="inlineStr">
        <is>
          <t>Green</t>
        </is>
      </c>
      <c r="Q6" t="inlineStr">
        <is>
          <t>USD</t>
        </is>
      </c>
    </row>
    <row r="7" ht="20" customHeight="1" s="66">
      <c r="A7" s="2" t="inlineStr">
        <is>
          <t>P003</t>
        </is>
      </c>
      <c r="B7" s="26" t="inlineStr">
        <is>
          <t>Levata</t>
        </is>
      </c>
      <c r="C7" s="101" t="inlineStr">
        <is>
          <t>Deepti Bhatt</t>
        </is>
      </c>
      <c r="D7" s="101" t="inlineStr">
        <is>
          <t>Gopikrishna Vemuri</t>
        </is>
      </c>
      <c r="E7" s="4" t="inlineStr">
        <is>
          <t>Fixed Monthly Block of Hours</t>
        </is>
      </c>
      <c r="F7" s="28" t="inlineStr">
        <is>
          <t>Active</t>
        </is>
      </c>
      <c r="G7" s="6" t="n">
        <v>45455</v>
      </c>
      <c r="H7" s="6" t="n">
        <v>45900</v>
      </c>
      <c r="I7" s="7" t="n">
        <v>8640</v>
      </c>
      <c r="J7" s="101" t="inlineStr">
        <is>
          <t>Business Consulting</t>
        </is>
      </c>
      <c r="K7" s="222" t="n">
        <v>171600</v>
      </c>
      <c r="L7" t="inlineStr">
        <is>
          <t>Medium</t>
        </is>
      </c>
      <c r="M7" t="inlineStr">
        <is>
          <t>Green</t>
        </is>
      </c>
      <c r="Q7" t="inlineStr">
        <is>
          <t>USD</t>
        </is>
      </c>
    </row>
    <row r="8" ht="20" customHeight="1" s="66">
      <c r="A8" s="2" t="inlineStr">
        <is>
          <t>P004</t>
        </is>
      </c>
      <c r="B8" s="26" t="inlineStr">
        <is>
          <t>4Media Phase 3</t>
        </is>
      </c>
      <c r="C8" s="22" t="inlineStr">
        <is>
          <t>Murali Meruva</t>
        </is>
      </c>
      <c r="D8" s="22" t="inlineStr">
        <is>
          <t>Gopikrishna Vemuri</t>
        </is>
      </c>
      <c r="E8" s="20" t="inlineStr">
        <is>
          <t>One Time - Implementation</t>
        </is>
      </c>
      <c r="F8" s="28" t="inlineStr">
        <is>
          <t>Active</t>
        </is>
      </c>
      <c r="G8" s="6" t="n">
        <v>45826</v>
      </c>
      <c r="H8" s="6" t="n">
        <v>45930</v>
      </c>
      <c r="I8" s="7" t="n">
        <v>370</v>
      </c>
      <c r="J8" s="22" t="inlineStr">
        <is>
          <t>PR &amp; Communications</t>
        </is>
      </c>
      <c r="K8" s="222" t="n">
        <v>26036</v>
      </c>
      <c r="L8" t="inlineStr">
        <is>
          <t>Medium</t>
        </is>
      </c>
      <c r="M8" t="inlineStr">
        <is>
          <t>Green</t>
        </is>
      </c>
      <c r="Q8" t="inlineStr">
        <is>
          <t>USD</t>
        </is>
      </c>
    </row>
    <row r="9" ht="20" customHeight="1" s="66">
      <c r="A9" s="2" t="inlineStr">
        <is>
          <t>P005</t>
        </is>
      </c>
      <c r="B9" s="26" t="inlineStr">
        <is>
          <t>VRC Managed Services</t>
        </is>
      </c>
      <c r="C9" s="101" t="inlineStr">
        <is>
          <t>Praveen Venkatesh</t>
        </is>
      </c>
      <c r="D9" s="101" t="inlineStr">
        <is>
          <t>Gopikrishna Vemuri</t>
        </is>
      </c>
      <c r="E9" s="4" t="inlineStr">
        <is>
          <t>Fixed Monthly Block of Hours</t>
        </is>
      </c>
      <c r="F9" s="28" t="inlineStr">
        <is>
          <t>Active</t>
        </is>
      </c>
      <c r="G9" s="6" t="n">
        <v>45789</v>
      </c>
      <c r="H9" s="6" t="n">
        <v>46153</v>
      </c>
      <c r="I9" s="7" t="n">
        <v>1200</v>
      </c>
      <c r="J9" s="101" t="inlineStr">
        <is>
          <t>Information Management</t>
        </is>
      </c>
      <c r="K9" s="222" t="n">
        <v>178800</v>
      </c>
      <c r="L9" t="inlineStr">
        <is>
          <t>Medium</t>
        </is>
      </c>
      <c r="M9" t="inlineStr">
        <is>
          <t>Green</t>
        </is>
      </c>
      <c r="Q9" t="inlineStr">
        <is>
          <t>USD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08080"/>
    <outlinePr summaryBelow="1" summaryRight="1"/>
    <pageSetUpPr/>
  </sheetPr>
  <dimension ref="A1:E171"/>
  <sheetViews>
    <sheetView workbookViewId="0">
      <selection activeCell="C22" sqref="C22"/>
    </sheetView>
  </sheetViews>
  <sheetFormatPr baseColWidth="10" defaultColWidth="8.83203125" defaultRowHeight="15"/>
  <cols>
    <col width="20" customWidth="1" style="66" min="1" max="2"/>
    <col width="18" customWidth="1" style="66" min="3" max="4"/>
    <col width="25" customWidth="1" style="66" min="5" max="5"/>
  </cols>
  <sheetData>
    <row r="1" ht="28" customHeight="1" s="66">
      <c r="A1" s="72" t="inlineStr">
        <is>
          <t>OrbitFlow — Configuration &amp; Rate Card</t>
        </is>
      </c>
    </row>
    <row r="2" ht="6" customHeight="1" s="66"/>
    <row r="3" ht="22" customHeight="1" s="66">
      <c r="A3" s="90" t="inlineStr">
        <is>
          <t>▸  Sprint Assumptions</t>
        </is>
      </c>
    </row>
    <row r="4" ht="18" customHeight="1" s="66">
      <c r="A4" s="59" t="inlineStr">
        <is>
          <t>Working Days/Month</t>
        </is>
      </c>
      <c r="B4" s="60" t="n">
        <v>20</v>
      </c>
      <c r="C4" s="74" t="inlineStr">
        <is>
          <t>Standard (20 business days)</t>
        </is>
      </c>
    </row>
    <row r="5" ht="18" customHeight="1" s="66">
      <c r="A5" s="59" t="inlineStr">
        <is>
          <t>Hours/Day</t>
        </is>
      </c>
      <c r="B5" s="60" t="n">
        <v>8</v>
      </c>
    </row>
    <row r="6" ht="18" customHeight="1" s="66">
      <c r="A6" s="59" t="inlineStr">
        <is>
          <t>Hours/Month</t>
        </is>
      </c>
      <c r="B6" s="60">
        <f>B4*B5</f>
        <v/>
      </c>
      <c r="C6" s="74" t="inlineStr">
        <is>
          <t>Used in all utilization calculations</t>
        </is>
      </c>
    </row>
    <row r="7" ht="18" customHeight="1" s="66">
      <c r="A7" s="59" t="inlineStr">
        <is>
          <t>Sprint Cap (hrs/resource)</t>
        </is>
      </c>
      <c r="B7" s="60" t="n">
        <v>136</v>
      </c>
      <c r="C7" s="74" t="inlineStr">
        <is>
          <t>From reference tracker</t>
        </is>
      </c>
    </row>
    <row r="9" ht="22" customHeight="1" s="66">
      <c r="A9" s="90" t="inlineStr">
        <is>
          <t>▸  Rate Card  ($/hr)</t>
        </is>
      </c>
    </row>
    <row r="10" ht="20" customHeight="1" s="66">
      <c r="A10" s="61" t="inlineStr">
        <is>
          <t>Role</t>
        </is>
      </c>
      <c r="B10" s="61" t="inlineStr">
        <is>
          <t>Onsite ($/hr)</t>
        </is>
      </c>
      <c r="C10" s="61" t="inlineStr">
        <is>
          <t>Offshore ($/hr)</t>
        </is>
      </c>
      <c r="D10" s="61" t="inlineStr">
        <is>
          <t>Notes</t>
        </is>
      </c>
    </row>
    <row r="11" ht="18" customHeight="1" s="66">
      <c r="A11" s="21" t="inlineStr">
        <is>
          <t>Project Manager</t>
        </is>
      </c>
      <c r="B11" s="223" t="n">
        <v>75</v>
      </c>
      <c r="C11" s="224" t="n">
        <v>32</v>
      </c>
      <c r="D11" s="64" t="n"/>
    </row>
    <row r="12" ht="18" customHeight="1" s="66">
      <c r="A12" s="21" t="inlineStr">
        <is>
          <t>Solution Architect</t>
        </is>
      </c>
      <c r="B12" s="223" t="n">
        <v>90</v>
      </c>
      <c r="C12" s="224" t="n">
        <v>38</v>
      </c>
      <c r="D12" s="64" t="n"/>
    </row>
    <row r="13" ht="18" customHeight="1" s="66">
      <c r="A13" s="21" t="inlineStr">
        <is>
          <t>Senior Developer</t>
        </is>
      </c>
      <c r="B13" s="223" t="n">
        <v>70</v>
      </c>
      <c r="C13" s="224" t="n">
        <v>28</v>
      </c>
      <c r="D13" s="64" t="n"/>
    </row>
    <row r="14" ht="18" customHeight="1" s="66">
      <c r="A14" s="21" t="inlineStr">
        <is>
          <t>Developer</t>
        </is>
      </c>
      <c r="B14" s="223" t="n">
        <v>60</v>
      </c>
      <c r="C14" s="224" t="n">
        <v>22</v>
      </c>
      <c r="D14" s="64" t="n"/>
    </row>
    <row r="15" ht="18" customHeight="1" s="66">
      <c r="A15" s="21" t="inlineStr">
        <is>
          <t>QA Engineer</t>
        </is>
      </c>
      <c r="B15" s="223" t="n">
        <v>55</v>
      </c>
      <c r="C15" s="224" t="n">
        <v>18</v>
      </c>
      <c r="D15" s="64" t="n"/>
    </row>
    <row r="16" ht="18" customHeight="1" s="66">
      <c r="A16" s="21" t="inlineStr">
        <is>
          <t>Business Analyst</t>
        </is>
      </c>
      <c r="B16" s="223" t="n">
        <v>60</v>
      </c>
      <c r="C16" s="224" t="n">
        <v>20</v>
      </c>
      <c r="D16" s="64" t="n"/>
    </row>
    <row r="17" ht="18" customHeight="1" s="66">
      <c r="A17" s="21" t="inlineStr">
        <is>
          <t>Admin / Support</t>
        </is>
      </c>
      <c r="B17" s="223" t="n">
        <v>50</v>
      </c>
      <c r="C17" s="224" t="n">
        <v>15</v>
      </c>
      <c r="D17" s="64" t="n"/>
    </row>
    <row r="18" ht="18" customHeight="1" s="66">
      <c r="A18" s="21" t="inlineStr">
        <is>
          <t>Blended Rate</t>
        </is>
      </c>
      <c r="B18" s="223" t="n">
        <v>65</v>
      </c>
      <c r="C18" s="224" t="n">
        <v>25</v>
      </c>
      <c r="D18" s="64" t="inlineStr">
        <is>
          <t>Weighted average for mixed teams</t>
        </is>
      </c>
    </row>
    <row r="20" ht="22" customHeight="1" s="66">
      <c r="A20" s="90" t="inlineStr">
        <is>
          <t>▸  Project Registry (for reference)</t>
        </is>
      </c>
    </row>
    <row r="21" ht="20" customHeight="1" s="66">
      <c r="A21" s="61" t="inlineStr">
        <is>
          <t>Project ID</t>
        </is>
      </c>
      <c r="B21" s="61" t="inlineStr">
        <is>
          <t>Module Name (Work Items)</t>
        </is>
      </c>
      <c r="C21" s="61" t="inlineStr">
        <is>
          <t>PM</t>
        </is>
      </c>
    </row>
    <row r="22" ht="18" customHeight="1" s="66">
      <c r="A22" s="2">
        <f>IFERROR('Projects Master'!A5,"")</f>
        <v/>
      </c>
      <c r="B22" s="26">
        <f>IFERROR('Projects Master'!B5,"")</f>
        <v/>
      </c>
      <c r="C22" s="101">
        <f>IFERROR('Projects Master'!C5,"")</f>
        <v/>
      </c>
    </row>
    <row r="23" ht="18" customHeight="1" s="66">
      <c r="A23" s="2">
        <f>IFERROR('Projects Master'!A6,"")</f>
        <v/>
      </c>
      <c r="B23" s="26">
        <f>IFERROR('Projects Master'!B6,"")</f>
        <v/>
      </c>
      <c r="C23" s="101">
        <f>IFERROR('Projects Master'!C6,"")</f>
        <v/>
      </c>
    </row>
    <row r="24" ht="18" customHeight="1" s="66">
      <c r="A24" s="2">
        <f>IFERROR('Projects Master'!A7,"")</f>
        <v/>
      </c>
      <c r="B24" s="26">
        <f>IFERROR('Projects Master'!B7,"")</f>
        <v/>
      </c>
      <c r="C24" s="101">
        <f>IFERROR('Projects Master'!C7,"")</f>
        <v/>
      </c>
    </row>
    <row r="25" ht="18" customHeight="1" s="66">
      <c r="A25" s="2">
        <f>IFERROR('Projects Master'!A8,"")</f>
        <v/>
      </c>
      <c r="B25" s="26">
        <f>IFERROR('Projects Master'!B8,"")</f>
        <v/>
      </c>
      <c r="C25" s="101">
        <f>IFERROR('Projects Master'!C8,"")</f>
        <v/>
      </c>
    </row>
    <row r="26" ht="18" customHeight="1" s="66">
      <c r="A26" s="2">
        <f>IFERROR('Projects Master'!A9,"")</f>
        <v/>
      </c>
      <c r="B26" s="26">
        <f>IFERROR('Projects Master'!B9,"")</f>
        <v/>
      </c>
      <c r="C26" s="101">
        <f>IFERROR('Projects Master'!C9,"")</f>
        <v/>
      </c>
    </row>
    <row r="27">
      <c r="A27">
        <f>IFERROR('Projects Master'!A10,"")</f>
        <v/>
      </c>
      <c r="B27">
        <f>IFERROR('Projects Master'!B10,"")</f>
        <v/>
      </c>
      <c r="C27">
        <f>IFERROR('Projects Master'!C10,"")</f>
        <v/>
      </c>
    </row>
    <row r="28">
      <c r="A28">
        <f>IFERROR('Projects Master'!A11,"")</f>
        <v/>
      </c>
      <c r="B28">
        <f>IFERROR('Projects Master'!B11,"")</f>
        <v/>
      </c>
      <c r="C28">
        <f>IFERROR('Projects Master'!C11,"")</f>
        <v/>
      </c>
    </row>
    <row r="29">
      <c r="A29">
        <f>IFERROR('Projects Master'!A12,"")</f>
        <v/>
      </c>
      <c r="B29">
        <f>IFERROR('Projects Master'!B12,"")</f>
        <v/>
      </c>
      <c r="C29">
        <f>IFERROR('Projects Master'!C12,"")</f>
        <v/>
      </c>
    </row>
    <row r="30">
      <c r="A30">
        <f>IFERROR('Projects Master'!A13,"")</f>
        <v/>
      </c>
      <c r="B30">
        <f>IFERROR('Projects Master'!B13,"")</f>
        <v/>
      </c>
      <c r="C30">
        <f>IFERROR('Projects Master'!C13,"")</f>
        <v/>
      </c>
    </row>
    <row r="31">
      <c r="A31">
        <f>IFERROR('Projects Master'!A14,"")</f>
        <v/>
      </c>
      <c r="B31">
        <f>IFERROR('Projects Master'!B14,"")</f>
        <v/>
      </c>
      <c r="C31">
        <f>IFERROR('Projects Master'!C14,"")</f>
        <v/>
      </c>
    </row>
    <row r="32">
      <c r="A32">
        <f>IFERROR('Projects Master'!A15,"")</f>
        <v/>
      </c>
      <c r="B32">
        <f>IFERROR('Projects Master'!B15,"")</f>
        <v/>
      </c>
      <c r="C32">
        <f>IFERROR('Projects Master'!C15,"")</f>
        <v/>
      </c>
    </row>
    <row r="33">
      <c r="A33">
        <f>IFERROR('Projects Master'!A16,"")</f>
        <v/>
      </c>
      <c r="B33">
        <f>IFERROR('Projects Master'!B16,"")</f>
        <v/>
      </c>
      <c r="C33">
        <f>IFERROR('Projects Master'!C16,"")</f>
        <v/>
      </c>
    </row>
    <row r="34">
      <c r="A34">
        <f>IFERROR('Projects Master'!A17,"")</f>
        <v/>
      </c>
      <c r="B34">
        <f>IFERROR('Projects Master'!B17,"")</f>
        <v/>
      </c>
      <c r="C34">
        <f>IFERROR('Projects Master'!C17,"")</f>
        <v/>
      </c>
    </row>
    <row r="35">
      <c r="A35">
        <f>IFERROR('Projects Master'!A18,"")</f>
        <v/>
      </c>
      <c r="B35">
        <f>IFERROR('Projects Master'!B18,"")</f>
        <v/>
      </c>
      <c r="C35">
        <f>IFERROR('Projects Master'!C18,"")</f>
        <v/>
      </c>
    </row>
    <row r="36">
      <c r="A36">
        <f>IFERROR('Projects Master'!A19,"")</f>
        <v/>
      </c>
      <c r="B36">
        <f>IFERROR('Projects Master'!B19,"")</f>
        <v/>
      </c>
      <c r="C36">
        <f>IFERROR('Projects Master'!C19,"")</f>
        <v/>
      </c>
    </row>
    <row r="37">
      <c r="A37">
        <f>IFERROR('Projects Master'!A20,"")</f>
        <v/>
      </c>
      <c r="B37">
        <f>IFERROR('Projects Master'!B20,"")</f>
        <v/>
      </c>
      <c r="C37">
        <f>IFERROR('Projects Master'!C20,"")</f>
        <v/>
      </c>
    </row>
    <row r="38">
      <c r="A38">
        <f>IFERROR('Projects Master'!A21,"")</f>
        <v/>
      </c>
      <c r="B38">
        <f>IFERROR('Projects Master'!B21,"")</f>
        <v/>
      </c>
      <c r="C38">
        <f>IFERROR('Projects Master'!C21,"")</f>
        <v/>
      </c>
    </row>
    <row r="39">
      <c r="A39">
        <f>IFERROR('Projects Master'!A22,"")</f>
        <v/>
      </c>
      <c r="B39">
        <f>IFERROR('Projects Master'!B22,"")</f>
        <v/>
      </c>
      <c r="C39">
        <f>IFERROR('Projects Master'!C22,"")</f>
        <v/>
      </c>
    </row>
    <row r="40">
      <c r="A40">
        <f>IFERROR('Projects Master'!A23,"")</f>
        <v/>
      </c>
      <c r="B40">
        <f>IFERROR('Projects Master'!B23,"")</f>
        <v/>
      </c>
      <c r="C40">
        <f>IFERROR('Projects Master'!C23,"")</f>
        <v/>
      </c>
    </row>
    <row r="41">
      <c r="A41">
        <f>IFERROR('Projects Master'!A24,"")</f>
        <v/>
      </c>
      <c r="B41">
        <f>IFERROR('Projects Master'!B24,"")</f>
        <v/>
      </c>
      <c r="C41">
        <f>IFERROR('Projects Master'!C24,"")</f>
        <v/>
      </c>
    </row>
    <row r="42">
      <c r="A42">
        <f>IFERROR('Projects Master'!A25,"")</f>
        <v/>
      </c>
      <c r="B42">
        <f>IFERROR('Projects Master'!B25,"")</f>
        <v/>
      </c>
      <c r="C42">
        <f>IFERROR('Projects Master'!C25,"")</f>
        <v/>
      </c>
    </row>
    <row r="43">
      <c r="A43">
        <f>IFERROR('Projects Master'!A26,"")</f>
        <v/>
      </c>
      <c r="B43">
        <f>IFERROR('Projects Master'!B26,"")</f>
        <v/>
      </c>
      <c r="C43">
        <f>IFERROR('Projects Master'!C26,"")</f>
        <v/>
      </c>
    </row>
    <row r="44">
      <c r="A44">
        <f>IFERROR('Projects Master'!A27,"")</f>
        <v/>
      </c>
      <c r="B44">
        <f>IFERROR('Projects Master'!B27,"")</f>
        <v/>
      </c>
      <c r="C44">
        <f>IFERROR('Projects Master'!C27,"")</f>
        <v/>
      </c>
    </row>
    <row r="45">
      <c r="A45">
        <f>IFERROR('Projects Master'!A28,"")</f>
        <v/>
      </c>
      <c r="B45">
        <f>IFERROR('Projects Master'!B28,"")</f>
        <v/>
      </c>
      <c r="C45">
        <f>IFERROR('Projects Master'!C28,"")</f>
        <v/>
      </c>
    </row>
    <row r="46">
      <c r="A46">
        <f>IFERROR('Projects Master'!A29,"")</f>
        <v/>
      </c>
      <c r="B46">
        <f>IFERROR('Projects Master'!B29,"")</f>
        <v/>
      </c>
      <c r="C46">
        <f>IFERROR('Projects Master'!C29,"")</f>
        <v/>
      </c>
    </row>
    <row r="47">
      <c r="A47">
        <f>IFERROR('Projects Master'!A30,"")</f>
        <v/>
      </c>
      <c r="B47">
        <f>IFERROR('Projects Master'!B30,"")</f>
        <v/>
      </c>
      <c r="C47">
        <f>IFERROR('Projects Master'!C30,"")</f>
        <v/>
      </c>
    </row>
    <row r="48">
      <c r="A48">
        <f>IFERROR('Projects Master'!A31,"")</f>
        <v/>
      </c>
      <c r="B48">
        <f>IFERROR('Projects Master'!B31,"")</f>
        <v/>
      </c>
      <c r="C48">
        <f>IFERROR('Projects Master'!C31,"")</f>
        <v/>
      </c>
    </row>
    <row r="49">
      <c r="A49">
        <f>IFERROR('Projects Master'!A32,"")</f>
        <v/>
      </c>
      <c r="B49">
        <f>IFERROR('Projects Master'!B32,"")</f>
        <v/>
      </c>
      <c r="C49">
        <f>IFERROR('Projects Master'!C32,"")</f>
        <v/>
      </c>
    </row>
    <row r="50">
      <c r="A50">
        <f>IFERROR('Projects Master'!A33,"")</f>
        <v/>
      </c>
      <c r="B50">
        <f>IFERROR('Projects Master'!B33,"")</f>
        <v/>
      </c>
      <c r="C50">
        <f>IFERROR('Projects Master'!C33,"")</f>
        <v/>
      </c>
    </row>
    <row r="51">
      <c r="A51">
        <f>IFERROR('Projects Master'!A34,"")</f>
        <v/>
      </c>
      <c r="B51">
        <f>IFERROR('Projects Master'!B34,"")</f>
        <v/>
      </c>
      <c r="C51">
        <f>IFERROR('Projects Master'!C34,"")</f>
        <v/>
      </c>
    </row>
    <row r="52">
      <c r="A52">
        <f>IFERROR('Projects Master'!A35,"")</f>
        <v/>
      </c>
      <c r="B52">
        <f>IFERROR('Projects Master'!B35,"")</f>
        <v/>
      </c>
      <c r="C52">
        <f>IFERROR('Projects Master'!C35,"")</f>
        <v/>
      </c>
    </row>
    <row r="53">
      <c r="A53">
        <f>IFERROR('Projects Master'!A36,"")</f>
        <v/>
      </c>
      <c r="B53">
        <f>IFERROR('Projects Master'!B36,"")</f>
        <v/>
      </c>
      <c r="C53">
        <f>IFERROR('Projects Master'!C36,"")</f>
        <v/>
      </c>
    </row>
    <row r="54">
      <c r="A54">
        <f>IFERROR('Projects Master'!A37,"")</f>
        <v/>
      </c>
      <c r="B54">
        <f>IFERROR('Projects Master'!B37,"")</f>
        <v/>
      </c>
      <c r="C54">
        <f>IFERROR('Projects Master'!C37,"")</f>
        <v/>
      </c>
    </row>
    <row r="55">
      <c r="A55">
        <f>IFERROR('Projects Master'!A38,"")</f>
        <v/>
      </c>
      <c r="B55">
        <f>IFERROR('Projects Master'!B38,"")</f>
        <v/>
      </c>
      <c r="C55">
        <f>IFERROR('Projects Master'!C38,"")</f>
        <v/>
      </c>
    </row>
    <row r="56">
      <c r="A56">
        <f>IFERROR('Projects Master'!A39,"")</f>
        <v/>
      </c>
      <c r="B56">
        <f>IFERROR('Projects Master'!B39,"")</f>
        <v/>
      </c>
      <c r="C56">
        <f>IFERROR('Projects Master'!C39,"")</f>
        <v/>
      </c>
    </row>
    <row r="57">
      <c r="A57">
        <f>IFERROR('Projects Master'!A40,"")</f>
        <v/>
      </c>
      <c r="B57">
        <f>IFERROR('Projects Master'!B40,"")</f>
        <v/>
      </c>
      <c r="C57">
        <f>IFERROR('Projects Master'!C40,"")</f>
        <v/>
      </c>
    </row>
    <row r="58">
      <c r="A58">
        <f>IFERROR('Projects Master'!A41,"")</f>
        <v/>
      </c>
      <c r="B58">
        <f>IFERROR('Projects Master'!B41,"")</f>
        <v/>
      </c>
      <c r="C58">
        <f>IFERROR('Projects Master'!C41,"")</f>
        <v/>
      </c>
    </row>
    <row r="59">
      <c r="A59">
        <f>IFERROR('Projects Master'!A42,"")</f>
        <v/>
      </c>
      <c r="B59">
        <f>IFERROR('Projects Master'!B42,"")</f>
        <v/>
      </c>
      <c r="C59">
        <f>IFERROR('Projects Master'!C42,"")</f>
        <v/>
      </c>
    </row>
    <row r="60">
      <c r="A60">
        <f>IFERROR('Projects Master'!A43,"")</f>
        <v/>
      </c>
      <c r="B60">
        <f>IFERROR('Projects Master'!B43,"")</f>
        <v/>
      </c>
      <c r="C60">
        <f>IFERROR('Projects Master'!C43,"")</f>
        <v/>
      </c>
    </row>
    <row r="61">
      <c r="A61">
        <f>IFERROR('Projects Master'!A44,"")</f>
        <v/>
      </c>
      <c r="B61">
        <f>IFERROR('Projects Master'!B44,"")</f>
        <v/>
      </c>
      <c r="C61">
        <f>IFERROR('Projects Master'!C44,"")</f>
        <v/>
      </c>
    </row>
    <row r="62">
      <c r="A62">
        <f>IFERROR('Projects Master'!A45,"")</f>
        <v/>
      </c>
      <c r="B62">
        <f>IFERROR('Projects Master'!B45,"")</f>
        <v/>
      </c>
      <c r="C62">
        <f>IFERROR('Projects Master'!C45,"")</f>
        <v/>
      </c>
    </row>
    <row r="63">
      <c r="A63">
        <f>IFERROR('Projects Master'!A46,"")</f>
        <v/>
      </c>
      <c r="B63">
        <f>IFERROR('Projects Master'!B46,"")</f>
        <v/>
      </c>
      <c r="C63">
        <f>IFERROR('Projects Master'!C46,"")</f>
        <v/>
      </c>
    </row>
    <row r="64">
      <c r="A64">
        <f>IFERROR('Projects Master'!A47,"")</f>
        <v/>
      </c>
      <c r="B64">
        <f>IFERROR('Projects Master'!B47,"")</f>
        <v/>
      </c>
      <c r="C64">
        <f>IFERROR('Projects Master'!C47,"")</f>
        <v/>
      </c>
    </row>
    <row r="65">
      <c r="A65">
        <f>IFERROR('Projects Master'!A48,"")</f>
        <v/>
      </c>
      <c r="B65">
        <f>IFERROR('Projects Master'!B48,"")</f>
        <v/>
      </c>
      <c r="C65">
        <f>IFERROR('Projects Master'!C48,"")</f>
        <v/>
      </c>
    </row>
    <row r="66">
      <c r="A66">
        <f>IFERROR('Projects Master'!A49,"")</f>
        <v/>
      </c>
      <c r="B66">
        <f>IFERROR('Projects Master'!B49,"")</f>
        <v/>
      </c>
      <c r="C66">
        <f>IFERROR('Projects Master'!C49,"")</f>
        <v/>
      </c>
    </row>
    <row r="67">
      <c r="A67">
        <f>IFERROR('Projects Master'!A50,"")</f>
        <v/>
      </c>
      <c r="B67">
        <f>IFERROR('Projects Master'!B50,"")</f>
        <v/>
      </c>
      <c r="C67">
        <f>IFERROR('Projects Master'!C50,"")</f>
        <v/>
      </c>
    </row>
    <row r="68">
      <c r="A68">
        <f>IFERROR('Projects Master'!A51,"")</f>
        <v/>
      </c>
      <c r="B68">
        <f>IFERROR('Projects Master'!B51,"")</f>
        <v/>
      </c>
      <c r="C68">
        <f>IFERROR('Projects Master'!C51,"")</f>
        <v/>
      </c>
    </row>
    <row r="69">
      <c r="A69">
        <f>IFERROR('Projects Master'!A52,"")</f>
        <v/>
      </c>
      <c r="B69">
        <f>IFERROR('Projects Master'!B52,"")</f>
        <v/>
      </c>
      <c r="C69">
        <f>IFERROR('Projects Master'!C52,"")</f>
        <v/>
      </c>
    </row>
    <row r="70">
      <c r="A70">
        <f>IFERROR('Projects Master'!A53,"")</f>
        <v/>
      </c>
      <c r="B70">
        <f>IFERROR('Projects Master'!B53,"")</f>
        <v/>
      </c>
      <c r="C70">
        <f>IFERROR('Projects Master'!C53,"")</f>
        <v/>
      </c>
    </row>
    <row r="71">
      <c r="A71">
        <f>IFERROR('Projects Master'!A54,"")</f>
        <v/>
      </c>
      <c r="B71">
        <f>IFERROR('Projects Master'!B54,"")</f>
        <v/>
      </c>
      <c r="C71">
        <f>IFERROR('Projects Master'!C54,"")</f>
        <v/>
      </c>
    </row>
    <row r="72">
      <c r="A72">
        <f>IFERROR('Projects Master'!A55,"")</f>
        <v/>
      </c>
      <c r="B72">
        <f>IFERROR('Projects Master'!B55,"")</f>
        <v/>
      </c>
      <c r="C72">
        <f>IFERROR('Projects Master'!C55,"")</f>
        <v/>
      </c>
    </row>
    <row r="73">
      <c r="A73">
        <f>IFERROR('Projects Master'!A56,"")</f>
        <v/>
      </c>
      <c r="B73">
        <f>IFERROR('Projects Master'!B56,"")</f>
        <v/>
      </c>
      <c r="C73">
        <f>IFERROR('Projects Master'!C56,"")</f>
        <v/>
      </c>
    </row>
    <row r="74">
      <c r="A74">
        <f>IFERROR('Projects Master'!A57,"")</f>
        <v/>
      </c>
      <c r="B74">
        <f>IFERROR('Projects Master'!B57,"")</f>
        <v/>
      </c>
      <c r="C74">
        <f>IFERROR('Projects Master'!C57,"")</f>
        <v/>
      </c>
    </row>
    <row r="75">
      <c r="A75">
        <f>IFERROR('Projects Master'!A58,"")</f>
        <v/>
      </c>
      <c r="B75">
        <f>IFERROR('Projects Master'!B58,"")</f>
        <v/>
      </c>
      <c r="C75">
        <f>IFERROR('Projects Master'!C58,"")</f>
        <v/>
      </c>
    </row>
    <row r="76">
      <c r="A76">
        <f>IFERROR('Projects Master'!A59,"")</f>
        <v/>
      </c>
      <c r="B76">
        <f>IFERROR('Projects Master'!B59,"")</f>
        <v/>
      </c>
      <c r="C76">
        <f>IFERROR('Projects Master'!C59,"")</f>
        <v/>
      </c>
    </row>
    <row r="77">
      <c r="A77">
        <f>IFERROR('Projects Master'!A60,"")</f>
        <v/>
      </c>
      <c r="B77">
        <f>IFERROR('Projects Master'!B60,"")</f>
        <v/>
      </c>
      <c r="C77">
        <f>IFERROR('Projects Master'!C60,"")</f>
        <v/>
      </c>
    </row>
    <row r="78">
      <c r="A78">
        <f>IFERROR('Projects Master'!A61,"")</f>
        <v/>
      </c>
      <c r="B78">
        <f>IFERROR('Projects Master'!B61,"")</f>
        <v/>
      </c>
      <c r="C78">
        <f>IFERROR('Projects Master'!C61,"")</f>
        <v/>
      </c>
    </row>
    <row r="79">
      <c r="A79">
        <f>IFERROR('Projects Master'!A62,"")</f>
        <v/>
      </c>
      <c r="B79">
        <f>IFERROR('Projects Master'!B62,"")</f>
        <v/>
      </c>
      <c r="C79">
        <f>IFERROR('Projects Master'!C62,"")</f>
        <v/>
      </c>
    </row>
    <row r="80">
      <c r="A80">
        <f>IFERROR('Projects Master'!A63,"")</f>
        <v/>
      </c>
      <c r="B80">
        <f>IFERROR('Projects Master'!B63,"")</f>
        <v/>
      </c>
      <c r="C80">
        <f>IFERROR('Projects Master'!C63,"")</f>
        <v/>
      </c>
    </row>
    <row r="81">
      <c r="A81">
        <f>IFERROR('Projects Master'!A64,"")</f>
        <v/>
      </c>
      <c r="B81">
        <f>IFERROR('Projects Master'!B64,"")</f>
        <v/>
      </c>
      <c r="C81">
        <f>IFERROR('Projects Master'!C64,"")</f>
        <v/>
      </c>
    </row>
    <row r="82">
      <c r="A82">
        <f>IFERROR('Projects Master'!A65,"")</f>
        <v/>
      </c>
      <c r="B82">
        <f>IFERROR('Projects Master'!B65,"")</f>
        <v/>
      </c>
      <c r="C82">
        <f>IFERROR('Projects Master'!C65,"")</f>
        <v/>
      </c>
    </row>
    <row r="83">
      <c r="A83">
        <f>IFERROR('Projects Master'!A66,"")</f>
        <v/>
      </c>
      <c r="B83">
        <f>IFERROR('Projects Master'!B66,"")</f>
        <v/>
      </c>
      <c r="C83">
        <f>IFERROR('Projects Master'!C66,"")</f>
        <v/>
      </c>
    </row>
    <row r="84">
      <c r="A84">
        <f>IFERROR('Projects Master'!A67,"")</f>
        <v/>
      </c>
      <c r="B84">
        <f>IFERROR('Projects Master'!B67,"")</f>
        <v/>
      </c>
      <c r="C84">
        <f>IFERROR('Projects Master'!C67,"")</f>
        <v/>
      </c>
    </row>
    <row r="85">
      <c r="A85">
        <f>IFERROR('Projects Master'!A68,"")</f>
        <v/>
      </c>
      <c r="B85">
        <f>IFERROR('Projects Master'!B68,"")</f>
        <v/>
      </c>
      <c r="C85">
        <f>IFERROR('Projects Master'!C68,"")</f>
        <v/>
      </c>
    </row>
    <row r="86">
      <c r="A86">
        <f>IFERROR('Projects Master'!A69,"")</f>
        <v/>
      </c>
      <c r="B86">
        <f>IFERROR('Projects Master'!B69,"")</f>
        <v/>
      </c>
      <c r="C86">
        <f>IFERROR('Projects Master'!C69,"")</f>
        <v/>
      </c>
    </row>
    <row r="87">
      <c r="A87">
        <f>IFERROR('Projects Master'!A70,"")</f>
        <v/>
      </c>
      <c r="B87">
        <f>IFERROR('Projects Master'!B70,"")</f>
        <v/>
      </c>
      <c r="C87">
        <f>IFERROR('Projects Master'!C70,"")</f>
        <v/>
      </c>
    </row>
    <row r="88">
      <c r="A88">
        <f>IFERROR('Projects Master'!A71,"")</f>
        <v/>
      </c>
      <c r="B88">
        <f>IFERROR('Projects Master'!B71,"")</f>
        <v/>
      </c>
      <c r="C88">
        <f>IFERROR('Projects Master'!C71,"")</f>
        <v/>
      </c>
    </row>
    <row r="89">
      <c r="A89">
        <f>IFERROR('Projects Master'!A72,"")</f>
        <v/>
      </c>
      <c r="B89">
        <f>IFERROR('Projects Master'!B72,"")</f>
        <v/>
      </c>
      <c r="C89">
        <f>IFERROR('Projects Master'!C72,"")</f>
        <v/>
      </c>
    </row>
    <row r="90">
      <c r="A90">
        <f>IFERROR('Projects Master'!A73,"")</f>
        <v/>
      </c>
      <c r="B90">
        <f>IFERROR('Projects Master'!B73,"")</f>
        <v/>
      </c>
      <c r="C90">
        <f>IFERROR('Projects Master'!C73,"")</f>
        <v/>
      </c>
    </row>
    <row r="91">
      <c r="A91">
        <f>IFERROR('Projects Master'!A74,"")</f>
        <v/>
      </c>
      <c r="B91">
        <f>IFERROR('Projects Master'!B74,"")</f>
        <v/>
      </c>
      <c r="C91">
        <f>IFERROR('Projects Master'!C74,"")</f>
        <v/>
      </c>
    </row>
    <row r="92">
      <c r="A92">
        <f>IFERROR('Projects Master'!A75,"")</f>
        <v/>
      </c>
      <c r="B92">
        <f>IFERROR('Projects Master'!B75,"")</f>
        <v/>
      </c>
      <c r="C92">
        <f>IFERROR('Projects Master'!C75,"")</f>
        <v/>
      </c>
    </row>
    <row r="93">
      <c r="A93">
        <f>IFERROR('Projects Master'!A76,"")</f>
        <v/>
      </c>
      <c r="B93">
        <f>IFERROR('Projects Master'!B76,"")</f>
        <v/>
      </c>
      <c r="C93">
        <f>IFERROR('Projects Master'!C76,"")</f>
        <v/>
      </c>
    </row>
    <row r="94">
      <c r="A94">
        <f>IFERROR('Projects Master'!A77,"")</f>
        <v/>
      </c>
      <c r="B94">
        <f>IFERROR('Projects Master'!B77,"")</f>
        <v/>
      </c>
      <c r="C94">
        <f>IFERROR('Projects Master'!C77,"")</f>
        <v/>
      </c>
    </row>
    <row r="95">
      <c r="A95">
        <f>IFERROR('Projects Master'!A78,"")</f>
        <v/>
      </c>
      <c r="B95">
        <f>IFERROR('Projects Master'!B78,"")</f>
        <v/>
      </c>
      <c r="C95">
        <f>IFERROR('Projects Master'!C78,"")</f>
        <v/>
      </c>
    </row>
    <row r="96">
      <c r="A96">
        <f>IFERROR('Projects Master'!A79,"")</f>
        <v/>
      </c>
      <c r="B96">
        <f>IFERROR('Projects Master'!B79,"")</f>
        <v/>
      </c>
      <c r="C96">
        <f>IFERROR('Projects Master'!C79,"")</f>
        <v/>
      </c>
    </row>
    <row r="97">
      <c r="A97">
        <f>IFERROR('Projects Master'!A80,"")</f>
        <v/>
      </c>
      <c r="B97">
        <f>IFERROR('Projects Master'!B80,"")</f>
        <v/>
      </c>
      <c r="C97">
        <f>IFERROR('Projects Master'!C80,"")</f>
        <v/>
      </c>
    </row>
    <row r="98">
      <c r="A98">
        <f>IFERROR('Projects Master'!A81,"")</f>
        <v/>
      </c>
      <c r="B98">
        <f>IFERROR('Projects Master'!B81,"")</f>
        <v/>
      </c>
      <c r="C98">
        <f>IFERROR('Projects Master'!C81,"")</f>
        <v/>
      </c>
    </row>
    <row r="99">
      <c r="A99">
        <f>IFERROR('Projects Master'!A82,"")</f>
        <v/>
      </c>
      <c r="B99">
        <f>IFERROR('Projects Master'!B82,"")</f>
        <v/>
      </c>
      <c r="C99">
        <f>IFERROR('Projects Master'!C82,"")</f>
        <v/>
      </c>
    </row>
    <row r="100">
      <c r="A100">
        <f>IFERROR('Projects Master'!A83,"")</f>
        <v/>
      </c>
      <c r="B100">
        <f>IFERROR('Projects Master'!B83,"")</f>
        <v/>
      </c>
      <c r="C100">
        <f>IFERROR('Projects Master'!C83,"")</f>
        <v/>
      </c>
    </row>
    <row r="101">
      <c r="A101">
        <f>IFERROR('Projects Master'!A84,"")</f>
        <v/>
      </c>
      <c r="B101">
        <f>IFERROR('Projects Master'!B84,"")</f>
        <v/>
      </c>
      <c r="C101">
        <f>IFERROR('Projects Master'!C84,"")</f>
        <v/>
      </c>
    </row>
    <row r="102">
      <c r="A102">
        <f>IFERROR('Projects Master'!A85,"")</f>
        <v/>
      </c>
      <c r="B102">
        <f>IFERROR('Projects Master'!B85,"")</f>
        <v/>
      </c>
      <c r="C102">
        <f>IFERROR('Projects Master'!C85,"")</f>
        <v/>
      </c>
    </row>
    <row r="103">
      <c r="A103">
        <f>IFERROR('Projects Master'!A86,"")</f>
        <v/>
      </c>
      <c r="B103">
        <f>IFERROR('Projects Master'!B86,"")</f>
        <v/>
      </c>
      <c r="C103">
        <f>IFERROR('Projects Master'!C86,"")</f>
        <v/>
      </c>
    </row>
    <row r="104">
      <c r="A104">
        <f>IFERROR('Projects Master'!A87,"")</f>
        <v/>
      </c>
      <c r="B104">
        <f>IFERROR('Projects Master'!B87,"")</f>
        <v/>
      </c>
      <c r="C104">
        <f>IFERROR('Projects Master'!C87,"")</f>
        <v/>
      </c>
    </row>
    <row r="105">
      <c r="A105">
        <f>IFERROR('Projects Master'!A88,"")</f>
        <v/>
      </c>
      <c r="B105">
        <f>IFERROR('Projects Master'!B88,"")</f>
        <v/>
      </c>
      <c r="C105">
        <f>IFERROR('Projects Master'!C88,"")</f>
        <v/>
      </c>
    </row>
    <row r="106">
      <c r="A106">
        <f>IFERROR('Projects Master'!A89,"")</f>
        <v/>
      </c>
      <c r="B106">
        <f>IFERROR('Projects Master'!B89,"")</f>
        <v/>
      </c>
      <c r="C106">
        <f>IFERROR('Projects Master'!C89,"")</f>
        <v/>
      </c>
    </row>
    <row r="107">
      <c r="A107">
        <f>IFERROR('Projects Master'!A90,"")</f>
        <v/>
      </c>
      <c r="B107">
        <f>IFERROR('Projects Master'!B90,"")</f>
        <v/>
      </c>
      <c r="C107">
        <f>IFERROR('Projects Master'!C90,"")</f>
        <v/>
      </c>
    </row>
    <row r="108">
      <c r="A108">
        <f>IFERROR('Projects Master'!A91,"")</f>
        <v/>
      </c>
      <c r="B108">
        <f>IFERROR('Projects Master'!B91,"")</f>
        <v/>
      </c>
      <c r="C108">
        <f>IFERROR('Projects Master'!C91,"")</f>
        <v/>
      </c>
    </row>
    <row r="109">
      <c r="A109">
        <f>IFERROR('Projects Master'!A92,"")</f>
        <v/>
      </c>
      <c r="B109">
        <f>IFERROR('Projects Master'!B92,"")</f>
        <v/>
      </c>
      <c r="C109">
        <f>IFERROR('Projects Master'!C92,"")</f>
        <v/>
      </c>
    </row>
    <row r="110">
      <c r="A110">
        <f>IFERROR('Projects Master'!A93,"")</f>
        <v/>
      </c>
      <c r="B110">
        <f>IFERROR('Projects Master'!B93,"")</f>
        <v/>
      </c>
      <c r="C110">
        <f>IFERROR('Projects Master'!C93,"")</f>
        <v/>
      </c>
    </row>
    <row r="111">
      <c r="A111">
        <f>IFERROR('Projects Master'!A94,"")</f>
        <v/>
      </c>
      <c r="B111">
        <f>IFERROR('Projects Master'!B94,"")</f>
        <v/>
      </c>
      <c r="C111">
        <f>IFERROR('Projects Master'!C94,"")</f>
        <v/>
      </c>
    </row>
    <row r="112">
      <c r="A112">
        <f>IFERROR('Projects Master'!A95,"")</f>
        <v/>
      </c>
      <c r="B112">
        <f>IFERROR('Projects Master'!B95,"")</f>
        <v/>
      </c>
      <c r="C112">
        <f>IFERROR('Projects Master'!C95,"")</f>
        <v/>
      </c>
    </row>
    <row r="113">
      <c r="A113">
        <f>IFERROR('Projects Master'!A96,"")</f>
        <v/>
      </c>
      <c r="B113">
        <f>IFERROR('Projects Master'!B96,"")</f>
        <v/>
      </c>
      <c r="C113">
        <f>IFERROR('Projects Master'!C96,"")</f>
        <v/>
      </c>
    </row>
    <row r="114">
      <c r="A114">
        <f>IFERROR('Projects Master'!A97,"")</f>
        <v/>
      </c>
      <c r="B114">
        <f>IFERROR('Projects Master'!B97,"")</f>
        <v/>
      </c>
      <c r="C114">
        <f>IFERROR('Projects Master'!C97,"")</f>
        <v/>
      </c>
    </row>
    <row r="115">
      <c r="A115">
        <f>IFERROR('Projects Master'!A98,"")</f>
        <v/>
      </c>
      <c r="B115">
        <f>IFERROR('Projects Master'!B98,"")</f>
        <v/>
      </c>
      <c r="C115">
        <f>IFERROR('Projects Master'!C98,"")</f>
        <v/>
      </c>
    </row>
    <row r="116">
      <c r="A116">
        <f>IFERROR('Projects Master'!A99,"")</f>
        <v/>
      </c>
      <c r="B116">
        <f>IFERROR('Projects Master'!B99,"")</f>
        <v/>
      </c>
      <c r="C116">
        <f>IFERROR('Projects Master'!C99,"")</f>
        <v/>
      </c>
    </row>
    <row r="117">
      <c r="A117">
        <f>IFERROR('Projects Master'!A100,"")</f>
        <v/>
      </c>
      <c r="B117">
        <f>IFERROR('Projects Master'!B100,"")</f>
        <v/>
      </c>
      <c r="C117">
        <f>IFERROR('Projects Master'!C100,"")</f>
        <v/>
      </c>
    </row>
    <row r="118">
      <c r="A118">
        <f>IFERROR('Projects Master'!A101,"")</f>
        <v/>
      </c>
      <c r="B118">
        <f>IFERROR('Projects Master'!B101,"")</f>
        <v/>
      </c>
      <c r="C118">
        <f>IFERROR('Projects Master'!C101,"")</f>
        <v/>
      </c>
    </row>
    <row r="119">
      <c r="A119">
        <f>IFERROR('Projects Master'!A102,"")</f>
        <v/>
      </c>
      <c r="B119">
        <f>IFERROR('Projects Master'!B102,"")</f>
        <v/>
      </c>
      <c r="C119">
        <f>IFERROR('Projects Master'!C102,"")</f>
        <v/>
      </c>
    </row>
    <row r="120">
      <c r="A120">
        <f>IFERROR('Projects Master'!A103,"")</f>
        <v/>
      </c>
      <c r="B120">
        <f>IFERROR('Projects Master'!B103,"")</f>
        <v/>
      </c>
      <c r="C120">
        <f>IFERROR('Projects Master'!C103,"")</f>
        <v/>
      </c>
    </row>
    <row r="121">
      <c r="A121">
        <f>IFERROR('Projects Master'!A104,"")</f>
        <v/>
      </c>
      <c r="B121">
        <f>IFERROR('Projects Master'!B104,"")</f>
        <v/>
      </c>
      <c r="C121">
        <f>IFERROR('Projects Master'!C104,"")</f>
        <v/>
      </c>
    </row>
    <row r="122">
      <c r="A122">
        <f>IFERROR('Projects Master'!A105,"")</f>
        <v/>
      </c>
      <c r="B122">
        <f>IFERROR('Projects Master'!B105,"")</f>
        <v/>
      </c>
      <c r="C122">
        <f>IFERROR('Projects Master'!C105,"")</f>
        <v/>
      </c>
    </row>
    <row r="123">
      <c r="A123">
        <f>IFERROR('Projects Master'!A106,"")</f>
        <v/>
      </c>
      <c r="B123">
        <f>IFERROR('Projects Master'!B106,"")</f>
        <v/>
      </c>
      <c r="C123">
        <f>IFERROR('Projects Master'!C106,"")</f>
        <v/>
      </c>
    </row>
    <row r="124">
      <c r="A124">
        <f>IFERROR('Projects Master'!A107,"")</f>
        <v/>
      </c>
      <c r="B124">
        <f>IFERROR('Projects Master'!B107,"")</f>
        <v/>
      </c>
      <c r="C124">
        <f>IFERROR('Projects Master'!C107,"")</f>
        <v/>
      </c>
    </row>
    <row r="125">
      <c r="A125">
        <f>IFERROR('Projects Master'!A108,"")</f>
        <v/>
      </c>
      <c r="B125">
        <f>IFERROR('Projects Master'!B108,"")</f>
        <v/>
      </c>
      <c r="C125">
        <f>IFERROR('Projects Master'!C108,"")</f>
        <v/>
      </c>
    </row>
    <row r="126">
      <c r="A126">
        <f>IFERROR('Projects Master'!A109,"")</f>
        <v/>
      </c>
      <c r="B126">
        <f>IFERROR('Projects Master'!B109,"")</f>
        <v/>
      </c>
      <c r="C126">
        <f>IFERROR('Projects Master'!C109,"")</f>
        <v/>
      </c>
    </row>
    <row r="127">
      <c r="A127">
        <f>IFERROR('Projects Master'!A110,"")</f>
        <v/>
      </c>
      <c r="B127">
        <f>IFERROR('Projects Master'!B110,"")</f>
        <v/>
      </c>
      <c r="C127">
        <f>IFERROR('Projects Master'!C110,"")</f>
        <v/>
      </c>
    </row>
    <row r="128">
      <c r="A128">
        <f>IFERROR('Projects Master'!A111,"")</f>
        <v/>
      </c>
      <c r="B128">
        <f>IFERROR('Projects Master'!B111,"")</f>
        <v/>
      </c>
      <c r="C128">
        <f>IFERROR('Projects Master'!C111,"")</f>
        <v/>
      </c>
    </row>
    <row r="129">
      <c r="A129">
        <f>IFERROR('Projects Master'!A112,"")</f>
        <v/>
      </c>
      <c r="B129">
        <f>IFERROR('Projects Master'!B112,"")</f>
        <v/>
      </c>
      <c r="C129">
        <f>IFERROR('Projects Master'!C112,"")</f>
        <v/>
      </c>
    </row>
    <row r="130">
      <c r="A130">
        <f>IFERROR('Projects Master'!A113,"")</f>
        <v/>
      </c>
      <c r="B130">
        <f>IFERROR('Projects Master'!B113,"")</f>
        <v/>
      </c>
      <c r="C130">
        <f>IFERROR('Projects Master'!C113,"")</f>
        <v/>
      </c>
    </row>
    <row r="131">
      <c r="A131">
        <f>IFERROR('Projects Master'!A114,"")</f>
        <v/>
      </c>
      <c r="B131">
        <f>IFERROR('Projects Master'!B114,"")</f>
        <v/>
      </c>
      <c r="C131">
        <f>IFERROR('Projects Master'!C114,"")</f>
        <v/>
      </c>
    </row>
    <row r="132">
      <c r="A132">
        <f>IFERROR('Projects Master'!A115,"")</f>
        <v/>
      </c>
      <c r="B132">
        <f>IFERROR('Projects Master'!B115,"")</f>
        <v/>
      </c>
      <c r="C132">
        <f>IFERROR('Projects Master'!C115,"")</f>
        <v/>
      </c>
    </row>
    <row r="133">
      <c r="A133">
        <f>IFERROR('Projects Master'!A116,"")</f>
        <v/>
      </c>
      <c r="B133">
        <f>IFERROR('Projects Master'!B116,"")</f>
        <v/>
      </c>
      <c r="C133">
        <f>IFERROR('Projects Master'!C116,"")</f>
        <v/>
      </c>
    </row>
    <row r="134">
      <c r="A134">
        <f>IFERROR('Projects Master'!A117,"")</f>
        <v/>
      </c>
      <c r="B134">
        <f>IFERROR('Projects Master'!B117,"")</f>
        <v/>
      </c>
      <c r="C134">
        <f>IFERROR('Projects Master'!C117,"")</f>
        <v/>
      </c>
    </row>
    <row r="135">
      <c r="A135">
        <f>IFERROR('Projects Master'!A118,"")</f>
        <v/>
      </c>
      <c r="B135">
        <f>IFERROR('Projects Master'!B118,"")</f>
        <v/>
      </c>
      <c r="C135">
        <f>IFERROR('Projects Master'!C118,"")</f>
        <v/>
      </c>
    </row>
    <row r="136">
      <c r="A136">
        <f>IFERROR('Projects Master'!A119,"")</f>
        <v/>
      </c>
      <c r="B136">
        <f>IFERROR('Projects Master'!B119,"")</f>
        <v/>
      </c>
      <c r="C136">
        <f>IFERROR('Projects Master'!C119,"")</f>
        <v/>
      </c>
    </row>
    <row r="137">
      <c r="A137">
        <f>IFERROR('Projects Master'!A120,"")</f>
        <v/>
      </c>
      <c r="B137">
        <f>IFERROR('Projects Master'!B120,"")</f>
        <v/>
      </c>
      <c r="C137">
        <f>IFERROR('Projects Master'!C120,"")</f>
        <v/>
      </c>
    </row>
    <row r="138">
      <c r="A138">
        <f>IFERROR('Projects Master'!A121,"")</f>
        <v/>
      </c>
      <c r="B138">
        <f>IFERROR('Projects Master'!B121,"")</f>
        <v/>
      </c>
      <c r="C138">
        <f>IFERROR('Projects Master'!C121,"")</f>
        <v/>
      </c>
    </row>
    <row r="139">
      <c r="A139">
        <f>IFERROR('Projects Master'!A122,"")</f>
        <v/>
      </c>
      <c r="B139">
        <f>IFERROR('Projects Master'!B122,"")</f>
        <v/>
      </c>
      <c r="C139">
        <f>IFERROR('Projects Master'!C122,"")</f>
        <v/>
      </c>
    </row>
    <row r="140">
      <c r="A140">
        <f>IFERROR('Projects Master'!A123,"")</f>
        <v/>
      </c>
      <c r="B140">
        <f>IFERROR('Projects Master'!B123,"")</f>
        <v/>
      </c>
      <c r="C140">
        <f>IFERROR('Projects Master'!C123,"")</f>
        <v/>
      </c>
    </row>
    <row r="141">
      <c r="A141">
        <f>IFERROR('Projects Master'!A124,"")</f>
        <v/>
      </c>
      <c r="B141">
        <f>IFERROR('Projects Master'!B124,"")</f>
        <v/>
      </c>
      <c r="C141">
        <f>IFERROR('Projects Master'!C124,"")</f>
        <v/>
      </c>
    </row>
    <row r="142">
      <c r="A142">
        <f>IFERROR('Projects Master'!A125,"")</f>
        <v/>
      </c>
      <c r="B142">
        <f>IFERROR('Projects Master'!B125,"")</f>
        <v/>
      </c>
      <c r="C142">
        <f>IFERROR('Projects Master'!C125,"")</f>
        <v/>
      </c>
    </row>
    <row r="143">
      <c r="A143">
        <f>IFERROR('Projects Master'!A126,"")</f>
        <v/>
      </c>
      <c r="B143">
        <f>IFERROR('Projects Master'!B126,"")</f>
        <v/>
      </c>
      <c r="C143">
        <f>IFERROR('Projects Master'!C126,"")</f>
        <v/>
      </c>
    </row>
    <row r="144">
      <c r="A144">
        <f>IFERROR('Projects Master'!A127,"")</f>
        <v/>
      </c>
      <c r="B144">
        <f>IFERROR('Projects Master'!B127,"")</f>
        <v/>
      </c>
      <c r="C144">
        <f>IFERROR('Projects Master'!C127,"")</f>
        <v/>
      </c>
    </row>
    <row r="145">
      <c r="A145">
        <f>IFERROR('Projects Master'!A128,"")</f>
        <v/>
      </c>
      <c r="B145">
        <f>IFERROR('Projects Master'!B128,"")</f>
        <v/>
      </c>
      <c r="C145">
        <f>IFERROR('Projects Master'!C128,"")</f>
        <v/>
      </c>
    </row>
    <row r="146">
      <c r="A146">
        <f>IFERROR('Projects Master'!A129,"")</f>
        <v/>
      </c>
      <c r="B146">
        <f>IFERROR('Projects Master'!B129,"")</f>
        <v/>
      </c>
      <c r="C146">
        <f>IFERROR('Projects Master'!C129,"")</f>
        <v/>
      </c>
    </row>
    <row r="147">
      <c r="A147">
        <f>IFERROR('Projects Master'!A130,"")</f>
        <v/>
      </c>
      <c r="B147">
        <f>IFERROR('Projects Master'!B130,"")</f>
        <v/>
      </c>
      <c r="C147">
        <f>IFERROR('Projects Master'!C130,"")</f>
        <v/>
      </c>
    </row>
    <row r="148">
      <c r="A148">
        <f>IFERROR('Projects Master'!A131,"")</f>
        <v/>
      </c>
      <c r="B148">
        <f>IFERROR('Projects Master'!B131,"")</f>
        <v/>
      </c>
      <c r="C148">
        <f>IFERROR('Projects Master'!C131,"")</f>
        <v/>
      </c>
    </row>
    <row r="149">
      <c r="A149">
        <f>IFERROR('Projects Master'!A132,"")</f>
        <v/>
      </c>
      <c r="B149">
        <f>IFERROR('Projects Master'!B132,"")</f>
        <v/>
      </c>
      <c r="C149">
        <f>IFERROR('Projects Master'!C132,"")</f>
        <v/>
      </c>
    </row>
    <row r="150">
      <c r="A150">
        <f>IFERROR('Projects Master'!A133,"")</f>
        <v/>
      </c>
      <c r="B150">
        <f>IFERROR('Projects Master'!B133,"")</f>
        <v/>
      </c>
      <c r="C150">
        <f>IFERROR('Projects Master'!C133,"")</f>
        <v/>
      </c>
    </row>
    <row r="151">
      <c r="A151">
        <f>IFERROR('Projects Master'!A134,"")</f>
        <v/>
      </c>
      <c r="B151">
        <f>IFERROR('Projects Master'!B134,"")</f>
        <v/>
      </c>
      <c r="C151">
        <f>IFERROR('Projects Master'!C134,"")</f>
        <v/>
      </c>
    </row>
    <row r="152">
      <c r="A152">
        <f>IFERROR('Projects Master'!A135,"")</f>
        <v/>
      </c>
      <c r="B152">
        <f>IFERROR('Projects Master'!B135,"")</f>
        <v/>
      </c>
      <c r="C152">
        <f>IFERROR('Projects Master'!C135,"")</f>
        <v/>
      </c>
    </row>
    <row r="153">
      <c r="A153">
        <f>IFERROR('Projects Master'!A136,"")</f>
        <v/>
      </c>
      <c r="B153">
        <f>IFERROR('Projects Master'!B136,"")</f>
        <v/>
      </c>
      <c r="C153">
        <f>IFERROR('Projects Master'!C136,"")</f>
        <v/>
      </c>
    </row>
    <row r="154">
      <c r="A154">
        <f>IFERROR('Projects Master'!A137,"")</f>
        <v/>
      </c>
      <c r="B154">
        <f>IFERROR('Projects Master'!B137,"")</f>
        <v/>
      </c>
      <c r="C154">
        <f>IFERROR('Projects Master'!C137,"")</f>
        <v/>
      </c>
    </row>
    <row r="155">
      <c r="A155">
        <f>IFERROR('Projects Master'!A138,"")</f>
        <v/>
      </c>
      <c r="B155">
        <f>IFERROR('Projects Master'!B138,"")</f>
        <v/>
      </c>
      <c r="C155">
        <f>IFERROR('Projects Master'!C138,"")</f>
        <v/>
      </c>
    </row>
    <row r="156">
      <c r="A156">
        <f>IFERROR('Projects Master'!A139,"")</f>
        <v/>
      </c>
      <c r="B156">
        <f>IFERROR('Projects Master'!B139,"")</f>
        <v/>
      </c>
      <c r="C156">
        <f>IFERROR('Projects Master'!C139,"")</f>
        <v/>
      </c>
    </row>
    <row r="157">
      <c r="A157">
        <f>IFERROR('Projects Master'!A140,"")</f>
        <v/>
      </c>
      <c r="B157">
        <f>IFERROR('Projects Master'!B140,"")</f>
        <v/>
      </c>
      <c r="C157">
        <f>IFERROR('Projects Master'!C140,"")</f>
        <v/>
      </c>
    </row>
    <row r="158">
      <c r="A158">
        <f>IFERROR('Projects Master'!A141,"")</f>
        <v/>
      </c>
      <c r="B158">
        <f>IFERROR('Projects Master'!B141,"")</f>
        <v/>
      </c>
      <c r="C158">
        <f>IFERROR('Projects Master'!C141,"")</f>
        <v/>
      </c>
    </row>
    <row r="159">
      <c r="A159">
        <f>IFERROR('Projects Master'!A142,"")</f>
        <v/>
      </c>
      <c r="B159">
        <f>IFERROR('Projects Master'!B142,"")</f>
        <v/>
      </c>
      <c r="C159">
        <f>IFERROR('Projects Master'!C142,"")</f>
        <v/>
      </c>
    </row>
    <row r="160">
      <c r="A160">
        <f>IFERROR('Projects Master'!A143,"")</f>
        <v/>
      </c>
      <c r="B160">
        <f>IFERROR('Projects Master'!B143,"")</f>
        <v/>
      </c>
      <c r="C160">
        <f>IFERROR('Projects Master'!C143,"")</f>
        <v/>
      </c>
    </row>
    <row r="161">
      <c r="A161">
        <f>IFERROR('Projects Master'!A144,"")</f>
        <v/>
      </c>
      <c r="B161">
        <f>IFERROR('Projects Master'!B144,"")</f>
        <v/>
      </c>
      <c r="C161">
        <f>IFERROR('Projects Master'!C144,"")</f>
        <v/>
      </c>
    </row>
    <row r="162">
      <c r="A162">
        <f>IFERROR('Projects Master'!A145,"")</f>
        <v/>
      </c>
      <c r="B162">
        <f>IFERROR('Projects Master'!B145,"")</f>
        <v/>
      </c>
      <c r="C162">
        <f>IFERROR('Projects Master'!C145,"")</f>
        <v/>
      </c>
    </row>
    <row r="163">
      <c r="A163">
        <f>IFERROR('Projects Master'!A146,"")</f>
        <v/>
      </c>
      <c r="B163">
        <f>IFERROR('Projects Master'!B146,"")</f>
        <v/>
      </c>
      <c r="C163">
        <f>IFERROR('Projects Master'!C146,"")</f>
        <v/>
      </c>
    </row>
    <row r="164">
      <c r="A164">
        <f>IFERROR('Projects Master'!A147,"")</f>
        <v/>
      </c>
      <c r="B164">
        <f>IFERROR('Projects Master'!B147,"")</f>
        <v/>
      </c>
      <c r="C164">
        <f>IFERROR('Projects Master'!C147,"")</f>
        <v/>
      </c>
    </row>
    <row r="165">
      <c r="A165">
        <f>IFERROR('Projects Master'!A148,"")</f>
        <v/>
      </c>
      <c r="B165">
        <f>IFERROR('Projects Master'!B148,"")</f>
        <v/>
      </c>
      <c r="C165">
        <f>IFERROR('Projects Master'!C148,"")</f>
        <v/>
      </c>
    </row>
    <row r="166">
      <c r="A166">
        <f>IFERROR('Projects Master'!A149,"")</f>
        <v/>
      </c>
      <c r="B166">
        <f>IFERROR('Projects Master'!B149,"")</f>
        <v/>
      </c>
      <c r="C166">
        <f>IFERROR('Projects Master'!C149,"")</f>
        <v/>
      </c>
    </row>
    <row r="167">
      <c r="A167">
        <f>IFERROR('Projects Master'!A150,"")</f>
        <v/>
      </c>
      <c r="B167">
        <f>IFERROR('Projects Master'!B150,"")</f>
        <v/>
      </c>
      <c r="C167">
        <f>IFERROR('Projects Master'!C150,"")</f>
        <v/>
      </c>
    </row>
    <row r="168">
      <c r="A168">
        <f>IFERROR('Projects Master'!A151,"")</f>
        <v/>
      </c>
      <c r="B168">
        <f>IFERROR('Projects Master'!B151,"")</f>
        <v/>
      </c>
      <c r="C168">
        <f>IFERROR('Projects Master'!C151,"")</f>
        <v/>
      </c>
    </row>
    <row r="169">
      <c r="A169">
        <f>IFERROR('Projects Master'!A152,"")</f>
        <v/>
      </c>
      <c r="B169">
        <f>IFERROR('Projects Master'!B152,"")</f>
        <v/>
      </c>
      <c r="C169">
        <f>IFERROR('Projects Master'!C152,"")</f>
        <v/>
      </c>
    </row>
    <row r="170">
      <c r="A170">
        <f>IFERROR('Projects Master'!A153,"")</f>
        <v/>
      </c>
      <c r="B170">
        <f>IFERROR('Projects Master'!B153,"")</f>
        <v/>
      </c>
      <c r="C170">
        <f>IFERROR('Projects Master'!C153,"")</f>
        <v/>
      </c>
    </row>
    <row r="171">
      <c r="A171">
        <f>IFERROR('Projects Master'!A154,"")</f>
        <v/>
      </c>
      <c r="B171">
        <f>IFERROR('Projects Master'!B154,"")</f>
        <v/>
      </c>
      <c r="C171">
        <f>IFERROR('Projects Master'!C154,"")</f>
        <v/>
      </c>
    </row>
  </sheetData>
  <mergeCells count="7">
    <mergeCell ref="A20:E20"/>
    <mergeCell ref="C4:E4"/>
    <mergeCell ref="A1:E1"/>
    <mergeCell ref="C7:E7"/>
    <mergeCell ref="A9:E9"/>
    <mergeCell ref="C6:E6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topLeftCell="A9" workbookViewId="0">
      <selection activeCell="L52" sqref="L52"/>
    </sheetView>
  </sheetViews>
  <sheetFormatPr baseColWidth="10" defaultRowHeight="15"/>
  <cols>
    <col width="68.6640625" bestFit="1" customWidth="1" style="66" min="2" max="2"/>
    <col width="21" bestFit="1" customWidth="1" style="66" min="3" max="3"/>
  </cols>
  <sheetData>
    <row r="1">
      <c r="A1" s="94" t="inlineStr">
        <is>
          <t>Time Tracking-TASK</t>
        </is>
      </c>
      <c r="B1" s="94" t="n"/>
      <c r="C1" s="94" t="inlineStr">
        <is>
          <t>Project Tracking -TASK</t>
        </is>
      </c>
      <c r="D1" s="94" t="n"/>
      <c r="E1" s="94" t="n"/>
      <c r="F1" s="94" t="n"/>
      <c r="G1" s="94" t="n"/>
    </row>
    <row r="2">
      <c r="A2" s="94" t="inlineStr">
        <is>
          <t>Activity</t>
        </is>
      </c>
      <c r="B2" s="94" t="inlineStr">
        <is>
          <t xml:space="preserve">SubActivity </t>
        </is>
      </c>
      <c r="C2" s="94" t="inlineStr">
        <is>
          <t>Activity</t>
        </is>
      </c>
      <c r="D2" s="94" t="inlineStr">
        <is>
          <t xml:space="preserve">SubActivity </t>
        </is>
      </c>
      <c r="E2" s="94" t="n"/>
      <c r="F2" s="94" t="n"/>
      <c r="G2" s="94" t="n"/>
    </row>
    <row r="3">
      <c r="A3" s="94" t="inlineStr">
        <is>
          <t>Others</t>
        </is>
      </c>
      <c r="B3" s="94" t="inlineStr">
        <is>
          <t>Leave</t>
        </is>
      </c>
      <c r="C3" s="94" t="inlineStr">
        <is>
          <t>Development</t>
        </is>
      </c>
      <c r="D3" s="94" t="inlineStr">
        <is>
          <t>POC/ Research</t>
        </is>
      </c>
      <c r="E3" s="94" t="n"/>
      <c r="F3" s="94" t="n"/>
      <c r="G3" s="94" t="n"/>
    </row>
    <row r="4">
      <c r="A4" s="94" t="n"/>
      <c r="B4" s="94" t="inlineStr">
        <is>
          <t>Research and Development</t>
        </is>
      </c>
      <c r="C4" s="94" t="n"/>
      <c r="D4" s="94" t="inlineStr">
        <is>
          <t>Coding</t>
        </is>
      </c>
      <c r="E4" s="94" t="n"/>
      <c r="F4" s="94" t="n"/>
      <c r="G4" s="94" t="n"/>
    </row>
    <row r="5">
      <c r="A5" s="94" t="n"/>
      <c r="B5" s="94" t="inlineStr">
        <is>
          <t>Corp-Facilities</t>
        </is>
      </c>
      <c r="C5" s="94" t="n"/>
      <c r="D5" s="94" t="inlineStr">
        <is>
          <t>Technical discusion</t>
        </is>
      </c>
      <c r="E5" s="94" t="n"/>
      <c r="F5" s="94" t="n"/>
      <c r="G5" s="94" t="n"/>
    </row>
    <row r="6">
      <c r="A6" s="94" t="n"/>
      <c r="B6" s="94" t="inlineStr">
        <is>
          <t>Corp-Payroll and Benefits</t>
        </is>
      </c>
      <c r="C6" s="94" t="n"/>
      <c r="D6" s="94" t="inlineStr">
        <is>
          <t>CodeRework</t>
        </is>
      </c>
      <c r="E6" s="94" t="n"/>
      <c r="F6" s="94" t="n"/>
      <c r="G6" s="94" t="n"/>
    </row>
    <row r="7">
      <c r="A7" s="94" t="n"/>
      <c r="B7" s="94" t="inlineStr">
        <is>
          <t>Knowledge Sharing Sessions</t>
        </is>
      </c>
      <c r="C7" s="94" t="n"/>
      <c r="D7" s="94" t="inlineStr">
        <is>
          <t>CodeReview</t>
        </is>
      </c>
      <c r="E7" s="94" t="n"/>
      <c r="F7" s="94" t="n"/>
      <c r="G7" s="94" t="n"/>
    </row>
    <row r="8">
      <c r="A8" s="94" t="n"/>
      <c r="B8" s="94" t="inlineStr">
        <is>
          <t>Travel Coordination</t>
        </is>
      </c>
      <c r="C8" s="94" t="n"/>
      <c r="D8" s="94" t="inlineStr">
        <is>
          <t>UnitTesting</t>
        </is>
      </c>
      <c r="E8" s="94" t="n"/>
      <c r="F8" s="94" t="n"/>
      <c r="G8" s="94" t="n"/>
    </row>
    <row r="9">
      <c r="A9" s="94" t="n"/>
      <c r="B9" s="94" t="inlineStr">
        <is>
          <t>Strategy &amp; Planning</t>
        </is>
      </c>
      <c r="C9" s="94" t="n"/>
      <c r="D9" s="94" t="inlineStr">
        <is>
          <t>SFDCAdministration</t>
        </is>
      </c>
      <c r="E9" s="94" t="n"/>
      <c r="F9" s="94" t="n"/>
      <c r="G9" s="94" t="n"/>
    </row>
    <row r="10">
      <c r="A10" s="94" t="n"/>
      <c r="B10" s="94" t="inlineStr">
        <is>
          <t>Company Meeting</t>
        </is>
      </c>
      <c r="C10" s="94" t="n"/>
      <c r="D10" s="94" t="inlineStr">
        <is>
          <t>Build &amp; Deployment</t>
        </is>
      </c>
      <c r="E10" s="94" t="n"/>
      <c r="F10" s="94" t="n"/>
      <c r="G10" s="94" t="n"/>
    </row>
    <row r="11">
      <c r="A11" s="94" t="n"/>
      <c r="B11" s="94" t="inlineStr">
        <is>
          <t>Management Meeting</t>
        </is>
      </c>
      <c r="C11" s="94" t="n"/>
      <c r="D11" s="94" t="n"/>
      <c r="E11" s="94" t="n"/>
      <c r="F11" s="94" t="n"/>
      <c r="G11" s="94" t="n"/>
    </row>
    <row r="12">
      <c r="A12" s="94" t="n"/>
      <c r="B12" s="94" t="n"/>
      <c r="C12" s="94" t="inlineStr">
        <is>
          <t>Testing</t>
        </is>
      </c>
      <c r="D12" s="94" t="inlineStr">
        <is>
          <t>Identify &amp; Analysis</t>
        </is>
      </c>
      <c r="E12" s="94" t="n"/>
      <c r="F12" s="94" t="n"/>
      <c r="G12" s="94" t="n"/>
    </row>
    <row r="13">
      <c r="A13" s="94" t="inlineStr">
        <is>
          <t>Trainings</t>
        </is>
      </c>
      <c r="B13" s="94" t="inlineStr">
        <is>
          <t>Training - Provided</t>
        </is>
      </c>
      <c r="C13" s="94" t="n"/>
      <c r="D13" s="94" t="inlineStr">
        <is>
          <t>Retesting</t>
        </is>
      </c>
      <c r="E13" s="94" t="n"/>
      <c r="F13" s="94" t="n"/>
      <c r="G13" s="94" t="n"/>
    </row>
    <row r="14">
      <c r="A14" s="94" t="n"/>
      <c r="B14" s="94" t="inlineStr">
        <is>
          <t>Training - Attended</t>
        </is>
      </c>
      <c r="C14" s="94" t="n"/>
      <c r="D14" s="94" t="inlineStr">
        <is>
          <t>Executing TC/TS (Testing)</t>
        </is>
      </c>
      <c r="E14" s="94" t="n"/>
      <c r="F14" s="94" t="n"/>
      <c r="G14" s="94" t="n"/>
    </row>
    <row r="15">
      <c r="A15" s="94" t="n"/>
      <c r="B15" s="94" t="inlineStr">
        <is>
          <t>Training-Self Learning</t>
        </is>
      </c>
      <c r="C15" s="94" t="n"/>
      <c r="D15" s="94" t="inlineStr">
        <is>
          <t>Regression testing</t>
        </is>
      </c>
      <c r="E15" s="94" t="n"/>
      <c r="F15" s="94" t="n"/>
      <c r="G15" s="94" t="n"/>
    </row>
    <row r="16">
      <c r="A16" s="94" t="n"/>
      <c r="B16" s="94" t="inlineStr">
        <is>
          <t>Training-Teams</t>
        </is>
      </c>
      <c r="C16" s="94" t="n"/>
      <c r="D16" s="94" t="inlineStr">
        <is>
          <t>Creating TC/TS (Testing)</t>
        </is>
      </c>
      <c r="E16" s="94" t="n"/>
      <c r="F16" s="94" t="n"/>
      <c r="G16" s="94" t="n"/>
    </row>
    <row r="17">
      <c r="A17" s="94" t="n"/>
      <c r="B17" s="94" t="inlineStr">
        <is>
          <t>Training-Certifications (Target)</t>
        </is>
      </c>
      <c r="C17" s="94" t="n"/>
      <c r="D17" s="94" t="inlineStr">
        <is>
          <t>QA-ArtifactsReview</t>
        </is>
      </c>
      <c r="E17" s="94" t="n"/>
      <c r="F17" s="94" t="n"/>
      <c r="G17" s="94" t="n"/>
    </row>
    <row r="18">
      <c r="A18" s="94" t="n"/>
      <c r="B18" s="94" t="inlineStr">
        <is>
          <t>Training-Technical Guidance</t>
        </is>
      </c>
      <c r="C18" s="94" t="n"/>
      <c r="D18" s="94" t="inlineStr">
        <is>
          <t>QA-ArtifactsRework</t>
        </is>
      </c>
      <c r="E18" s="94" t="n"/>
      <c r="F18" s="94" t="n"/>
      <c r="G18" s="94" t="n"/>
    </row>
    <row r="19">
      <c r="A19" s="94" t="n"/>
      <c r="B19" s="94" t="n"/>
      <c r="C19" s="94" t="n"/>
      <c r="D19" s="94" t="n"/>
      <c r="E19" s="94" t="n"/>
      <c r="F19" s="94" t="n"/>
      <c r="G19" s="94" t="n"/>
    </row>
    <row r="20">
      <c r="A20" s="94" t="inlineStr">
        <is>
          <t>Process Adherence</t>
        </is>
      </c>
      <c r="B20" s="94" t="inlineStr">
        <is>
          <t>Process-Audit</t>
        </is>
      </c>
      <c r="C20" s="94" t="inlineStr">
        <is>
          <t>Requirements</t>
        </is>
      </c>
      <c r="D20" s="94" t="inlineStr">
        <is>
          <t>Requirement Analysis</t>
        </is>
      </c>
      <c r="E20" s="94" t="n"/>
      <c r="F20" s="94" t="n"/>
      <c r="G20" s="94" t="n"/>
    </row>
    <row r="21">
      <c r="A21" s="94" t="n"/>
      <c r="B21" s="94" t="inlineStr">
        <is>
          <t>Process-CMAudit</t>
        </is>
      </c>
      <c r="C21" s="94" t="n"/>
      <c r="D21" s="94" t="inlineStr">
        <is>
          <t>Requirement Clarifications(Q&amp;A)</t>
        </is>
      </c>
      <c r="E21" s="94" t="n"/>
      <c r="F21" s="94" t="n"/>
      <c r="G21" s="94" t="n"/>
    </row>
    <row r="22">
      <c r="A22" s="94" t="n"/>
      <c r="B22" s="94" t="inlineStr">
        <is>
          <t>Process-Project Health Reports</t>
        </is>
      </c>
      <c r="C22" s="94" t="n"/>
      <c r="D22" s="94" t="inlineStr">
        <is>
          <t>Creating Functional requirements</t>
        </is>
      </c>
      <c r="E22" s="94" t="n"/>
      <c r="F22" s="94" t="n"/>
      <c r="G22" s="94" t="n"/>
    </row>
    <row r="23">
      <c r="A23" s="94" t="n"/>
      <c r="B23" s="94" t="inlineStr">
        <is>
          <t>Process-Reporting</t>
        </is>
      </c>
      <c r="C23" s="94" t="inlineStr">
        <is>
          <t>Design</t>
        </is>
      </c>
      <c r="D23" s="94" t="inlineStr">
        <is>
          <t>LLD/DB Design</t>
        </is>
      </c>
      <c r="E23" s="94" t="n"/>
      <c r="F23" s="94" t="n"/>
      <c r="G23" s="94" t="n"/>
    </row>
    <row r="24">
      <c r="A24" s="94" t="n"/>
      <c r="B24" s="94" t="inlineStr">
        <is>
          <t>Process-Trainings</t>
        </is>
      </c>
      <c r="C24" s="94" t="n"/>
      <c r="D24" s="94" t="inlineStr">
        <is>
          <t>HLD</t>
        </is>
      </c>
      <c r="E24" s="94" t="n"/>
      <c r="F24" s="94" t="n"/>
      <c r="G24" s="94" t="n"/>
    </row>
    <row r="25">
      <c r="A25" s="94" t="n"/>
      <c r="B25" s="94" t="n"/>
      <c r="C25" s="94" t="n"/>
      <c r="D25" s="94" t="n"/>
      <c r="E25" s="94" t="n"/>
      <c r="F25" s="94" t="n"/>
      <c r="G25" s="94" t="n"/>
    </row>
    <row r="26">
      <c r="A26" s="94" t="inlineStr">
        <is>
          <t>PreSales</t>
        </is>
      </c>
      <c r="B26" s="94" t="inlineStr">
        <is>
          <t>Presales-Proposal Preparation</t>
        </is>
      </c>
      <c r="C26" s="94" t="inlineStr">
        <is>
          <t>Documentation</t>
        </is>
      </c>
      <c r="D26" s="94" t="inlineStr">
        <is>
          <t>User Guides</t>
        </is>
      </c>
      <c r="E26" s="94" t="n"/>
      <c r="F26" s="94" t="n"/>
      <c r="G26" s="94" t="n"/>
    </row>
    <row r="27">
      <c r="A27" s="94" t="n"/>
      <c r="B27" s="94" t="inlineStr">
        <is>
          <t>Presales-Estimation</t>
        </is>
      </c>
      <c r="C27" s="94" t="n"/>
      <c r="D27" s="94" t="inlineStr">
        <is>
          <t>Training Material</t>
        </is>
      </c>
      <c r="E27" s="94" t="n"/>
      <c r="F27" s="94" t="n"/>
      <c r="G27" s="94" t="n"/>
    </row>
    <row r="28">
      <c r="A28" s="94" t="n"/>
      <c r="B28" s="94" t="inlineStr">
        <is>
          <t>Presales-Requirement Analysis/Gathering</t>
        </is>
      </c>
      <c r="C28" s="94" t="n"/>
      <c r="D28" s="94" t="inlineStr">
        <is>
          <t>Installation Guide</t>
        </is>
      </c>
      <c r="E28" s="94" t="n"/>
      <c r="F28" s="94" t="n"/>
      <c r="G28" s="94" t="n"/>
    </row>
    <row r="29">
      <c r="A29" s="94" t="n"/>
      <c r="B29" s="94" t="inlineStr">
        <is>
          <t>PreSales Calls</t>
        </is>
      </c>
      <c r="C29" s="94" t="n"/>
      <c r="D29" s="94" t="n"/>
      <c r="E29" s="94" t="n"/>
      <c r="F29" s="94" t="n"/>
      <c r="G29" s="94" t="n"/>
    </row>
    <row r="30">
      <c r="A30" s="94" t="n"/>
      <c r="B30" s="94" t="n"/>
      <c r="C30" s="94" t="inlineStr">
        <is>
          <t>ProjectManagement</t>
        </is>
      </c>
      <c r="D30" s="94" t="inlineStr">
        <is>
          <t>Estimations(CR/NewReq)</t>
        </is>
      </c>
      <c r="E30" s="94" t="n"/>
      <c r="F30" s="94" t="n"/>
      <c r="G30" s="94" t="n"/>
    </row>
    <row r="31">
      <c r="A31" s="94" t="inlineStr">
        <is>
          <t>Sales</t>
        </is>
      </c>
      <c r="B31" s="94" t="inlineStr">
        <is>
          <t>Lead Generation</t>
        </is>
      </c>
      <c r="C31" s="94" t="n"/>
      <c r="D31" s="94" t="inlineStr">
        <is>
          <t>Team Leading activities</t>
        </is>
      </c>
      <c r="E31" s="94" t="n"/>
      <c r="F31" s="94" t="n"/>
      <c r="G31" s="94" t="n"/>
    </row>
    <row r="32">
      <c r="A32" s="94" t="n"/>
      <c r="B32" s="94" t="inlineStr">
        <is>
          <t>Cold Calls</t>
        </is>
      </c>
      <c r="C32" s="94" t="n"/>
      <c r="D32" s="94" t="inlineStr">
        <is>
          <t>PM Calls</t>
        </is>
      </c>
      <c r="E32" s="94" t="n"/>
      <c r="F32" s="94" t="n"/>
      <c r="G32" s="94" t="n"/>
    </row>
    <row r="33">
      <c r="A33" s="94" t="n"/>
      <c r="B33" s="94" t="inlineStr">
        <is>
          <t>Account Management (Project Health, etc)</t>
        </is>
      </c>
      <c r="C33" s="94" t="n"/>
      <c r="D33" s="94" t="inlineStr">
        <is>
          <t>Sprint Planning</t>
        </is>
      </c>
      <c r="E33" s="94" t="n"/>
      <c r="F33" s="94" t="n"/>
      <c r="G33" s="94" t="n"/>
    </row>
    <row r="34">
      <c r="A34" s="94" t="n"/>
      <c r="B34" s="94" t="inlineStr">
        <is>
          <t>Prospect Followup</t>
        </is>
      </c>
      <c r="C34" s="94" t="n"/>
      <c r="D34" s="94" t="inlineStr">
        <is>
          <t>Process Audits</t>
        </is>
      </c>
      <c r="E34" s="94" t="n"/>
      <c r="F34" s="94" t="n"/>
      <c r="G34" s="94" t="n"/>
    </row>
    <row r="35">
      <c r="A35" s="94" t="n"/>
      <c r="B35" s="94" t="n"/>
      <c r="C35" s="94" t="n"/>
      <c r="D35" s="94" t="n"/>
      <c r="E35" s="94" t="n"/>
      <c r="F35" s="94" t="n"/>
      <c r="G35" s="94" t="n"/>
    </row>
    <row r="36">
      <c r="A36" s="94" t="inlineStr">
        <is>
          <t>Marketing</t>
        </is>
      </c>
      <c r="B36" s="94" t="inlineStr">
        <is>
          <t>Branding</t>
        </is>
      </c>
      <c r="C36" s="94" t="inlineStr">
        <is>
          <t>Customer Communication</t>
        </is>
      </c>
      <c r="D36" s="94" t="inlineStr">
        <is>
          <t>Calls</t>
        </is>
      </c>
      <c r="E36" s="94" t="n"/>
      <c r="F36" s="94" t="n"/>
      <c r="G36" s="94" t="n"/>
    </row>
    <row r="37">
      <c r="A37" s="94" t="n"/>
      <c r="B37" s="94" t="inlineStr">
        <is>
          <t>Website Updation</t>
        </is>
      </c>
      <c r="C37" s="94" t="n"/>
      <c r="D37" s="94" t="inlineStr">
        <is>
          <t>Demo &amp; Feedback</t>
        </is>
      </c>
      <c r="E37" s="94" t="n"/>
      <c r="F37" s="94" t="n"/>
      <c r="G37" s="94" t="n"/>
    </row>
    <row r="38">
      <c r="A38" s="94" t="n"/>
      <c r="B38" s="94" t="inlineStr">
        <is>
          <t>Content Management</t>
        </is>
      </c>
      <c r="C38" s="94" t="n"/>
      <c r="D38" s="94" t="inlineStr">
        <is>
          <t>Code Walkthru</t>
        </is>
      </c>
      <c r="E38" s="94" t="n"/>
      <c r="F38" s="94" t="n"/>
      <c r="G38" s="94" t="n"/>
    </row>
    <row r="39">
      <c r="A39" s="94" t="n"/>
      <c r="B39" s="94" t="n"/>
      <c r="C39" s="94" t="n"/>
      <c r="D39" s="94" t="n"/>
      <c r="E39" s="94" t="n"/>
      <c r="F39" s="94" t="n"/>
      <c r="G39" s="94" t="n"/>
    </row>
    <row r="40">
      <c r="A40" s="94" t="inlineStr">
        <is>
          <t>HR</t>
        </is>
      </c>
      <c r="B40" s="94" t="inlineStr">
        <is>
          <t>HR-Appraisal</t>
        </is>
      </c>
      <c r="C40" s="94" t="inlineStr">
        <is>
          <t>UAT</t>
        </is>
      </c>
      <c r="D40" s="94" t="inlineStr">
        <is>
          <t>Identify &amp; Analysis</t>
        </is>
      </c>
      <c r="E40" s="94" t="n"/>
      <c r="F40" s="94" t="n"/>
      <c r="G40" s="94" t="n"/>
    </row>
    <row r="41">
      <c r="A41" s="94" t="n"/>
      <c r="B41" s="94" t="inlineStr">
        <is>
          <t>HR-EventManagement</t>
        </is>
      </c>
      <c r="C41" s="94" t="n"/>
      <c r="D41" s="94" t="inlineStr">
        <is>
          <t>Retesting</t>
        </is>
      </c>
      <c r="E41" s="94" t="n"/>
      <c r="F41" s="94" t="n"/>
      <c r="G41" s="94" t="n"/>
    </row>
    <row r="42">
      <c r="A42" s="94" t="n"/>
      <c r="B42" s="94" t="inlineStr">
        <is>
          <t>HR-Induction</t>
        </is>
      </c>
      <c r="C42" s="94" t="n"/>
      <c r="D42" s="94" t="inlineStr">
        <is>
          <t>Support</t>
        </is>
      </c>
      <c r="E42" s="94" t="n"/>
      <c r="F42" s="94" t="n"/>
      <c r="G42" s="94" t="n"/>
    </row>
    <row r="43">
      <c r="A43" s="94" t="n"/>
      <c r="B43" s="94" t="inlineStr">
        <is>
          <t>HR-Performance Management</t>
        </is>
      </c>
      <c r="C43" s="94" t="n"/>
      <c r="D43" s="94" t="inlineStr">
        <is>
          <t>System Testing(Customer Env)</t>
        </is>
      </c>
      <c r="E43" s="94" t="n"/>
      <c r="F43" s="94" t="n"/>
      <c r="G43" s="94" t="n"/>
    </row>
    <row r="44">
      <c r="A44" s="94" t="n"/>
      <c r="B44" s="94" t="inlineStr">
        <is>
          <t>HR-Resource Mentoring</t>
        </is>
      </c>
      <c r="C44" s="94" t="n"/>
      <c r="D44" s="94" t="n"/>
      <c r="E44" s="94" t="n"/>
      <c r="F44" s="94" t="n"/>
      <c r="G44" s="94" t="n"/>
    </row>
    <row r="45">
      <c r="A45" s="94" t="n"/>
      <c r="B45" s="94" t="inlineStr">
        <is>
          <t>Recruitment</t>
        </is>
      </c>
      <c r="C45" s="94" t="inlineStr">
        <is>
          <t>ProductionSupport</t>
        </is>
      </c>
      <c r="D45" s="94" t="inlineStr">
        <is>
          <t>Support</t>
        </is>
      </c>
      <c r="E45" s="94" t="n"/>
      <c r="F45" s="94" t="n"/>
      <c r="G45" s="94" t="n"/>
    </row>
    <row r="46">
      <c r="A46" s="94" t="n"/>
      <c r="B46" s="94" t="inlineStr">
        <is>
          <t>HR-Attend Conferences</t>
        </is>
      </c>
      <c r="C46" s="94" t="n"/>
      <c r="D46" s="94" t="inlineStr">
        <is>
          <t>Rollout/Migration/Deployment</t>
        </is>
      </c>
      <c r="E46" s="94" t="n"/>
      <c r="F46" s="94" t="n"/>
      <c r="G46" s="94" t="n"/>
    </row>
    <row r="47">
      <c r="A47" s="94" t="n"/>
      <c r="B47" s="94" t="n"/>
      <c r="C47" s="94" t="n"/>
      <c r="D47" s="94" t="inlineStr">
        <is>
          <t>Checklist Preparation</t>
        </is>
      </c>
      <c r="E47" s="94" t="n"/>
      <c r="F47" s="94" t="n"/>
      <c r="G47" s="94" t="n"/>
    </row>
    <row r="48">
      <c r="A48" s="94" t="n"/>
      <c r="B48" s="94" t="n"/>
      <c r="C48" s="94" t="n"/>
      <c r="D48" s="94" t="n"/>
      <c r="E48" s="94" t="n"/>
      <c r="F48" s="94" t="n"/>
      <c r="G48" s="94" t="n"/>
    </row>
    <row r="49">
      <c r="A49" s="94" t="n"/>
      <c r="B49" s="94" t="n"/>
      <c r="C49" s="94" t="inlineStr">
        <is>
          <t>Implementation</t>
        </is>
      </c>
      <c r="D49" s="94" t="inlineStr">
        <is>
          <t>Installation and Configuration</t>
        </is>
      </c>
      <c r="E49" s="94" t="n"/>
      <c r="F49" s="94" t="n"/>
      <c r="G49" s="94" t="n"/>
    </row>
    <row r="50">
      <c r="A50" s="94" t="n"/>
      <c r="B50" s="94" t="n"/>
      <c r="C50" s="94" t="n"/>
      <c r="D50" s="94" t="inlineStr">
        <is>
          <t>Product Training</t>
        </is>
      </c>
      <c r="E50" s="94" t="n"/>
      <c r="F50" s="94" t="n"/>
      <c r="G50" s="94" t="n"/>
    </row>
    <row r="51">
      <c r="A51" s="94" t="n"/>
      <c r="B51" s="94" t="n"/>
      <c r="C51" s="94" t="n"/>
      <c r="D51" s="94" t="inlineStr">
        <is>
          <t>Product Demo</t>
        </is>
      </c>
      <c r="E51" s="94" t="n"/>
      <c r="F51" s="94" t="n"/>
      <c r="G51" s="94" t="n"/>
    </row>
    <row r="52">
      <c r="A52" s="94" t="n"/>
      <c r="B52" s="94" t="n"/>
      <c r="C52" s="94" t="n"/>
      <c r="D52" s="94" t="inlineStr">
        <is>
          <t>Customer Communication(Calls/Emails)</t>
        </is>
      </c>
      <c r="E52" s="94" t="n"/>
      <c r="F52" s="94" t="n"/>
      <c r="G52" s="94" t="n"/>
    </row>
    <row r="53">
      <c r="A53" s="94" t="n"/>
      <c r="B53" s="94" t="n"/>
      <c r="C53" s="94" t="n"/>
      <c r="D53" s="94" t="inlineStr">
        <is>
          <t>Offshore Communication</t>
        </is>
      </c>
      <c r="E53" s="94" t="n"/>
      <c r="F53" s="94" t="n"/>
      <c r="G53" s="94" t="n"/>
    </row>
    <row r="54">
      <c r="A54" s="94" t="n"/>
      <c r="B54" s="94" t="n"/>
      <c r="C54" s="94" t="n"/>
      <c r="D54" s="94" t="inlineStr">
        <is>
          <t>Artifacts Documentation</t>
        </is>
      </c>
      <c r="E54" s="94" t="n"/>
      <c r="F54" s="94" t="n"/>
      <c r="G54" s="94" t="n"/>
    </row>
    <row r="55">
      <c r="A55" s="94" t="n"/>
      <c r="B55" s="94" t="n"/>
      <c r="C55" s="94" t="n"/>
      <c r="D55" s="94" t="inlineStr">
        <is>
          <t>Post Implementation Testing</t>
        </is>
      </c>
      <c r="E55" s="94" t="n"/>
      <c r="F55" s="94" t="n"/>
      <c r="G55" s="94" t="n"/>
    </row>
    <row r="56">
      <c r="A56" s="94" t="n"/>
      <c r="B56" s="94" t="n"/>
      <c r="C56" s="94" t="n"/>
      <c r="D56" s="94" t="n"/>
      <c r="E56" s="94" t="n"/>
      <c r="F56" s="94" t="n"/>
      <c r="G56" s="94" t="n"/>
    </row>
    <row r="57">
      <c r="A57" s="94" t="n"/>
      <c r="B57" s="94" t="n"/>
      <c r="C57" s="94" t="inlineStr">
        <is>
          <t>KnowledgeTransfer</t>
        </is>
      </c>
      <c r="D57" s="94" t="inlineStr">
        <is>
          <t>KT-Provided</t>
        </is>
      </c>
      <c r="E57" s="94" t="n"/>
      <c r="F57" s="94" t="n"/>
      <c r="G57" s="94" t="n"/>
    </row>
    <row r="58">
      <c r="A58" s="94" t="n"/>
      <c r="B58" s="94" t="n"/>
      <c r="C58" s="94" t="n"/>
      <c r="D58" s="94" t="inlineStr">
        <is>
          <t>KT-Attended</t>
        </is>
      </c>
      <c r="E58" s="94" t="n"/>
      <c r="F58" s="94" t="n"/>
      <c r="G58" s="94" t="n"/>
    </row>
    <row r="59">
      <c r="A59" s="94" t="n"/>
      <c r="B59" s="94" t="n"/>
      <c r="C59" s="94" t="n"/>
      <c r="D59" s="94" t="n"/>
      <c r="E59" s="94" t="n"/>
      <c r="F59" s="94" t="n"/>
      <c r="G59" s="9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302" activePane="bottomLeft" state="frozen"/>
      <selection pane="bottomLeft" activeCell="A392" sqref="A392:G392"/>
    </sheetView>
  </sheetViews>
  <sheetFormatPr baseColWidth="10" defaultRowHeight="15"/>
  <cols>
    <col width="13.33203125" customWidth="1" style="66" min="1" max="1"/>
    <col width="45" customWidth="1" style="66" min="2" max="2"/>
    <col width="22.5" customWidth="1" style="66" min="3" max="3"/>
    <col width="10" customWidth="1" style="66" min="4" max="4"/>
    <col width="15.83203125" customWidth="1" style="66" min="5" max="5"/>
    <col width="13.33203125" customWidth="1" style="66" min="6" max="7"/>
  </cols>
  <sheetData>
    <row r="1" ht="17" customHeight="1" s="66">
      <c r="A1" s="95" t="inlineStr">
        <is>
          <t>OrbitFlow — Work Items Drill-Down  |  Click a count on the Project Dashboard to jump here</t>
        </is>
      </c>
    </row>
    <row r="2">
      <c r="A2" s="97">
        <f t="array" ref="A2">"P001 · "&amp;'Project Dashboard'!$B$6&amp;" — Tasks ("&amp;SUMPRODUCT(('Work Items'!$A$6:$A$64="Task")*('Work Items'!$D$6:$D$64='Project Dashboard'!$B$6))&amp;")"</f>
        <v/>
      </c>
    </row>
    <row r="3">
      <c r="A3" s="98" t="inlineStr">
        <is>
          <t>ID</t>
        </is>
      </c>
      <c r="B3" s="98" t="inlineStr">
        <is>
          <t>Summary</t>
        </is>
      </c>
      <c r="C3" s="98" t="inlineStr">
        <is>
          <t>Assigned To</t>
        </is>
      </c>
      <c r="D3" s="98" t="inlineStr">
        <is>
          <t>Priority</t>
        </is>
      </c>
      <c r="E3" s="98" t="inlineStr">
        <is>
          <t>Status</t>
        </is>
      </c>
      <c r="F3" s="98" t="inlineStr">
        <is>
          <t>Start</t>
        </is>
      </c>
      <c r="G3" s="98" t="inlineStr">
        <is>
          <t>End</t>
        </is>
      </c>
    </row>
    <row r="4">
      <c r="A4">
        <f t="array" ref="A4:G7">IFERROR(_xlfn._xlws.FILTER(CHOOSE({1,2,3,4,5,6,7},'Work Items'!$B$6:$B$64,'Work Items'!$C$6:$C$64,'Work Items'!$J$6:$J$64,'Work Items'!$K$6:$K$64,'Work Items'!$L$6:$L$64,'Work Items'!$P$6:$P$64,'Work Items'!$Q$6:$Q$64),('Work Items'!$A$6:$A$64="Task")*('Work Items'!$D$6:$D$64='Project Dashboard'!$B$6),"— none —"),"— none —")</f>
        <v/>
      </c>
      <c r="B4" t="inlineStr">
        <is>
          <t>Monthly Support - Case Management &amp; Config</t>
        </is>
      </c>
      <c r="C4" t="inlineStr">
        <is>
          <t>Prateek Shinde</t>
        </is>
      </c>
      <c r="D4" t="inlineStr">
        <is>
          <t>P2</t>
        </is>
      </c>
      <c r="E4" t="inlineStr">
        <is>
          <t>Completed</t>
        </is>
      </c>
      <c r="F4" s="99" t="n">
        <v>46204</v>
      </c>
      <c r="G4" s="99" t="n">
        <v>46218</v>
      </c>
    </row>
    <row r="5">
      <c r="A5" t="inlineStr">
        <is>
          <t>GCI-T002</t>
        </is>
      </c>
      <c r="B5" t="inlineStr">
        <is>
          <t>Monthly Support - Field Service Optimization</t>
        </is>
      </c>
      <c r="C5" t="inlineStr">
        <is>
          <t>Sudhakar Reddy Lekkala</t>
        </is>
      </c>
      <c r="D5" t="inlineStr">
        <is>
          <t>P2</t>
        </is>
      </c>
      <c r="E5" t="inlineStr">
        <is>
          <t>Completed</t>
        </is>
      </c>
      <c r="F5" s="99" t="n">
        <v>46219</v>
      </c>
      <c r="G5" s="99" t="n">
        <v>46234</v>
      </c>
    </row>
    <row r="6">
      <c r="A6" t="inlineStr">
        <is>
          <t>GCI-T003</t>
        </is>
      </c>
      <c r="B6" t="inlineStr">
        <is>
          <t>Monthly Support - API Integration Review</t>
        </is>
      </c>
      <c r="C6" t="inlineStr">
        <is>
          <t>Sudhakar Reddy Lekkala</t>
        </is>
      </c>
      <c r="D6" t="inlineStr">
        <is>
          <t>P2</t>
        </is>
      </c>
      <c r="E6" t="inlineStr">
        <is>
          <t>In Progress</t>
        </is>
      </c>
      <c r="F6" s="99" t="n">
        <v>46235</v>
      </c>
      <c r="G6" s="99" t="n">
        <v>46265</v>
      </c>
    </row>
    <row r="7">
      <c r="A7" t="inlineStr">
        <is>
          <t>GCI-T004</t>
        </is>
      </c>
      <c r="B7" t="inlineStr">
        <is>
          <t>Canada Holiday Buffer - Aug Support Hours</t>
        </is>
      </c>
      <c r="C7" t="inlineStr">
        <is>
          <t>Prateek Shinde</t>
        </is>
      </c>
      <c r="D7" t="inlineStr">
        <is>
          <t>P3</t>
        </is>
      </c>
      <c r="E7" t="inlineStr">
        <is>
          <t>In Progress</t>
        </is>
      </c>
      <c r="F7" s="99" t="n">
        <v>46249</v>
      </c>
      <c r="G7" s="99" t="n">
        <v>46265</v>
      </c>
    </row>
    <row r="8">
      <c r="F8" s="99" t="n"/>
      <c r="G8" s="99" t="n"/>
    </row>
    <row r="9">
      <c r="F9" s="99" t="n"/>
      <c r="G9" s="99" t="n"/>
    </row>
    <row r="10">
      <c r="F10" s="99" t="n"/>
      <c r="G10" s="99" t="n"/>
    </row>
    <row r="11">
      <c r="F11" s="99" t="n"/>
      <c r="G11" s="99" t="n"/>
    </row>
    <row r="12">
      <c r="F12" s="99" t="n"/>
      <c r="G12" s="99" t="n"/>
    </row>
    <row r="13">
      <c r="F13" s="99" t="n"/>
      <c r="G13" s="99" t="n"/>
    </row>
    <row r="14">
      <c r="F14" s="99" t="n"/>
      <c r="G14" s="99" t="n"/>
    </row>
    <row r="15">
      <c r="F15" s="99" t="n"/>
      <c r="G15" s="99" t="n"/>
    </row>
    <row r="16">
      <c r="F16" s="99" t="n"/>
      <c r="G16" s="99" t="n"/>
    </row>
    <row r="17">
      <c r="F17" s="99" t="n"/>
      <c r="G17" s="99" t="n"/>
    </row>
    <row r="18">
      <c r="F18" s="99" t="n"/>
      <c r="G18" s="99" t="n"/>
    </row>
    <row r="19">
      <c r="F19" s="99" t="n"/>
      <c r="G19" s="99" t="n"/>
    </row>
    <row r="20">
      <c r="F20" s="99" t="n"/>
      <c r="G20" s="99" t="n"/>
    </row>
    <row r="21">
      <c r="F21" s="99" t="n"/>
      <c r="G21" s="99" t="n"/>
    </row>
    <row r="22">
      <c r="F22" s="99" t="n"/>
      <c r="G22" s="99" t="n"/>
    </row>
    <row r="23">
      <c r="F23" s="99" t="n"/>
      <c r="G23" s="99" t="n"/>
    </row>
    <row r="24">
      <c r="F24" s="99" t="n"/>
      <c r="G24" s="99" t="n"/>
    </row>
    <row r="25">
      <c r="F25" s="99" t="n"/>
      <c r="G25" s="99" t="n"/>
    </row>
    <row r="26">
      <c r="F26" s="99" t="n"/>
      <c r="G26" s="99" t="n"/>
    </row>
    <row r="27">
      <c r="F27" s="99" t="n"/>
      <c r="G27" s="99" t="n"/>
    </row>
    <row r="28">
      <c r="F28" s="99" t="n"/>
      <c r="G28" s="99" t="n"/>
    </row>
    <row r="29">
      <c r="F29" s="99" t="n"/>
      <c r="G29" s="99" t="n"/>
    </row>
    <row r="30">
      <c r="F30" s="99" t="n"/>
      <c r="G30" s="99" t="n"/>
    </row>
    <row r="31">
      <c r="F31" s="99" t="n"/>
      <c r="G31" s="99" t="n"/>
    </row>
    <row r="32">
      <c r="A32" s="97">
        <f t="array" ref="A32">"P001 · "&amp;'Project Dashboard'!$B$6&amp;" — Bugs ("&amp;SUMPRODUCT(('Work Items'!$A$6:$A$64="Bug")*('Work Items'!$D$6:$D$64='Project Dashboard'!$B$6))&amp;")"</f>
        <v/>
      </c>
    </row>
    <row r="33">
      <c r="A33" s="98" t="inlineStr">
        <is>
          <t>ID</t>
        </is>
      </c>
      <c r="B33" s="98" t="inlineStr">
        <is>
          <t>Summary</t>
        </is>
      </c>
      <c r="C33" s="98" t="inlineStr">
        <is>
          <t>Assigned To</t>
        </is>
      </c>
      <c r="D33" s="98" t="inlineStr">
        <is>
          <t>Priority</t>
        </is>
      </c>
      <c r="E33" s="98" t="inlineStr">
        <is>
          <t>Status</t>
        </is>
      </c>
      <c r="F33" s="98" t="inlineStr">
        <is>
          <t>Start</t>
        </is>
      </c>
      <c r="G33" s="98" t="inlineStr">
        <is>
          <t>End</t>
        </is>
      </c>
    </row>
    <row r="34">
      <c r="A34">
        <f t="array" ref="A34:G34">IFERROR(_xlfn._xlws.FILTER(CHOOSE({1,2,3,4,5,6,7},'Work Items'!$B$6:$B$64,'Work Items'!$C$6:$C$64,'Work Items'!$J$6:$J$64,'Work Items'!$K$6:$K$64,'Work Items'!$L$6:$L$64,'Work Items'!$P$6:$P$64,'Work Items'!$Q$6:$Q$64),('Work Items'!$A$6:$A$64="Bug")*('Work Items'!$D$6:$D$64='Project Dashboard'!$B$6),"— none —"),"— none —")</f>
        <v/>
      </c>
      <c r="B34" t="inlineStr">
        <is>
          <t>API timeout on bulk sync over 5000 records</t>
        </is>
      </c>
      <c r="C34" t="inlineStr">
        <is>
          <t>Sudhakar Reddy Lekkala</t>
        </is>
      </c>
      <c r="D34" t="inlineStr">
        <is>
          <t>P2</t>
        </is>
      </c>
      <c r="E34" t="inlineStr">
        <is>
          <t>Monitoring</t>
        </is>
      </c>
      <c r="F34" s="99" t="n">
        <v>46223</v>
      </c>
      <c r="G34" s="99" t="n">
        <v>46265</v>
      </c>
    </row>
    <row r="35">
      <c r="F35" s="99" t="n"/>
      <c r="G35" s="99" t="n"/>
    </row>
    <row r="36">
      <c r="F36" s="99" t="n"/>
      <c r="G36" s="99" t="n"/>
    </row>
    <row r="37">
      <c r="F37" s="99" t="n"/>
      <c r="G37" s="99" t="n"/>
    </row>
    <row r="38">
      <c r="F38" s="99" t="n"/>
      <c r="G38" s="99" t="n"/>
    </row>
    <row r="39">
      <c r="F39" s="99" t="n"/>
      <c r="G39" s="99" t="n"/>
    </row>
    <row r="40">
      <c r="F40" s="99" t="n"/>
      <c r="G40" s="99" t="n"/>
    </row>
    <row r="41">
      <c r="F41" s="99" t="n"/>
      <c r="G41" s="99" t="n"/>
    </row>
    <row r="42">
      <c r="F42" s="99" t="n"/>
      <c r="G42" s="99" t="n"/>
    </row>
    <row r="43">
      <c r="F43" s="99" t="n"/>
      <c r="G43" s="99" t="n"/>
    </row>
    <row r="44">
      <c r="F44" s="99" t="n"/>
      <c r="G44" s="99" t="n"/>
    </row>
    <row r="45">
      <c r="F45" s="99" t="n"/>
      <c r="G45" s="99" t="n"/>
    </row>
    <row r="46">
      <c r="F46" s="99" t="n"/>
      <c r="G46" s="99" t="n"/>
    </row>
    <row r="47">
      <c r="F47" s="99" t="n"/>
      <c r="G47" s="99" t="n"/>
    </row>
    <row r="48">
      <c r="F48" s="99" t="n"/>
      <c r="G48" s="99" t="n"/>
    </row>
    <row r="49">
      <c r="F49" s="99" t="n"/>
      <c r="G49" s="99" t="n"/>
    </row>
    <row r="50">
      <c r="F50" s="99" t="n"/>
      <c r="G50" s="99" t="n"/>
    </row>
    <row r="51">
      <c r="F51" s="99" t="n"/>
      <c r="G51" s="99" t="n"/>
    </row>
    <row r="52">
      <c r="F52" s="99" t="n"/>
      <c r="G52" s="99" t="n"/>
    </row>
    <row r="53">
      <c r="F53" s="99" t="n"/>
      <c r="G53" s="99" t="n"/>
    </row>
    <row r="54">
      <c r="F54" s="99" t="n"/>
      <c r="G54" s="99" t="n"/>
    </row>
    <row r="55">
      <c r="F55" s="99" t="n"/>
      <c r="G55" s="99" t="n"/>
    </row>
    <row r="56">
      <c r="F56" s="99" t="n"/>
      <c r="G56" s="99" t="n"/>
    </row>
    <row r="57">
      <c r="F57" s="99" t="n"/>
      <c r="G57" s="99" t="n"/>
    </row>
    <row r="58">
      <c r="F58" s="99" t="n"/>
      <c r="G58" s="99" t="n"/>
    </row>
    <row r="59">
      <c r="F59" s="99" t="n"/>
      <c r="G59" s="99" t="n"/>
    </row>
    <row r="60">
      <c r="F60" s="99" t="n"/>
      <c r="G60" s="99" t="n"/>
    </row>
    <row r="61">
      <c r="F61" s="99" t="n"/>
      <c r="G61" s="99" t="n"/>
    </row>
    <row r="62">
      <c r="A62" s="97">
        <f t="array" ref="A62">"P001 · "&amp;'Project Dashboard'!$B$6&amp;" — Risks +OrgRisk ("&amp;SUMPRODUCT(('Work Items'!$A$6:$A$64="Risk")*(('Work Items'!$D$6:$D$64='Project Dashboard'!$B$6)+(COUNTIF('Projects Master'!$B$5:$B$9,'Work Items'!$D$6:$D$64)=0)))&amp;")"</f>
        <v/>
      </c>
    </row>
    <row r="63">
      <c r="A63" s="98" t="inlineStr">
        <is>
          <t>ID</t>
        </is>
      </c>
      <c r="B63" s="98" t="inlineStr">
        <is>
          <t>Summary</t>
        </is>
      </c>
      <c r="C63" s="98" t="inlineStr">
        <is>
          <t>Assigned To</t>
        </is>
      </c>
      <c r="D63" s="98" t="inlineStr">
        <is>
          <t>Priority</t>
        </is>
      </c>
      <c r="E63" s="98" t="inlineStr">
        <is>
          <t>Status</t>
        </is>
      </c>
      <c r="F63" s="98" t="inlineStr">
        <is>
          <t>Start</t>
        </is>
      </c>
      <c r="G63" s="98" t="inlineStr">
        <is>
          <t>End</t>
        </is>
      </c>
    </row>
    <row r="64">
      <c r="A64">
        <f t="array" ref="A64:G65">IFERROR(_xlfn._xlws.FILTER(CHOOSE({1,2,3,4,5,6,7},'Work Items'!$B$6:$B$64,'Work Items'!$C$6:$C$64,'Work Items'!$J$6:$J$64,'Work Items'!$K$6:$K$64,'Work Items'!$L$6:$L$64,'Work Items'!$P$6:$P$64,'Work Items'!$Q$6:$Q$64),('Work Items'!$A$6:$A$64="Risk")*(('Work Items'!$D$6:$D$64='Project Dashboard'!$B$6)+(COUNTIF('Projects Master'!$B$5:$B$9,'Work Items'!$D$6:$D$64)=0)),"— none —"),"— none —")</f>
        <v/>
      </c>
      <c r="B64" t="inlineStr">
        <is>
          <t>Timezone Coordination Gap - Canada Team</t>
        </is>
      </c>
      <c r="C64" t="inlineStr">
        <is>
          <t>Gopikrishna Vemuri</t>
        </is>
      </c>
      <c r="D64" t="inlineStr">
        <is>
          <t>P2</t>
        </is>
      </c>
      <c r="E64" t="inlineStr">
        <is>
          <t>Open</t>
        </is>
      </c>
      <c r="F64" s="99" t="n">
        <v>46204</v>
      </c>
      <c r="G64" s="99" t="n">
        <v>46295</v>
      </c>
    </row>
    <row r="65">
      <c r="A65" t="inlineStr">
        <is>
          <t>GCI-RK002</t>
        </is>
      </c>
      <c r="B65" t="inlineStr">
        <is>
          <t>New Client Requirements Mid-Engagement</t>
        </is>
      </c>
      <c r="C65" t="inlineStr">
        <is>
          <t>Gopikrishna Vemuri</t>
        </is>
      </c>
      <c r="D65" t="inlineStr">
        <is>
          <t>P3</t>
        </is>
      </c>
      <c r="E65" t="inlineStr">
        <is>
          <t>Open</t>
        </is>
      </c>
      <c r="F65" s="99" t="n">
        <v>46204</v>
      </c>
      <c r="G65" s="99" t="n">
        <v>46387</v>
      </c>
    </row>
    <row r="66">
      <c r="F66" s="99" t="n"/>
      <c r="G66" s="99" t="n"/>
    </row>
    <row r="67">
      <c r="F67" s="99" t="n"/>
      <c r="G67" s="99" t="n"/>
    </row>
    <row r="68">
      <c r="F68" s="99" t="n"/>
      <c r="G68" s="99" t="n"/>
    </row>
    <row r="69">
      <c r="F69" s="99" t="n"/>
      <c r="G69" s="99" t="n"/>
    </row>
    <row r="70">
      <c r="F70" s="99" t="n"/>
      <c r="G70" s="99" t="n"/>
    </row>
    <row r="71">
      <c r="F71" s="99" t="n"/>
      <c r="G71" s="99" t="n"/>
    </row>
    <row r="72">
      <c r="F72" s="99" t="n"/>
      <c r="G72" s="99" t="n"/>
    </row>
    <row r="73">
      <c r="F73" s="99" t="n"/>
      <c r="G73" s="99" t="n"/>
    </row>
    <row r="74">
      <c r="F74" s="99" t="n"/>
      <c r="G74" s="99" t="n"/>
    </row>
    <row r="75">
      <c r="F75" s="99" t="n"/>
      <c r="G75" s="99" t="n"/>
    </row>
    <row r="76">
      <c r="F76" s="99" t="n"/>
      <c r="G76" s="99" t="n"/>
    </row>
    <row r="77">
      <c r="F77" s="99" t="n"/>
      <c r="G77" s="99" t="n"/>
    </row>
    <row r="78">
      <c r="F78" s="99" t="n"/>
      <c r="G78" s="99" t="n"/>
    </row>
    <row r="79">
      <c r="F79" s="99" t="n"/>
      <c r="G79" s="99" t="n"/>
    </row>
    <row r="80">
      <c r="F80" s="99" t="n"/>
      <c r="G80" s="99" t="n"/>
    </row>
    <row r="81">
      <c r="F81" s="99" t="n"/>
      <c r="G81" s="99" t="n"/>
    </row>
    <row r="82">
      <c r="F82" s="99" t="n"/>
      <c r="G82" s="99" t="n"/>
    </row>
    <row r="83">
      <c r="F83" s="99" t="n"/>
      <c r="G83" s="99" t="n"/>
    </row>
    <row r="84">
      <c r="F84" s="99" t="n"/>
      <c r="G84" s="99" t="n"/>
    </row>
    <row r="85">
      <c r="F85" s="99" t="n"/>
      <c r="G85" s="99" t="n"/>
    </row>
    <row r="86">
      <c r="F86" s="99" t="n"/>
      <c r="G86" s="99" t="n"/>
    </row>
    <row r="87">
      <c r="F87" s="99" t="n"/>
      <c r="G87" s="99" t="n"/>
    </row>
    <row r="88">
      <c r="F88" s="99" t="n"/>
      <c r="G88" s="99" t="n"/>
    </row>
    <row r="89">
      <c r="F89" s="99" t="n"/>
      <c r="G89" s="99" t="n"/>
    </row>
    <row r="90">
      <c r="F90" s="99" t="n"/>
      <c r="G90" s="99" t="n"/>
    </row>
    <row r="91">
      <c r="F91" s="99" t="n"/>
      <c r="G91" s="99" t="n"/>
    </row>
    <row r="92">
      <c r="A92" s="97">
        <f t="array" ref="A92">"P001 · "&amp;'Project Dashboard'!$B$6&amp;" — CRs ("&amp;SUMPRODUCT(('Work Items'!$A$6:$A$64="CR")*('Work Items'!$D$6:$D$64='Project Dashboard'!$B$6))&amp;")"</f>
        <v/>
      </c>
    </row>
    <row r="93">
      <c r="A93" s="98" t="inlineStr">
        <is>
          <t>ID</t>
        </is>
      </c>
      <c r="B93" s="98" t="inlineStr">
        <is>
          <t>Summary</t>
        </is>
      </c>
      <c r="C93" s="98" t="inlineStr">
        <is>
          <t>Assigned To</t>
        </is>
      </c>
      <c r="D93" s="98" t="inlineStr">
        <is>
          <t>Priority</t>
        </is>
      </c>
      <c r="E93" s="98" t="inlineStr">
        <is>
          <t>Status</t>
        </is>
      </c>
      <c r="F93" s="98" t="inlineStr">
        <is>
          <t>Start</t>
        </is>
      </c>
      <c r="G93" s="98" t="inlineStr">
        <is>
          <t>End</t>
        </is>
      </c>
    </row>
    <row r="94">
      <c r="A94">
        <f t="array" ref="A94:G94">IFERROR(_xlfn._xlws.FILTER(CHOOSE({1,2,3,4,5,6,7},'Work Items'!$B$6:$B$64,'Work Items'!$C$6:$C$64,'Work Items'!$J$6:$J$64,'Work Items'!$K$6:$K$64,'Work Items'!$L$6:$L$64,'Work Items'!$P$6:$P$64,'Work Items'!$Q$6:$Q$64),('Work Items'!$A$6:$A$64="CR")*('Work Items'!$D$6:$D$64='Project Dashboard'!$B$6),"— none —"),"— none —")</f>
        <v/>
      </c>
      <c r="B94" t="inlineStr">
        <is>
          <t>Canada Holiday Buffer Hours</t>
        </is>
      </c>
      <c r="C94" t="inlineStr">
        <is>
          <t>Gopikrishna Vemuri</t>
        </is>
      </c>
      <c r="D94" t="inlineStr">
        <is>
          <t>P3</t>
        </is>
      </c>
      <c r="E94" t="inlineStr">
        <is>
          <t>Approved</t>
        </is>
      </c>
      <c r="F94" s="99" t="n">
        <v>46235</v>
      </c>
      <c r="G94" s="99" t="n">
        <v>46265</v>
      </c>
    </row>
    <row r="95">
      <c r="F95" s="99" t="n"/>
      <c r="G95" s="99" t="n"/>
    </row>
    <row r="96">
      <c r="F96" s="99" t="n"/>
      <c r="G96" s="99" t="n"/>
    </row>
    <row r="97">
      <c r="F97" s="99" t="n"/>
      <c r="G97" s="99" t="n"/>
    </row>
    <row r="98">
      <c r="F98" s="99" t="n"/>
      <c r="G98" s="99" t="n"/>
    </row>
    <row r="99">
      <c r="F99" s="99" t="n"/>
      <c r="G99" s="99" t="n"/>
    </row>
    <row r="100">
      <c r="F100" s="99" t="n"/>
      <c r="G100" s="99" t="n"/>
    </row>
    <row r="101">
      <c r="F101" s="99" t="n"/>
      <c r="G101" s="99" t="n"/>
    </row>
    <row r="102">
      <c r="F102" s="99" t="n"/>
      <c r="G102" s="99" t="n"/>
    </row>
    <row r="103">
      <c r="F103" s="99" t="n"/>
      <c r="G103" s="99" t="n"/>
    </row>
    <row r="104">
      <c r="F104" s="99" t="n"/>
      <c r="G104" s="99" t="n"/>
    </row>
    <row r="105">
      <c r="F105" s="99" t="n"/>
      <c r="G105" s="99" t="n"/>
    </row>
    <row r="106">
      <c r="F106" s="99" t="n"/>
      <c r="G106" s="99" t="n"/>
    </row>
    <row r="107">
      <c r="F107" s="99" t="n"/>
      <c r="G107" s="99" t="n"/>
    </row>
    <row r="108">
      <c r="F108" s="99" t="n"/>
      <c r="G108" s="99" t="n"/>
    </row>
    <row r="109">
      <c r="F109" s="99" t="n"/>
      <c r="G109" s="99" t="n"/>
    </row>
    <row r="110">
      <c r="F110" s="99" t="n"/>
      <c r="G110" s="99" t="n"/>
    </row>
    <row r="111">
      <c r="F111" s="99" t="n"/>
      <c r="G111" s="99" t="n"/>
    </row>
    <row r="112">
      <c r="F112" s="99" t="n"/>
      <c r="G112" s="99" t="n"/>
    </row>
    <row r="113">
      <c r="F113" s="99" t="n"/>
      <c r="G113" s="99" t="n"/>
    </row>
    <row r="114">
      <c r="F114" s="99" t="n"/>
      <c r="G114" s="99" t="n"/>
    </row>
    <row r="115">
      <c r="F115" s="99" t="n"/>
      <c r="G115" s="99" t="n"/>
    </row>
    <row r="116">
      <c r="F116" s="99" t="n"/>
      <c r="G116" s="99" t="n"/>
    </row>
    <row r="117">
      <c r="F117" s="99" t="n"/>
      <c r="G117" s="99" t="n"/>
    </row>
    <row r="118">
      <c r="F118" s="99" t="n"/>
      <c r="G118" s="99" t="n"/>
    </row>
    <row r="119">
      <c r="F119" s="99" t="n"/>
      <c r="G119" s="99" t="n"/>
    </row>
    <row r="120">
      <c r="F120" s="99" t="n"/>
      <c r="G120" s="99" t="n"/>
    </row>
    <row r="121">
      <c r="F121" s="99" t="n"/>
      <c r="G121" s="99" t="n"/>
    </row>
    <row r="122">
      <c r="A122" s="97">
        <f t="array" ref="A122">"P002 · "&amp;'Project Dashboard'!$B$7&amp;" — Tasks ("&amp;SUMPRODUCT(('Work Items'!$A$6:$A$64="Task")*('Work Items'!$D$6:$D$64='Project Dashboard'!$B$7))&amp;")"</f>
        <v/>
      </c>
    </row>
    <row r="123">
      <c r="A123" s="98" t="inlineStr">
        <is>
          <t>ID</t>
        </is>
      </c>
      <c r="B123" s="98" t="inlineStr">
        <is>
          <t>Summary</t>
        </is>
      </c>
      <c r="C123" s="98" t="inlineStr">
        <is>
          <t>Assigned To</t>
        </is>
      </c>
      <c r="D123" s="98" t="inlineStr">
        <is>
          <t>Priority</t>
        </is>
      </c>
      <c r="E123" s="98" t="inlineStr">
        <is>
          <t>Status</t>
        </is>
      </c>
      <c r="F123" s="98" t="inlineStr">
        <is>
          <t>Start</t>
        </is>
      </c>
      <c r="G123" s="98" t="inlineStr">
        <is>
          <t>End</t>
        </is>
      </c>
    </row>
    <row r="124">
      <c r="A124">
        <f t="array" ref="A124:G138">IFERROR(_xlfn._xlws.FILTER(CHOOSE({1,2,3,4,5,6,7},'Work Items'!$B$6:$B$64,'Work Items'!$C$6:$C$64,'Work Items'!$J$6:$J$64,'Work Items'!$K$6:$K$64,'Work Items'!$L$6:$L$64,'Work Items'!$P$6:$P$64,'Work Items'!$Q$6:$Q$64),('Work Items'!$A$6:$A$64="Task")*('Work Items'!$D$6:$D$64='Project Dashboard'!$B$7),"— none —"),"— none —")</f>
        <v/>
      </c>
      <c r="B124" t="inlineStr">
        <is>
          <t>Requirements &amp; BRD Review</t>
        </is>
      </c>
      <c r="C124" t="inlineStr">
        <is>
          <t>Ester Rani Ganji</t>
        </is>
      </c>
      <c r="D124" t="inlineStr">
        <is>
          <t>P1</t>
        </is>
      </c>
      <c r="E124" t="inlineStr">
        <is>
          <t>Completed</t>
        </is>
      </c>
      <c r="F124" s="99" t="n">
        <v>46174</v>
      </c>
      <c r="G124" s="99" t="n">
        <v>46176</v>
      </c>
    </row>
    <row r="125">
      <c r="A125" t="inlineStr">
        <is>
          <t>CTRL-T002</t>
        </is>
      </c>
      <c r="B125" t="inlineStr">
        <is>
          <t>Salesforce Org Setup &amp; Config</t>
        </is>
      </c>
      <c r="C125" t="inlineStr">
        <is>
          <t>Jeevan Babu Paruchuri</t>
        </is>
      </c>
      <c r="D125" t="inlineStr">
        <is>
          <t>P1</t>
        </is>
      </c>
      <c r="E125" t="inlineStr">
        <is>
          <t>Completed</t>
        </is>
      </c>
      <c r="F125" s="99" t="n">
        <v>46177</v>
      </c>
      <c r="G125" s="99" t="n">
        <v>46183</v>
      </c>
    </row>
    <row r="126">
      <c r="A126" t="inlineStr">
        <is>
          <t>CTRL-T003</t>
        </is>
      </c>
      <c r="B126" t="inlineStr">
        <is>
          <t>Data Model Design - Custom Objects</t>
        </is>
      </c>
      <c r="C126" t="inlineStr">
        <is>
          <t>Akhil Kotagiri</t>
        </is>
      </c>
      <c r="D126" t="inlineStr">
        <is>
          <t>P1</t>
        </is>
      </c>
      <c r="E126" t="inlineStr">
        <is>
          <t>Completed</t>
        </is>
      </c>
      <c r="F126" s="99" t="n">
        <v>46177</v>
      </c>
      <c r="G126" s="99" t="n">
        <v>46184</v>
      </c>
    </row>
    <row r="127">
      <c r="A127" t="inlineStr">
        <is>
          <t>CTRL-T004</t>
        </is>
      </c>
      <c r="B127" t="inlineStr">
        <is>
          <t>Integration Architecture Blueprint</t>
        </is>
      </c>
      <c r="C127" t="inlineStr">
        <is>
          <t>Sureshkumar Gidugu</t>
        </is>
      </c>
      <c r="D127" t="inlineStr">
        <is>
          <t>P2</t>
        </is>
      </c>
      <c r="E127" t="inlineStr">
        <is>
          <t>Completed</t>
        </is>
      </c>
      <c r="F127" s="99" t="n">
        <v>46180</v>
      </c>
      <c r="G127" s="99" t="n">
        <v>46186</v>
      </c>
    </row>
    <row r="128">
      <c r="A128" t="inlineStr">
        <is>
          <t>CTRL-T005</t>
        </is>
      </c>
      <c r="B128" t="inlineStr">
        <is>
          <t>Security &amp; Permission Set Design</t>
        </is>
      </c>
      <c r="C128" t="inlineStr">
        <is>
          <t>Nagarjuna Reddy Sadhu</t>
        </is>
      </c>
      <c r="D128" t="inlineStr">
        <is>
          <t>P2</t>
        </is>
      </c>
      <c r="E128" t="inlineStr">
        <is>
          <t>Completed</t>
        </is>
      </c>
      <c r="F128" s="99" t="n">
        <v>46180</v>
      </c>
      <c r="G128" s="99" t="n">
        <v>46183</v>
      </c>
    </row>
    <row r="129">
      <c r="A129" t="inlineStr">
        <is>
          <t>CTRL-T006</t>
        </is>
      </c>
      <c r="B129" t="inlineStr">
        <is>
          <t>FSL Work Orders &amp; Service Appointments</t>
        </is>
      </c>
      <c r="C129" t="inlineStr">
        <is>
          <t>Vishnudeep</t>
        </is>
      </c>
      <c r="D129" t="inlineStr">
        <is>
          <t>P1</t>
        </is>
      </c>
      <c r="E129" t="inlineStr">
        <is>
          <t>Completed</t>
        </is>
      </c>
      <c r="F129" s="99" t="n">
        <v>46184</v>
      </c>
      <c r="G129" s="99" t="n">
        <v>46193</v>
      </c>
    </row>
    <row r="130">
      <c r="A130" t="inlineStr">
        <is>
          <t>CTRL-T007</t>
        </is>
      </c>
      <c r="B130" t="inlineStr">
        <is>
          <t>Service Cloud Case Management</t>
        </is>
      </c>
      <c r="C130" t="inlineStr">
        <is>
          <t>Seeham Saber Hussain</t>
        </is>
      </c>
      <c r="D130" t="inlineStr">
        <is>
          <t>P1</t>
        </is>
      </c>
      <c r="E130" t="inlineStr">
        <is>
          <t>Completed</t>
        </is>
      </c>
      <c r="F130" s="99" t="n">
        <v>46184</v>
      </c>
      <c r="G130" s="99" t="n">
        <v>46190</v>
      </c>
    </row>
    <row r="131">
      <c r="A131" t="inlineStr">
        <is>
          <t>CTRL-T008</t>
        </is>
      </c>
      <c r="B131" t="inlineStr">
        <is>
          <t>QB Integration - Design Phase</t>
        </is>
      </c>
      <c r="C131" t="inlineStr">
        <is>
          <t>Sureshkumar Gidugu</t>
        </is>
      </c>
      <c r="D131" t="inlineStr">
        <is>
          <t>P1</t>
        </is>
      </c>
      <c r="E131" t="inlineStr">
        <is>
          <t>In Progress</t>
        </is>
      </c>
      <c r="F131" s="99" t="n">
        <v>46191</v>
      </c>
      <c r="G131" s="99" t="n">
        <v>46214</v>
      </c>
    </row>
    <row r="132">
      <c r="A132" t="inlineStr">
        <is>
          <t>CTRL-T009</t>
        </is>
      </c>
      <c r="B132" t="inlineStr">
        <is>
          <t>UAT Test Plan Creation</t>
        </is>
      </c>
      <c r="C132" t="inlineStr">
        <is>
          <t>Tejaswini Reddy Tamma</t>
        </is>
      </c>
      <c r="D132" t="inlineStr">
        <is>
          <t>P2</t>
        </is>
      </c>
      <c r="E132" t="inlineStr">
        <is>
          <t>Completed</t>
        </is>
      </c>
      <c r="F132" s="99" t="n">
        <v>46188</v>
      </c>
      <c r="G132" s="99" t="n">
        <v>46191</v>
      </c>
    </row>
    <row r="133">
      <c r="A133" t="inlineStr">
        <is>
          <t>CTRL-T010</t>
        </is>
      </c>
      <c r="B133" t="inlineStr">
        <is>
          <t>Custom Report Development - 40 hrs</t>
        </is>
      </c>
      <c r="C133" t="inlineStr">
        <is>
          <t>Nagarjuna Reddy Sadhu</t>
        </is>
      </c>
      <c r="D133" t="inlineStr">
        <is>
          <t>P3</t>
        </is>
      </c>
      <c r="E133" t="inlineStr">
        <is>
          <t>Completed</t>
        </is>
      </c>
      <c r="F133" s="99" t="n">
        <v>46193</v>
      </c>
      <c r="G133" s="99" t="n">
        <v>46203</v>
      </c>
    </row>
    <row r="134">
      <c r="A134" t="inlineStr">
        <is>
          <t>CTRL-T011</t>
        </is>
      </c>
      <c r="B134" t="inlineStr">
        <is>
          <t>UAT Execution &amp; Client Sign-off</t>
        </is>
      </c>
      <c r="C134" t="inlineStr">
        <is>
          <t>Tejaswini Reddy Tamma</t>
        </is>
      </c>
      <c r="D134" t="inlineStr">
        <is>
          <t>P1</t>
        </is>
      </c>
      <c r="E134" t="inlineStr">
        <is>
          <t>In Progress</t>
        </is>
      </c>
      <c r="F134" s="99" t="n">
        <v>46203</v>
      </c>
      <c r="G134" s="99" t="n">
        <v>46214</v>
      </c>
    </row>
    <row r="135">
      <c r="A135" t="inlineStr">
        <is>
          <t>CTRL-T012</t>
        </is>
      </c>
      <c r="B135" t="inlineStr">
        <is>
          <t>QB Integration - Development</t>
        </is>
      </c>
      <c r="C135" t="inlineStr">
        <is>
          <t>Sureshkumar Gidugu</t>
        </is>
      </c>
      <c r="D135" t="inlineStr">
        <is>
          <t>P1</t>
        </is>
      </c>
      <c r="E135" t="inlineStr">
        <is>
          <t>Blocked</t>
        </is>
      </c>
      <c r="F135" s="99" t="n">
        <v>46198</v>
      </c>
      <c r="G135" s="99" t="n">
        <v>46229</v>
      </c>
    </row>
    <row r="136">
      <c r="A136" t="inlineStr">
        <is>
          <t>CTRL-T013</t>
        </is>
      </c>
      <c r="B136" t="inlineStr">
        <is>
          <t>Bug Fixes Round 1</t>
        </is>
      </c>
      <c r="C136" t="inlineStr">
        <is>
          <t>Jeevan Babu Paruchuri</t>
        </is>
      </c>
      <c r="D136" t="inlineStr">
        <is>
          <t>P1</t>
        </is>
      </c>
      <c r="E136" t="inlineStr">
        <is>
          <t>In Progress</t>
        </is>
      </c>
      <c r="F136" s="99" t="n">
        <v>46203</v>
      </c>
      <c r="G136" s="99" t="n">
        <v>46214</v>
      </c>
    </row>
    <row r="137">
      <c r="A137" t="inlineStr">
        <is>
          <t>CTRL-T014</t>
        </is>
      </c>
      <c r="B137" t="inlineStr">
        <is>
          <t>Go-Live Preparation &amp; Checklist</t>
        </is>
      </c>
      <c r="C137" t="inlineStr">
        <is>
          <t>Ester Rani Ganji</t>
        </is>
      </c>
      <c r="D137" t="inlineStr">
        <is>
          <t>P1</t>
        </is>
      </c>
      <c r="E137" t="inlineStr">
        <is>
          <t>To Do</t>
        </is>
      </c>
      <c r="F137" s="99" t="n">
        <v>46215</v>
      </c>
      <c r="G137" s="99" t="n">
        <v>46221</v>
      </c>
    </row>
    <row r="138">
      <c r="A138" t="inlineStr">
        <is>
          <t>CTRL-T015</t>
        </is>
      </c>
      <c r="B138" t="inlineStr">
        <is>
          <t>Production Deployment</t>
        </is>
      </c>
      <c r="C138" t="inlineStr">
        <is>
          <t>Akhil Kotagiri</t>
        </is>
      </c>
      <c r="D138" t="inlineStr">
        <is>
          <t>P1</t>
        </is>
      </c>
      <c r="E138" t="inlineStr">
        <is>
          <t>To Do</t>
        </is>
      </c>
      <c r="F138" s="99" t="n">
        <v>46221</v>
      </c>
      <c r="G138" s="99" t="n">
        <v>46224</v>
      </c>
    </row>
    <row r="139">
      <c r="F139" s="99" t="n"/>
      <c r="G139" s="99" t="n"/>
    </row>
    <row r="140">
      <c r="F140" s="99" t="n"/>
      <c r="G140" s="99" t="n"/>
    </row>
    <row r="141">
      <c r="F141" s="99" t="n"/>
      <c r="G141" s="99" t="n"/>
    </row>
    <row r="142">
      <c r="F142" s="99" t="n"/>
      <c r="G142" s="99" t="n"/>
    </row>
    <row r="143">
      <c r="F143" s="99" t="n"/>
      <c r="G143" s="99" t="n"/>
    </row>
    <row r="144">
      <c r="F144" s="99" t="n"/>
      <c r="G144" s="99" t="n"/>
    </row>
    <row r="145">
      <c r="F145" s="99" t="n"/>
      <c r="G145" s="99" t="n"/>
    </row>
    <row r="146">
      <c r="F146" s="99" t="n"/>
      <c r="G146" s="99" t="n"/>
    </row>
    <row r="147">
      <c r="F147" s="99" t="n"/>
      <c r="G147" s="99" t="n"/>
    </row>
    <row r="148">
      <c r="F148" s="99" t="n"/>
      <c r="G148" s="99" t="n"/>
    </row>
    <row r="149">
      <c r="F149" s="99" t="n"/>
      <c r="G149" s="99" t="n"/>
    </row>
    <row r="150">
      <c r="F150" s="99" t="n"/>
      <c r="G150" s="99" t="n"/>
    </row>
    <row r="151">
      <c r="F151" s="99" t="n"/>
      <c r="G151" s="99" t="n"/>
    </row>
    <row r="152">
      <c r="A152" s="97">
        <f t="array" ref="A152">"P002 · "&amp;'Project Dashboard'!$B$7&amp;" — Bugs ("&amp;SUMPRODUCT(('Work Items'!$A$6:$A$64="Bug")*('Work Items'!$D$6:$D$64='Project Dashboard'!$B$7))&amp;")"</f>
        <v/>
      </c>
    </row>
    <row r="153">
      <c r="A153" s="98" t="inlineStr">
        <is>
          <t>ID</t>
        </is>
      </c>
      <c r="B153" s="98" t="inlineStr">
        <is>
          <t>Summary</t>
        </is>
      </c>
      <c r="C153" s="98" t="inlineStr">
        <is>
          <t>Assigned To</t>
        </is>
      </c>
      <c r="D153" s="98" t="inlineStr">
        <is>
          <t>Priority</t>
        </is>
      </c>
      <c r="E153" s="98" t="inlineStr">
        <is>
          <t>Status</t>
        </is>
      </c>
      <c r="F153" s="98" t="inlineStr">
        <is>
          <t>Start</t>
        </is>
      </c>
      <c r="G153" s="98" t="inlineStr">
        <is>
          <t>End</t>
        </is>
      </c>
    </row>
    <row r="154">
      <c r="A154">
        <f t="array" ref="A154:G157">IFERROR(_xlfn._xlws.FILTER(CHOOSE({1,2,3,4,5,6,7},'Work Items'!$B$6:$B$64,'Work Items'!$C$6:$C$64,'Work Items'!$J$6:$J$64,'Work Items'!$K$6:$K$64,'Work Items'!$L$6:$L$64,'Work Items'!$P$6:$P$64,'Work Items'!$Q$6:$Q$64),('Work Items'!$A$6:$A$64="Bug")*('Work Items'!$D$6:$D$64='Project Dashboard'!$B$7),"— none —"),"— none —")</f>
        <v/>
      </c>
      <c r="B154" t="inlineStr">
        <is>
          <t>FSL Work Order not auto-creating Service Appointment</t>
        </is>
      </c>
      <c r="C154" t="inlineStr">
        <is>
          <t>Vishnudeep</t>
        </is>
      </c>
      <c r="D154" t="inlineStr">
        <is>
          <t>P1</t>
        </is>
      </c>
      <c r="E154" t="inlineStr">
        <is>
          <t>Fixed</t>
        </is>
      </c>
      <c r="F154" s="99" t="n">
        <v>46191</v>
      </c>
      <c r="G154" s="99" t="n">
        <v>46194</v>
      </c>
    </row>
    <row r="155">
      <c r="A155" t="inlineStr">
        <is>
          <t>CTRL-B002</t>
        </is>
      </c>
      <c r="B155" t="inlineStr">
        <is>
          <t>QB sync creating duplicate invoice records</t>
        </is>
      </c>
      <c r="C155" t="inlineStr">
        <is>
          <t>Sureshkumar Gidugu</t>
        </is>
      </c>
      <c r="D155" t="inlineStr">
        <is>
          <t>P1</t>
        </is>
      </c>
      <c r="E155" t="inlineStr">
        <is>
          <t>In Progress</t>
        </is>
      </c>
      <c r="F155" s="99" t="n">
        <v>46195</v>
      </c>
      <c r="G155" s="99" t="n">
        <v>46214</v>
      </c>
    </row>
    <row r="156">
      <c r="A156" t="inlineStr">
        <is>
          <t>CTRL-B003</t>
        </is>
      </c>
      <c r="B156" t="inlineStr">
        <is>
          <t>Custom report date filter ignoring timezone offset</t>
        </is>
      </c>
      <c r="C156" t="inlineStr">
        <is>
          <t>Nagarjuna Reddy Sadhu</t>
        </is>
      </c>
      <c r="D156" t="inlineStr">
        <is>
          <t>P3</t>
        </is>
      </c>
      <c r="E156" t="inlineStr">
        <is>
          <t>Open</t>
        </is>
      </c>
      <c r="F156" s="99" t="n">
        <v>46201</v>
      </c>
      <c r="G156" s="99" t="n">
        <v>46214</v>
      </c>
    </row>
    <row r="157">
      <c r="A157" t="inlineStr">
        <is>
          <t>CTRL-B004</t>
        </is>
      </c>
      <c r="B157" t="inlineStr">
        <is>
          <t>Permission set missing field access for Service Manager</t>
        </is>
      </c>
      <c r="C157" t="inlineStr">
        <is>
          <t>Akhil Kotagiri</t>
        </is>
      </c>
      <c r="D157" t="inlineStr">
        <is>
          <t>P2</t>
        </is>
      </c>
      <c r="E157" t="inlineStr">
        <is>
          <t>Fixed</t>
        </is>
      </c>
      <c r="F157" s="99" t="n">
        <v>46202</v>
      </c>
      <c r="G157" s="99" t="n">
        <v>46203</v>
      </c>
    </row>
    <row r="158">
      <c r="F158" s="99" t="n"/>
      <c r="G158" s="99" t="n"/>
    </row>
    <row r="159">
      <c r="F159" s="99" t="n"/>
      <c r="G159" s="99" t="n"/>
    </row>
    <row r="160">
      <c r="F160" s="99" t="n"/>
      <c r="G160" s="99" t="n"/>
    </row>
    <row r="161">
      <c r="F161" s="99" t="n"/>
      <c r="G161" s="99" t="n"/>
    </row>
    <row r="162">
      <c r="F162" s="99" t="n"/>
      <c r="G162" s="99" t="n"/>
    </row>
    <row r="163">
      <c r="F163" s="99" t="n"/>
      <c r="G163" s="99" t="n"/>
    </row>
    <row r="164">
      <c r="F164" s="99" t="n"/>
      <c r="G164" s="99" t="n"/>
    </row>
    <row r="165">
      <c r="F165" s="99" t="n"/>
      <c r="G165" s="99" t="n"/>
    </row>
    <row r="166">
      <c r="F166" s="99" t="n"/>
      <c r="G166" s="99" t="n"/>
    </row>
    <row r="167">
      <c r="F167" s="99" t="n"/>
      <c r="G167" s="99" t="n"/>
    </row>
    <row r="168">
      <c r="F168" s="99" t="n"/>
      <c r="G168" s="99" t="n"/>
    </row>
    <row r="169">
      <c r="F169" s="99" t="n"/>
      <c r="G169" s="99" t="n"/>
    </row>
    <row r="170">
      <c r="F170" s="99" t="n"/>
      <c r="G170" s="99" t="n"/>
    </row>
    <row r="171">
      <c r="F171" s="99" t="n"/>
      <c r="G171" s="99" t="n"/>
    </row>
    <row r="172">
      <c r="F172" s="99" t="n"/>
      <c r="G172" s="99" t="n"/>
    </row>
    <row r="173">
      <c r="F173" s="99" t="n"/>
      <c r="G173" s="99" t="n"/>
    </row>
    <row r="174">
      <c r="F174" s="99" t="n"/>
      <c r="G174" s="99" t="n"/>
    </row>
    <row r="175">
      <c r="F175" s="99" t="n"/>
      <c r="G175" s="99" t="n"/>
    </row>
    <row r="176">
      <c r="F176" s="99" t="n"/>
      <c r="G176" s="99" t="n"/>
    </row>
    <row r="177">
      <c r="F177" s="99" t="n"/>
      <c r="G177" s="99" t="n"/>
    </row>
    <row r="178">
      <c r="F178" s="99" t="n"/>
      <c r="G178" s="99" t="n"/>
    </row>
    <row r="179">
      <c r="F179" s="99" t="n"/>
      <c r="G179" s="99" t="n"/>
    </row>
    <row r="180">
      <c r="F180" s="99" t="n"/>
      <c r="G180" s="99" t="n"/>
    </row>
    <row r="181">
      <c r="F181" s="99" t="n"/>
      <c r="G181" s="99" t="n"/>
    </row>
    <row r="182">
      <c r="A182" s="97">
        <f t="array" ref="A182">"P002 · "&amp;'Project Dashboard'!$B$7&amp;" — Risks +OrgRisk ("&amp;SUMPRODUCT(('Work Items'!$A$6:$A$64="Risk")*(('Work Items'!$D$6:$D$64='Project Dashboard'!$B$7)+(COUNTIF('Projects Master'!$B$5:$B$9,'Work Items'!$D$6:$D$64)=0)))&amp;")"</f>
        <v/>
      </c>
    </row>
    <row r="183">
      <c r="A183" s="98" t="inlineStr">
        <is>
          <t>ID</t>
        </is>
      </c>
      <c r="B183" s="98" t="inlineStr">
        <is>
          <t>Summary</t>
        </is>
      </c>
      <c r="C183" s="98" t="inlineStr">
        <is>
          <t>Assigned To</t>
        </is>
      </c>
      <c r="D183" s="98" t="inlineStr">
        <is>
          <t>Priority</t>
        </is>
      </c>
      <c r="E183" s="98" t="inlineStr">
        <is>
          <t>Status</t>
        </is>
      </c>
      <c r="F183" s="98" t="inlineStr">
        <is>
          <t>Start</t>
        </is>
      </c>
      <c r="G183" s="98" t="inlineStr">
        <is>
          <t>End</t>
        </is>
      </c>
    </row>
    <row r="184">
      <c r="A184">
        <f t="array" ref="A184:G185">IFERROR(_xlfn._xlws.FILTER(CHOOSE({1,2,3,4,5,6,7},'Work Items'!$B$6:$B$64,'Work Items'!$C$6:$C$64,'Work Items'!$J$6:$J$64,'Work Items'!$K$6:$K$64,'Work Items'!$L$6:$L$64,'Work Items'!$P$6:$P$64,'Work Items'!$Q$6:$Q$64),('Work Items'!$A$6:$A$64="Risk")*(('Work Items'!$D$6:$D$64='Project Dashboard'!$B$7)+(COUNTIF('Projects Master'!$B$5:$B$9,'Work Items'!$D$6:$D$64)=0)),"— none —"),"— none —")</f>
        <v/>
      </c>
      <c r="B184" t="inlineStr">
        <is>
          <t>Effort Overrun - 107 Hours</t>
        </is>
      </c>
      <c r="C184" t="inlineStr">
        <is>
          <t>Ester Rani Ganji</t>
        </is>
      </c>
      <c r="D184" t="inlineStr">
        <is>
          <t>P1</t>
        </is>
      </c>
      <c r="E184" t="inlineStr">
        <is>
          <t>Open</t>
        </is>
      </c>
      <c r="F184" s="99" t="n">
        <v>46203</v>
      </c>
      <c r="G184" s="99" t="n">
        <v>46229</v>
      </c>
    </row>
    <row r="185">
      <c r="A185" t="inlineStr">
        <is>
          <t>CTRL-RK002</t>
        </is>
      </c>
      <c r="B185" t="inlineStr">
        <is>
          <t>QB Integration - Unscoped Requirement</t>
        </is>
      </c>
      <c r="C185" t="inlineStr">
        <is>
          <t>Ester Rani Ganji</t>
        </is>
      </c>
      <c r="D185" t="inlineStr">
        <is>
          <t>P1</t>
        </is>
      </c>
      <c r="E185" t="inlineStr">
        <is>
          <t>Open</t>
        </is>
      </c>
      <c r="F185" s="99" t="n">
        <v>46193</v>
      </c>
      <c r="G185" s="99" t="n">
        <v>46244</v>
      </c>
    </row>
    <row r="186">
      <c r="F186" s="99" t="n"/>
      <c r="G186" s="99" t="n"/>
    </row>
    <row r="187">
      <c r="F187" s="99" t="n"/>
      <c r="G187" s="99" t="n"/>
    </row>
    <row r="188">
      <c r="F188" s="99" t="n"/>
      <c r="G188" s="99" t="n"/>
    </row>
    <row r="189">
      <c r="F189" s="99" t="n"/>
      <c r="G189" s="99" t="n"/>
    </row>
    <row r="190">
      <c r="F190" s="99" t="n"/>
      <c r="G190" s="99" t="n"/>
    </row>
    <row r="191">
      <c r="F191" s="99" t="n"/>
      <c r="G191" s="99" t="n"/>
    </row>
    <row r="192">
      <c r="F192" s="99" t="n"/>
      <c r="G192" s="99" t="n"/>
    </row>
    <row r="193">
      <c r="F193" s="99" t="n"/>
      <c r="G193" s="99" t="n"/>
    </row>
    <row r="194">
      <c r="F194" s="99" t="n"/>
      <c r="G194" s="99" t="n"/>
    </row>
    <row r="195">
      <c r="F195" s="99" t="n"/>
      <c r="G195" s="99" t="n"/>
    </row>
    <row r="196">
      <c r="F196" s="99" t="n"/>
      <c r="G196" s="99" t="n"/>
    </row>
    <row r="197">
      <c r="F197" s="99" t="n"/>
      <c r="G197" s="99" t="n"/>
    </row>
    <row r="198">
      <c r="F198" s="99" t="n"/>
      <c r="G198" s="99" t="n"/>
    </row>
    <row r="199">
      <c r="F199" s="99" t="n"/>
      <c r="G199" s="99" t="n"/>
    </row>
    <row r="200">
      <c r="F200" s="99" t="n"/>
      <c r="G200" s="99" t="n"/>
    </row>
    <row r="201">
      <c r="F201" s="99" t="n"/>
      <c r="G201" s="99" t="n"/>
    </row>
    <row r="202">
      <c r="F202" s="99" t="n"/>
      <c r="G202" s="99" t="n"/>
    </row>
    <row r="203">
      <c r="F203" s="99" t="n"/>
      <c r="G203" s="99" t="n"/>
    </row>
    <row r="204">
      <c r="F204" s="99" t="n"/>
      <c r="G204" s="99" t="n"/>
    </row>
    <row r="205">
      <c r="F205" s="99" t="n"/>
      <c r="G205" s="99" t="n"/>
    </row>
    <row r="206">
      <c r="F206" s="99" t="n"/>
      <c r="G206" s="99" t="n"/>
    </row>
    <row r="207">
      <c r="F207" s="99" t="n"/>
      <c r="G207" s="99" t="n"/>
    </row>
    <row r="208">
      <c r="F208" s="99" t="n"/>
      <c r="G208" s="99" t="n"/>
    </row>
    <row r="209">
      <c r="F209" s="99" t="n"/>
      <c r="G209" s="99" t="n"/>
    </row>
    <row r="210">
      <c r="F210" s="99" t="n"/>
      <c r="G210" s="99" t="n"/>
    </row>
    <row r="211">
      <c r="F211" s="99" t="n"/>
      <c r="G211" s="99" t="n"/>
    </row>
    <row r="212">
      <c r="A212" s="97">
        <f t="array" ref="A212">"P002 · "&amp;'Project Dashboard'!$B$7&amp;" — CRs ("&amp;SUMPRODUCT(('Work Items'!$A$6:$A$64="CR")*('Work Items'!$D$6:$D$64='Project Dashboard'!$B$7))&amp;")"</f>
        <v/>
      </c>
    </row>
    <row r="213">
      <c r="A213" s="98" t="inlineStr">
        <is>
          <t>ID</t>
        </is>
      </c>
      <c r="B213" s="98" t="inlineStr">
        <is>
          <t>Summary</t>
        </is>
      </c>
      <c r="C213" s="98" t="inlineStr">
        <is>
          <t>Assigned To</t>
        </is>
      </c>
      <c r="D213" s="98" t="inlineStr">
        <is>
          <t>Priority</t>
        </is>
      </c>
      <c r="E213" s="98" t="inlineStr">
        <is>
          <t>Status</t>
        </is>
      </c>
      <c r="F213" s="98" t="inlineStr">
        <is>
          <t>Start</t>
        </is>
      </c>
      <c r="G213" s="98" t="inlineStr">
        <is>
          <t>End</t>
        </is>
      </c>
    </row>
    <row r="214">
      <c r="A214">
        <f t="array" ref="A214:G215">IFERROR(_xlfn._xlws.FILTER(CHOOSE({1,2,3,4,5,6,7},'Work Items'!$B$6:$B$64,'Work Items'!$C$6:$C$64,'Work Items'!$J$6:$J$64,'Work Items'!$K$6:$K$64,'Work Items'!$L$6:$L$64,'Work Items'!$P$6:$P$64,'Work Items'!$Q$6:$Q$64),('Work Items'!$A$6:$A$64="CR")*('Work Items'!$D$6:$D$64='Project Dashboard'!$B$7),"— none —"),"— none —")</f>
        <v/>
      </c>
      <c r="B214" t="inlineStr">
        <is>
          <t>QB Integration - New Scope Addition</t>
        </is>
      </c>
      <c r="C214" t="inlineStr">
        <is>
          <t>Ester Rani Ganji</t>
        </is>
      </c>
      <c r="D214" t="inlineStr">
        <is>
          <t>P1</t>
        </is>
      </c>
      <c r="E214" t="inlineStr">
        <is>
          <t>Pending Approval</t>
        </is>
      </c>
      <c r="F214" s="99" t="n">
        <v>46193</v>
      </c>
      <c r="G214" s="99" t="n">
        <v>46229</v>
      </c>
    </row>
    <row r="215">
      <c r="A215" t="inlineStr">
        <is>
          <t>CTRL-CR002</t>
        </is>
      </c>
      <c r="B215" t="inlineStr">
        <is>
          <t>Additional Custom Reports - 40 hrs</t>
        </is>
      </c>
      <c r="C215" t="inlineStr">
        <is>
          <t>Ester Rani Ganji</t>
        </is>
      </c>
      <c r="D215" t="inlineStr">
        <is>
          <t>P2</t>
        </is>
      </c>
      <c r="E215" t="inlineStr">
        <is>
          <t>Approved</t>
        </is>
      </c>
      <c r="F215" s="99" t="n">
        <v>46184</v>
      </c>
      <c r="G215" s="99" t="n">
        <v>46203</v>
      </c>
    </row>
    <row r="216">
      <c r="F216" s="99" t="n"/>
      <c r="G216" s="99" t="n"/>
    </row>
    <row r="217">
      <c r="F217" s="99" t="n"/>
      <c r="G217" s="99" t="n"/>
    </row>
    <row r="218">
      <c r="F218" s="99" t="n"/>
      <c r="G218" s="99" t="n"/>
    </row>
    <row r="219">
      <c r="F219" s="99" t="n"/>
      <c r="G219" s="99" t="n"/>
    </row>
    <row r="220">
      <c r="F220" s="99" t="n"/>
      <c r="G220" s="99" t="n"/>
    </row>
    <row r="221">
      <c r="F221" s="99" t="n"/>
      <c r="G221" s="99" t="n"/>
    </row>
    <row r="222">
      <c r="F222" s="99" t="n"/>
      <c r="G222" s="99" t="n"/>
    </row>
    <row r="223">
      <c r="F223" s="99" t="n"/>
      <c r="G223" s="99" t="n"/>
    </row>
    <row r="224">
      <c r="F224" s="99" t="n"/>
      <c r="G224" s="99" t="n"/>
    </row>
    <row r="225">
      <c r="F225" s="99" t="n"/>
      <c r="G225" s="99" t="n"/>
    </row>
    <row r="226">
      <c r="F226" s="99" t="n"/>
      <c r="G226" s="99" t="n"/>
    </row>
    <row r="227">
      <c r="F227" s="99" t="n"/>
      <c r="G227" s="99" t="n"/>
    </row>
    <row r="228">
      <c r="F228" s="99" t="n"/>
      <c r="G228" s="99" t="n"/>
    </row>
    <row r="229">
      <c r="F229" s="99" t="n"/>
      <c r="G229" s="99" t="n"/>
    </row>
    <row r="230">
      <c r="F230" s="99" t="n"/>
      <c r="G230" s="99" t="n"/>
    </row>
    <row r="231">
      <c r="F231" s="99" t="n"/>
      <c r="G231" s="99" t="n"/>
    </row>
    <row r="232">
      <c r="F232" s="99" t="n"/>
      <c r="G232" s="99" t="n"/>
    </row>
    <row r="233">
      <c r="F233" s="99" t="n"/>
      <c r="G233" s="99" t="n"/>
    </row>
    <row r="234">
      <c r="F234" s="99" t="n"/>
      <c r="G234" s="99" t="n"/>
    </row>
    <row r="235">
      <c r="F235" s="99" t="n"/>
      <c r="G235" s="99" t="n"/>
    </row>
    <row r="236">
      <c r="F236" s="99" t="n"/>
      <c r="G236" s="99" t="n"/>
    </row>
    <row r="237">
      <c r="F237" s="99" t="n"/>
      <c r="G237" s="99" t="n"/>
    </row>
    <row r="238">
      <c r="F238" s="99" t="n"/>
      <c r="G238" s="99" t="n"/>
    </row>
    <row r="239">
      <c r="F239" s="99" t="n"/>
      <c r="G239" s="99" t="n"/>
    </row>
    <row r="240">
      <c r="F240" s="99" t="n"/>
      <c r="G240" s="99" t="n"/>
    </row>
    <row r="241">
      <c r="F241" s="99" t="n"/>
      <c r="G241" s="99" t="n"/>
    </row>
    <row r="242">
      <c r="A242" s="97">
        <f t="array" ref="A242">"P003 · "&amp;'Project Dashboard'!$B$8&amp;" — Tasks ("&amp;SUMPRODUCT(('Work Items'!$A$6:$A$64="Task")*('Work Items'!$D$6:$D$64='Project Dashboard'!$B$8))&amp;")"</f>
        <v/>
      </c>
    </row>
    <row r="243">
      <c r="A243" s="98" t="inlineStr">
        <is>
          <t>ID</t>
        </is>
      </c>
      <c r="B243" s="98" t="inlineStr">
        <is>
          <t>Summary</t>
        </is>
      </c>
      <c r="C243" s="98" t="inlineStr">
        <is>
          <t>Assigned To</t>
        </is>
      </c>
      <c r="D243" s="98" t="inlineStr">
        <is>
          <t>Priority</t>
        </is>
      </c>
      <c r="E243" s="98" t="inlineStr">
        <is>
          <t>Status</t>
        </is>
      </c>
      <c r="F243" s="98" t="inlineStr">
        <is>
          <t>Start</t>
        </is>
      </c>
      <c r="G243" s="98" t="inlineStr">
        <is>
          <t>End</t>
        </is>
      </c>
    </row>
    <row r="244">
      <c r="A244">
        <f t="array" ref="A244:G246">IFERROR(_xlfn._xlws.FILTER(CHOOSE({1,2,3,4,5,6,7},'Work Items'!$B$6:$B$64,'Work Items'!$C$6:$C$64,'Work Items'!$J$6:$J$64,'Work Items'!$K$6:$K$64,'Work Items'!$L$6:$L$64,'Work Items'!$P$6:$P$64,'Work Items'!$Q$6:$Q$64),('Work Items'!$A$6:$A$64="Task")*('Work Items'!$D$6:$D$64='Project Dashboard'!$B$8),"— none —"),"— none —")</f>
        <v/>
      </c>
      <c r="B244" t="inlineStr">
        <is>
          <t>Levata Support - Jul Tasks</t>
        </is>
      </c>
      <c r="C244" t="inlineStr">
        <is>
          <t>Kailash Reddy</t>
        </is>
      </c>
      <c r="D244" t="inlineStr">
        <is>
          <t>P2</t>
        </is>
      </c>
      <c r="E244" t="inlineStr">
        <is>
          <t>Completed</t>
        </is>
      </c>
      <c r="F244" s="99" t="n">
        <v>46204</v>
      </c>
      <c r="G244" s="99" t="n">
        <v>46234</v>
      </c>
    </row>
    <row r="245">
      <c r="A245" t="inlineStr">
        <is>
          <t>LEV-T002</t>
        </is>
      </c>
      <c r="B245" t="inlineStr">
        <is>
          <t>Levata Support - Aug Tasks</t>
        </is>
      </c>
      <c r="C245" t="inlineStr">
        <is>
          <t>Mohandasaiah Garikapati</t>
        </is>
      </c>
      <c r="D245" t="inlineStr">
        <is>
          <t>P2</t>
        </is>
      </c>
      <c r="E245" t="inlineStr">
        <is>
          <t>In Progress</t>
        </is>
      </c>
      <c r="F245" s="99" t="n">
        <v>46235</v>
      </c>
      <c r="G245" s="99" t="n">
        <v>46265</v>
      </c>
    </row>
    <row r="246">
      <c r="A246" t="inlineStr">
        <is>
          <t>LEV-T003</t>
        </is>
      </c>
      <c r="B246" t="inlineStr">
        <is>
          <t>SOW Amendment Coordination</t>
        </is>
      </c>
      <c r="C246" t="inlineStr">
        <is>
          <t>Ester Rani Ganji</t>
        </is>
      </c>
      <c r="D246" t="inlineStr">
        <is>
          <t>P2</t>
        </is>
      </c>
      <c r="E246" t="inlineStr">
        <is>
          <t>In Progress</t>
        </is>
      </c>
      <c r="F246" s="99" t="n">
        <v>46218</v>
      </c>
      <c r="G246" s="99" t="n">
        <v>46249</v>
      </c>
    </row>
    <row r="247">
      <c r="F247" s="99" t="n"/>
      <c r="G247" s="99" t="n"/>
    </row>
    <row r="248">
      <c r="F248" s="99" t="n"/>
      <c r="G248" s="99" t="n"/>
    </row>
    <row r="249">
      <c r="F249" s="99" t="n"/>
      <c r="G249" s="99" t="n"/>
    </row>
    <row r="250">
      <c r="F250" s="99" t="n"/>
      <c r="G250" s="99" t="n"/>
    </row>
    <row r="251">
      <c r="F251" s="99" t="n"/>
      <c r="G251" s="99" t="n"/>
    </row>
    <row r="252">
      <c r="F252" s="99" t="n"/>
      <c r="G252" s="99" t="n"/>
    </row>
    <row r="253">
      <c r="F253" s="99" t="n"/>
      <c r="G253" s="99" t="n"/>
    </row>
    <row r="254">
      <c r="F254" s="99" t="n"/>
      <c r="G254" s="99" t="n"/>
    </row>
    <row r="255">
      <c r="F255" s="99" t="n"/>
      <c r="G255" s="99" t="n"/>
    </row>
    <row r="256">
      <c r="F256" s="99" t="n"/>
      <c r="G256" s="99" t="n"/>
    </row>
    <row r="257">
      <c r="F257" s="99" t="n"/>
      <c r="G257" s="99" t="n"/>
    </row>
    <row r="258">
      <c r="F258" s="99" t="n"/>
      <c r="G258" s="99" t="n"/>
    </row>
    <row r="259">
      <c r="F259" s="99" t="n"/>
      <c r="G259" s="99" t="n"/>
    </row>
    <row r="260">
      <c r="F260" s="99" t="n"/>
      <c r="G260" s="99" t="n"/>
    </row>
    <row r="261">
      <c r="F261" s="99" t="n"/>
      <c r="G261" s="99" t="n"/>
    </row>
    <row r="262">
      <c r="F262" s="99" t="n"/>
      <c r="G262" s="99" t="n"/>
    </row>
    <row r="263">
      <c r="F263" s="99" t="n"/>
      <c r="G263" s="99" t="n"/>
    </row>
    <row r="264">
      <c r="F264" s="99" t="n"/>
      <c r="G264" s="99" t="n"/>
    </row>
    <row r="265">
      <c r="F265" s="99" t="n"/>
      <c r="G265" s="99" t="n"/>
    </row>
    <row r="266">
      <c r="F266" s="99" t="n"/>
      <c r="G266" s="99" t="n"/>
    </row>
    <row r="267">
      <c r="F267" s="99" t="n"/>
      <c r="G267" s="99" t="n"/>
    </row>
    <row r="268">
      <c r="F268" s="99" t="n"/>
      <c r="G268" s="99" t="n"/>
    </row>
    <row r="269">
      <c r="F269" s="99" t="n"/>
      <c r="G269" s="99" t="n"/>
    </row>
    <row r="270">
      <c r="F270" s="99" t="n"/>
      <c r="G270" s="99" t="n"/>
    </row>
    <row r="271">
      <c r="F271" s="99" t="n"/>
      <c r="G271" s="99" t="n"/>
    </row>
    <row r="272">
      <c r="A272" s="97">
        <f t="array" ref="A272">"P003 · "&amp;'Project Dashboard'!$B$8&amp;" — Bugs ("&amp;SUMPRODUCT(('Work Items'!$A$6:$A$64="Bug")*('Work Items'!$D$6:$D$64='Project Dashboard'!$B$8))&amp;")"</f>
        <v/>
      </c>
    </row>
    <row r="273">
      <c r="A273" s="98" t="inlineStr">
        <is>
          <t>ID</t>
        </is>
      </c>
      <c r="B273" s="98" t="inlineStr">
        <is>
          <t>Summary</t>
        </is>
      </c>
      <c r="C273" s="98" t="inlineStr">
        <is>
          <t>Assigned To</t>
        </is>
      </c>
      <c r="D273" s="98" t="inlineStr">
        <is>
          <t>Priority</t>
        </is>
      </c>
      <c r="E273" s="98" t="inlineStr">
        <is>
          <t>Status</t>
        </is>
      </c>
      <c r="F273" s="98" t="inlineStr">
        <is>
          <t>Start</t>
        </is>
      </c>
      <c r="G273" s="98" t="inlineStr">
        <is>
          <t>End</t>
        </is>
      </c>
    </row>
    <row r="274">
      <c r="A274">
        <f t="array" ref="A274:G274">IFERROR(_xlfn._xlws.FILTER(CHOOSE({1,2,3,4,5,6,7},'Work Items'!$B$6:$B$64,'Work Items'!$C$6:$C$64,'Work Items'!$J$6:$J$64,'Work Items'!$K$6:$K$64,'Work Items'!$L$6:$L$64,'Work Items'!$P$6:$P$64,'Work Items'!$Q$6:$Q$64),('Work Items'!$A$6:$A$64="Bug")*('Work Items'!$D$6:$D$64='Project Dashboard'!$B$8),"— none —"),"— none —")</f>
        <v/>
      </c>
      <c r="B274" t="inlineStr">
        <is>
          <t>Dashboard filters not persisting across sessions</t>
        </is>
      </c>
      <c r="C274" t="inlineStr">
        <is>
          <t>Kailash Reddy</t>
        </is>
      </c>
      <c r="D274" t="inlineStr">
        <is>
          <t>P3</t>
        </is>
      </c>
      <c r="E274" t="inlineStr">
        <is>
          <t>Open</t>
        </is>
      </c>
      <c r="F274" s="99" t="n">
        <v>46235</v>
      </c>
      <c r="G274" s="99" t="n">
        <v>46249</v>
      </c>
    </row>
    <row r="275">
      <c r="F275" s="99" t="n"/>
      <c r="G275" s="99" t="n"/>
    </row>
    <row r="276">
      <c r="F276" s="99" t="n"/>
      <c r="G276" s="99" t="n"/>
    </row>
    <row r="277">
      <c r="F277" s="99" t="n"/>
      <c r="G277" s="99" t="n"/>
    </row>
    <row r="278">
      <c r="F278" s="99" t="n"/>
      <c r="G278" s="99" t="n"/>
    </row>
    <row r="279">
      <c r="F279" s="99" t="n"/>
      <c r="G279" s="99" t="n"/>
    </row>
    <row r="280">
      <c r="F280" s="99" t="n"/>
      <c r="G280" s="99" t="n"/>
    </row>
    <row r="281">
      <c r="F281" s="99" t="n"/>
      <c r="G281" s="99" t="n"/>
    </row>
    <row r="282">
      <c r="F282" s="99" t="n"/>
      <c r="G282" s="99" t="n"/>
    </row>
    <row r="283">
      <c r="F283" s="99" t="n"/>
      <c r="G283" s="99" t="n"/>
    </row>
    <row r="284">
      <c r="F284" s="99" t="n"/>
      <c r="G284" s="99" t="n"/>
    </row>
    <row r="285">
      <c r="F285" s="99" t="n"/>
      <c r="G285" s="99" t="n"/>
    </row>
    <row r="286">
      <c r="F286" s="99" t="n"/>
      <c r="G286" s="99" t="n"/>
    </row>
    <row r="287">
      <c r="F287" s="99" t="n"/>
      <c r="G287" s="99" t="n"/>
    </row>
    <row r="288">
      <c r="F288" s="99" t="n"/>
      <c r="G288" s="99" t="n"/>
    </row>
    <row r="289">
      <c r="F289" s="99" t="n"/>
      <c r="G289" s="99" t="n"/>
    </row>
    <row r="290">
      <c r="F290" s="99" t="n"/>
      <c r="G290" s="99" t="n"/>
    </row>
    <row r="291">
      <c r="F291" s="99" t="n"/>
      <c r="G291" s="99" t="n"/>
    </row>
    <row r="292">
      <c r="F292" s="99" t="n"/>
      <c r="G292" s="99" t="n"/>
    </row>
    <row r="293">
      <c r="F293" s="99" t="n"/>
      <c r="G293" s="99" t="n"/>
    </row>
    <row r="294">
      <c r="F294" s="99" t="n"/>
      <c r="G294" s="99" t="n"/>
    </row>
    <row r="295">
      <c r="F295" s="99" t="n"/>
      <c r="G295" s="99" t="n"/>
    </row>
    <row r="296">
      <c r="F296" s="99" t="n"/>
      <c r="G296" s="99" t="n"/>
    </row>
    <row r="297">
      <c r="F297" s="99" t="n"/>
      <c r="G297" s="99" t="n"/>
    </row>
    <row r="298">
      <c r="F298" s="99" t="n"/>
      <c r="G298" s="99" t="n"/>
    </row>
    <row r="299">
      <c r="F299" s="99" t="n"/>
      <c r="G299" s="99" t="n"/>
    </row>
    <row r="300">
      <c r="F300" s="99" t="n"/>
      <c r="G300" s="99" t="n"/>
    </row>
    <row r="301">
      <c r="F301" s="99" t="n"/>
      <c r="G301" s="99" t="n"/>
    </row>
    <row r="302">
      <c r="A302" s="97">
        <f t="array" ref="A302">"P003 · "&amp;'Project Dashboard'!$B$8&amp;" — Risks +OrgRisk ("&amp;SUMPRODUCT(('Work Items'!$A$6:$A$64="Risk")*(('Work Items'!$D$6:$D$64='Project Dashboard'!$B$8)+(COUNTIF('Projects Master'!$B$5:$B$9,'Work Items'!$D$6:$D$64)=0)))&amp;")"</f>
        <v/>
      </c>
    </row>
    <row r="303">
      <c r="A303" s="98" t="inlineStr">
        <is>
          <t>ID</t>
        </is>
      </c>
      <c r="B303" s="98" t="inlineStr">
        <is>
          <t>Summary</t>
        </is>
      </c>
      <c r="C303" s="98" t="inlineStr">
        <is>
          <t>Assigned To</t>
        </is>
      </c>
      <c r="D303" s="98" t="inlineStr">
        <is>
          <t>Priority</t>
        </is>
      </c>
      <c r="E303" s="98" t="inlineStr">
        <is>
          <t>Status</t>
        </is>
      </c>
      <c r="F303" s="98" t="inlineStr">
        <is>
          <t>Start</t>
        </is>
      </c>
      <c r="G303" s="98" t="inlineStr">
        <is>
          <t>End</t>
        </is>
      </c>
    </row>
    <row r="304">
      <c r="A304">
        <f t="array" ref="A304:G305">IFERROR(_xlfn._xlws.FILTER(CHOOSE({1,2,3,4,5,6,7},'Work Items'!$B$6:$B$64,'Work Items'!$C$6:$C$64,'Work Items'!$J$6:$J$64,'Work Items'!$K$6:$K$64,'Work Items'!$L$6:$L$64,'Work Items'!$P$6:$P$64,'Work Items'!$Q$6:$Q$64),('Work Items'!$A$6:$A$64="Risk")*(('Work Items'!$D$6:$D$64='Project Dashboard'!$B$8)+(COUNTIF('Projects Master'!$B$5:$B$9,'Work Items'!$D$6:$D$64)=0)),"— none —"),"— none —")</f>
        <v/>
      </c>
      <c r="B304" t="inlineStr">
        <is>
          <t>AR Outstanding $13,160</t>
        </is>
      </c>
      <c r="C304" t="inlineStr">
        <is>
          <t>Ester Rani Ganji</t>
        </is>
      </c>
      <c r="D304" t="inlineStr">
        <is>
          <t>P2</t>
        </is>
      </c>
      <c r="E304" t="inlineStr">
        <is>
          <t>Monitoring</t>
        </is>
      </c>
      <c r="F304" s="99" t="n">
        <v>46204</v>
      </c>
      <c r="G304" s="99" t="n">
        <v>46265</v>
      </c>
    </row>
    <row r="305">
      <c r="A305" t="inlineStr">
        <is>
          <t>LEV-RK002</t>
        </is>
      </c>
      <c r="B305" t="inlineStr">
        <is>
          <t>SOW Revenue Overrun</t>
        </is>
      </c>
      <c r="C305" t="inlineStr">
        <is>
          <t>Ester Rani Ganji</t>
        </is>
      </c>
      <c r="D305" t="inlineStr">
        <is>
          <t>P2</t>
        </is>
      </c>
      <c r="E305" t="inlineStr">
        <is>
          <t>Open</t>
        </is>
      </c>
      <c r="F305" s="99" t="n">
        <v>46204</v>
      </c>
      <c r="G305" s="99" t="n">
        <v>46249</v>
      </c>
    </row>
    <row r="306">
      <c r="F306" s="99" t="n"/>
      <c r="G306" s="99" t="n"/>
    </row>
    <row r="307">
      <c r="F307" s="99" t="n"/>
      <c r="G307" s="99" t="n"/>
    </row>
    <row r="308">
      <c r="F308" s="99" t="n"/>
      <c r="G308" s="99" t="n"/>
    </row>
    <row r="309">
      <c r="F309" s="99" t="n"/>
      <c r="G309" s="99" t="n"/>
    </row>
    <row r="310">
      <c r="F310" s="99" t="n"/>
      <c r="G310" s="99" t="n"/>
    </row>
    <row r="311">
      <c r="F311" s="99" t="n"/>
      <c r="G311" s="99" t="n"/>
    </row>
    <row r="312">
      <c r="F312" s="99" t="n"/>
      <c r="G312" s="99" t="n"/>
    </row>
    <row r="313">
      <c r="F313" s="99" t="n"/>
      <c r="G313" s="99" t="n"/>
    </row>
    <row r="314">
      <c r="F314" s="99" t="n"/>
      <c r="G314" s="99" t="n"/>
    </row>
    <row r="315">
      <c r="F315" s="99" t="n"/>
      <c r="G315" s="99" t="n"/>
    </row>
    <row r="316">
      <c r="F316" s="99" t="n"/>
      <c r="G316" s="99" t="n"/>
    </row>
    <row r="317">
      <c r="F317" s="99" t="n"/>
      <c r="G317" s="99" t="n"/>
    </row>
    <row r="318">
      <c r="F318" s="99" t="n"/>
      <c r="G318" s="99" t="n"/>
    </row>
    <row r="319">
      <c r="F319" s="99" t="n"/>
      <c r="G319" s="99" t="n"/>
    </row>
    <row r="320">
      <c r="F320" s="99" t="n"/>
      <c r="G320" s="99" t="n"/>
    </row>
    <row r="321">
      <c r="F321" s="99" t="n"/>
      <c r="G321" s="99" t="n"/>
    </row>
    <row r="322">
      <c r="F322" s="99" t="n"/>
      <c r="G322" s="99" t="n"/>
    </row>
    <row r="323">
      <c r="F323" s="99" t="n"/>
      <c r="G323" s="99" t="n"/>
    </row>
    <row r="324">
      <c r="F324" s="99" t="n"/>
      <c r="G324" s="99" t="n"/>
    </row>
    <row r="325">
      <c r="F325" s="99" t="n"/>
      <c r="G325" s="99" t="n"/>
    </row>
    <row r="326">
      <c r="F326" s="99" t="n"/>
      <c r="G326" s="99" t="n"/>
    </row>
    <row r="327">
      <c r="F327" s="99" t="n"/>
      <c r="G327" s="99" t="n"/>
    </row>
    <row r="328">
      <c r="F328" s="99" t="n"/>
      <c r="G328" s="99" t="n"/>
    </row>
    <row r="329">
      <c r="F329" s="99" t="n"/>
      <c r="G329" s="99" t="n"/>
    </row>
    <row r="330">
      <c r="F330" s="99" t="n"/>
      <c r="G330" s="99" t="n"/>
    </row>
    <row r="331">
      <c r="F331" s="99" t="n"/>
      <c r="G331" s="99" t="n"/>
    </row>
    <row r="332">
      <c r="A332" s="97">
        <f t="array" ref="A332">"P003 · "&amp;'Project Dashboard'!$B$8&amp;" — CRs ("&amp;SUMPRODUCT(('Work Items'!$A$6:$A$64="CR")*('Work Items'!$D$6:$D$64='Project Dashboard'!$B$8))&amp;")"</f>
        <v/>
      </c>
    </row>
    <row r="333">
      <c r="A333" s="98" t="inlineStr">
        <is>
          <t>ID</t>
        </is>
      </c>
      <c r="B333" s="98" t="inlineStr">
        <is>
          <t>Summary</t>
        </is>
      </c>
      <c r="C333" s="98" t="inlineStr">
        <is>
          <t>Assigned To</t>
        </is>
      </c>
      <c r="D333" s="98" t="inlineStr">
        <is>
          <t>Priority</t>
        </is>
      </c>
      <c r="E333" s="98" t="inlineStr">
        <is>
          <t>Status</t>
        </is>
      </c>
      <c r="F333" s="98" t="inlineStr">
        <is>
          <t>Start</t>
        </is>
      </c>
      <c r="G333" s="98" t="inlineStr">
        <is>
          <t>End</t>
        </is>
      </c>
    </row>
    <row r="334">
      <c r="A334">
        <f t="array" ref="A334:G334">IFERROR(_xlfn._xlws.FILTER(CHOOSE({1,2,3,4,5,6,7},'Work Items'!$B$6:$B$64,'Work Items'!$C$6:$C$64,'Work Items'!$J$6:$J$64,'Work Items'!$K$6:$K$64,'Work Items'!$L$6:$L$64,'Work Items'!$P$6:$P$64,'Work Items'!$Q$6:$Q$64),('Work Items'!$A$6:$A$64="CR")*('Work Items'!$D$6:$D$64='Project Dashboard'!$B$8),"— none —"),"— none —")</f>
        <v/>
      </c>
      <c r="B334" t="inlineStr">
        <is>
          <t>SOW Delta - Scope Expansion Hours</t>
        </is>
      </c>
      <c r="C334" t="inlineStr">
        <is>
          <t>Ester Rani Ganji</t>
        </is>
      </c>
      <c r="D334" t="inlineStr">
        <is>
          <t>P2</t>
        </is>
      </c>
      <c r="E334" t="inlineStr">
        <is>
          <t>Pending Approval</t>
        </is>
      </c>
      <c r="F334" s="99" t="n">
        <v>46218</v>
      </c>
      <c r="G334" s="99" t="n">
        <v>46249</v>
      </c>
    </row>
    <row r="335">
      <c r="F335" s="99" t="n"/>
      <c r="G335" s="99" t="n"/>
    </row>
    <row r="336">
      <c r="F336" s="99" t="n"/>
      <c r="G336" s="99" t="n"/>
    </row>
    <row r="337">
      <c r="F337" s="99" t="n"/>
      <c r="G337" s="99" t="n"/>
    </row>
    <row r="338">
      <c r="F338" s="99" t="n"/>
      <c r="G338" s="99" t="n"/>
    </row>
    <row r="339">
      <c r="F339" s="99" t="n"/>
      <c r="G339" s="99" t="n"/>
    </row>
    <row r="340">
      <c r="F340" s="99" t="n"/>
      <c r="G340" s="99" t="n"/>
    </row>
    <row r="341">
      <c r="F341" s="99" t="n"/>
      <c r="G341" s="99" t="n"/>
    </row>
    <row r="342">
      <c r="F342" s="99" t="n"/>
      <c r="G342" s="99" t="n"/>
    </row>
    <row r="343">
      <c r="F343" s="99" t="n"/>
      <c r="G343" s="99" t="n"/>
    </row>
    <row r="344">
      <c r="F344" s="99" t="n"/>
      <c r="G344" s="99" t="n"/>
    </row>
    <row r="345">
      <c r="F345" s="99" t="n"/>
      <c r="G345" s="99" t="n"/>
    </row>
    <row r="346">
      <c r="F346" s="99" t="n"/>
      <c r="G346" s="99" t="n"/>
    </row>
    <row r="347">
      <c r="F347" s="99" t="n"/>
      <c r="G347" s="99" t="n"/>
    </row>
    <row r="348">
      <c r="F348" s="99" t="n"/>
      <c r="G348" s="99" t="n"/>
    </row>
    <row r="349">
      <c r="F349" s="99" t="n"/>
      <c r="G349" s="99" t="n"/>
    </row>
    <row r="350">
      <c r="F350" s="99" t="n"/>
      <c r="G350" s="99" t="n"/>
    </row>
    <row r="351">
      <c r="F351" s="99" t="n"/>
      <c r="G351" s="99" t="n"/>
    </row>
    <row r="352">
      <c r="F352" s="99" t="n"/>
      <c r="G352" s="99" t="n"/>
    </row>
    <row r="353">
      <c r="F353" s="99" t="n"/>
      <c r="G353" s="99" t="n"/>
    </row>
    <row r="354">
      <c r="F354" s="99" t="n"/>
      <c r="G354" s="99" t="n"/>
    </row>
    <row r="355">
      <c r="F355" s="99" t="n"/>
      <c r="G355" s="99" t="n"/>
    </row>
    <row r="356">
      <c r="F356" s="99" t="n"/>
      <c r="G356" s="99" t="n"/>
    </row>
    <row r="357">
      <c r="F357" s="99" t="n"/>
      <c r="G357" s="99" t="n"/>
    </row>
    <row r="358">
      <c r="F358" s="99" t="n"/>
      <c r="G358" s="99" t="n"/>
    </row>
    <row r="359">
      <c r="F359" s="99" t="n"/>
      <c r="G359" s="99" t="n"/>
    </row>
    <row r="360">
      <c r="F360" s="99" t="n"/>
      <c r="G360" s="99" t="n"/>
    </row>
    <row r="361">
      <c r="F361" s="99" t="n"/>
      <c r="G361" s="99" t="n"/>
    </row>
    <row r="362">
      <c r="A362" s="97">
        <f t="array" ref="A362">"P004 · "&amp;'Project Dashboard'!$B$9&amp;" — Tasks ("&amp;SUMPRODUCT(('Work Items'!$A$6:$A$64="Task")*('Work Items'!$D$6:$D$64='Project Dashboard'!$B$9))&amp;")"</f>
        <v/>
      </c>
    </row>
    <row r="363">
      <c r="A363" s="98" t="inlineStr">
        <is>
          <t>ID</t>
        </is>
      </c>
      <c r="B363" s="98" t="inlineStr">
        <is>
          <t>Summary</t>
        </is>
      </c>
      <c r="C363" s="98" t="inlineStr">
        <is>
          <t>Assigned To</t>
        </is>
      </c>
      <c r="D363" s="98" t="inlineStr">
        <is>
          <t>Priority</t>
        </is>
      </c>
      <c r="E363" s="98" t="inlineStr">
        <is>
          <t>Status</t>
        </is>
      </c>
      <c r="F363" s="98" t="inlineStr">
        <is>
          <t>Start</t>
        </is>
      </c>
      <c r="G363" s="98" t="inlineStr">
        <is>
          <t>End</t>
        </is>
      </c>
    </row>
    <row r="364">
      <c r="A364">
        <f t="array" ref="A364:G374">IFERROR(_xlfn._xlws.FILTER(CHOOSE({1,2,3,4,5,6,7},'Work Items'!$B$6:$B$64,'Work Items'!$C$6:$C$64,'Work Items'!$J$6:$J$64,'Work Items'!$K$6:$K$64,'Work Items'!$L$6:$L$64,'Work Items'!$P$6:$P$64,'Work Items'!$Q$6:$Q$64),('Work Items'!$A$6:$A$64="Task")*('Work Items'!$D$6:$D$64='Project Dashboard'!$B$9),"— none —"),"— none —")</f>
        <v/>
      </c>
      <c r="B364" t="inlineStr">
        <is>
          <t>Discovery Workshop &amp; Stakeholder Interviews</t>
        </is>
      </c>
      <c r="C364" t="inlineStr">
        <is>
          <t>Dee Reddy</t>
        </is>
      </c>
      <c r="D364" t="inlineStr">
        <is>
          <t>P1</t>
        </is>
      </c>
      <c r="E364" t="inlineStr">
        <is>
          <t>Completed</t>
        </is>
      </c>
      <c r="F364" s="99" t="n">
        <v>46174</v>
      </c>
      <c r="G364" s="99" t="n">
        <v>46176</v>
      </c>
    </row>
    <row r="365">
      <c r="A365" t="inlineStr">
        <is>
          <t>MED-T002</t>
        </is>
      </c>
      <c r="B365" t="inlineStr">
        <is>
          <t>BRD Review &amp; Sign-off</t>
        </is>
      </c>
      <c r="C365" t="inlineStr">
        <is>
          <t>Dhikshitha Rekulapally</t>
        </is>
      </c>
      <c r="D365" t="inlineStr">
        <is>
          <t>P1</t>
        </is>
      </c>
      <c r="E365" t="inlineStr">
        <is>
          <t>Completed</t>
        </is>
      </c>
      <c r="F365" s="99" t="n">
        <v>46177</v>
      </c>
      <c r="G365" s="99" t="n">
        <v>46183</v>
      </c>
    </row>
    <row r="366">
      <c r="A366" t="inlineStr">
        <is>
          <t>MED-T003</t>
        </is>
      </c>
      <c r="B366" t="inlineStr">
        <is>
          <t>Solution Design Document</t>
        </is>
      </c>
      <c r="C366" t="inlineStr">
        <is>
          <t>Vasudev Irla</t>
        </is>
      </c>
      <c r="D366" t="inlineStr">
        <is>
          <t>P1</t>
        </is>
      </c>
      <c r="E366" t="inlineStr">
        <is>
          <t>Completed</t>
        </is>
      </c>
      <c r="F366" s="99" t="n">
        <v>46179</v>
      </c>
      <c r="G366" s="99" t="n">
        <v>46186</v>
      </c>
    </row>
    <row r="367">
      <c r="A367" t="inlineStr">
        <is>
          <t>MED-T004</t>
        </is>
      </c>
      <c r="B367" t="inlineStr">
        <is>
          <t>Salesforce Environment Setup</t>
        </is>
      </c>
      <c r="C367" t="inlineStr">
        <is>
          <t>Chaitanya Goriparthi</t>
        </is>
      </c>
      <c r="D367" t="inlineStr">
        <is>
          <t>P2</t>
        </is>
      </c>
      <c r="E367" t="inlineStr">
        <is>
          <t>Completed</t>
        </is>
      </c>
      <c r="F367" s="99" t="n">
        <v>46181</v>
      </c>
      <c r="G367" s="99" t="n">
        <v>46183</v>
      </c>
    </row>
    <row r="368">
      <c r="A368" t="inlineStr">
        <is>
          <t>MED-T005</t>
        </is>
      </c>
      <c r="B368" t="inlineStr">
        <is>
          <t>Lead Management Module Build</t>
        </is>
      </c>
      <c r="C368" t="inlineStr">
        <is>
          <t>Vasudev Irla</t>
        </is>
      </c>
      <c r="D368" t="inlineStr">
        <is>
          <t>P1</t>
        </is>
      </c>
      <c r="E368" t="inlineStr">
        <is>
          <t>In Progress</t>
        </is>
      </c>
      <c r="F368" s="99" t="n">
        <v>46187</v>
      </c>
      <c r="G368" s="99" t="n">
        <v>46217</v>
      </c>
    </row>
    <row r="369">
      <c r="A369" t="inlineStr">
        <is>
          <t>MED-T006</t>
        </is>
      </c>
      <c r="B369" t="inlineStr">
        <is>
          <t>Campaign Configuration</t>
        </is>
      </c>
      <c r="C369" t="inlineStr">
        <is>
          <t>Chaitanya Goriparthi</t>
        </is>
      </c>
      <c r="D369" t="inlineStr">
        <is>
          <t>P2</t>
        </is>
      </c>
      <c r="E369" t="inlineStr">
        <is>
          <t>In Progress</t>
        </is>
      </c>
      <c r="F369" s="99" t="n">
        <v>46187</v>
      </c>
      <c r="G369" s="99" t="n">
        <v>46211</v>
      </c>
    </row>
    <row r="370">
      <c r="A370" t="inlineStr">
        <is>
          <t>MED-T007</t>
        </is>
      </c>
      <c r="B370" t="inlineStr">
        <is>
          <t>New Lead Routing Flow</t>
        </is>
      </c>
      <c r="C370" t="inlineStr">
        <is>
          <t>Vasudev Irla</t>
        </is>
      </c>
      <c r="D370" t="inlineStr">
        <is>
          <t>P1</t>
        </is>
      </c>
      <c r="E370" t="inlineStr">
        <is>
          <t>To Do</t>
        </is>
      </c>
      <c r="F370" s="99" t="n">
        <v>46206</v>
      </c>
      <c r="G370" s="99" t="n">
        <v>46227</v>
      </c>
    </row>
    <row r="371">
      <c r="A371" t="inlineStr">
        <is>
          <t>MED-T008</t>
        </is>
      </c>
      <c r="B371" t="inlineStr">
        <is>
          <t>UAT Test Cases Preparation</t>
        </is>
      </c>
      <c r="C371" t="inlineStr">
        <is>
          <t>Dhikshitha Rekulapally</t>
        </is>
      </c>
      <c r="D371" t="inlineStr">
        <is>
          <t>P2</t>
        </is>
      </c>
      <c r="E371" t="inlineStr">
        <is>
          <t>To Do</t>
        </is>
      </c>
      <c r="F371" s="99" t="n">
        <v>46218</v>
      </c>
      <c r="G371" s="99" t="n">
        <v>46232</v>
      </c>
    </row>
    <row r="372">
      <c r="A372" t="inlineStr">
        <is>
          <t>MED-T009</t>
        </is>
      </c>
      <c r="B372" t="inlineStr">
        <is>
          <t>Client UAT Support &amp; Issue Resolution</t>
        </is>
      </c>
      <c r="C372" t="inlineStr">
        <is>
          <t>Dee Reddy</t>
        </is>
      </c>
      <c r="D372" t="inlineStr">
        <is>
          <t>P1</t>
        </is>
      </c>
      <c r="E372" t="inlineStr">
        <is>
          <t>To Do</t>
        </is>
      </c>
      <c r="F372" s="99" t="n">
        <v>46232</v>
      </c>
      <c r="G372" s="99" t="n">
        <v>46253</v>
      </c>
    </row>
    <row r="373">
      <c r="A373" t="inlineStr">
        <is>
          <t>MED-T010</t>
        </is>
      </c>
      <c r="B373" t="inlineStr">
        <is>
          <t>Training Material &amp; User Guide</t>
        </is>
      </c>
      <c r="C373" t="inlineStr">
        <is>
          <t>Dhikshitha Rekulapally</t>
        </is>
      </c>
      <c r="D373" t="inlineStr">
        <is>
          <t>P2</t>
        </is>
      </c>
      <c r="E373" t="inlineStr">
        <is>
          <t>To Do</t>
        </is>
      </c>
      <c r="F373" s="99" t="n">
        <v>46237</v>
      </c>
      <c r="G373" s="99" t="n">
        <v>46258</v>
      </c>
    </row>
    <row r="374">
      <c r="A374" t="inlineStr">
        <is>
          <t>MED-T011</t>
        </is>
      </c>
      <c r="B374" t="inlineStr">
        <is>
          <t>Go-Live Deployment &amp; Hypercare</t>
        </is>
      </c>
      <c r="C374" t="inlineStr">
        <is>
          <t>Vasudev Irla</t>
        </is>
      </c>
      <c r="D374" t="inlineStr">
        <is>
          <t>P1</t>
        </is>
      </c>
      <c r="E374" t="inlineStr">
        <is>
          <t>To Do</t>
        </is>
      </c>
      <c r="F374" s="99" t="n">
        <v>46263</v>
      </c>
      <c r="G374" s="99" t="n">
        <v>46278</v>
      </c>
    </row>
    <row r="375">
      <c r="F375" s="99" t="n"/>
      <c r="G375" s="99" t="n"/>
    </row>
    <row r="376">
      <c r="F376" s="99" t="n"/>
      <c r="G376" s="99" t="n"/>
    </row>
    <row r="377">
      <c r="F377" s="99" t="n"/>
      <c r="G377" s="99" t="n"/>
    </row>
    <row r="378">
      <c r="F378" s="99" t="n"/>
      <c r="G378" s="99" t="n"/>
    </row>
    <row r="379">
      <c r="F379" s="99" t="n"/>
      <c r="G379" s="99" t="n"/>
    </row>
    <row r="380">
      <c r="F380" s="99" t="n"/>
      <c r="G380" s="99" t="n"/>
    </row>
    <row r="381">
      <c r="F381" s="99" t="n"/>
      <c r="G381" s="99" t="n"/>
    </row>
    <row r="382">
      <c r="F382" s="99" t="n"/>
      <c r="G382" s="99" t="n"/>
    </row>
    <row r="383">
      <c r="F383" s="99" t="n"/>
      <c r="G383" s="99" t="n"/>
    </row>
    <row r="384">
      <c r="F384" s="99" t="n"/>
      <c r="G384" s="99" t="n"/>
    </row>
    <row r="385">
      <c r="F385" s="99" t="n"/>
      <c r="G385" s="99" t="n"/>
    </row>
    <row r="386">
      <c r="F386" s="99" t="n"/>
      <c r="G386" s="99" t="n"/>
    </row>
    <row r="387">
      <c r="F387" s="99" t="n"/>
      <c r="G387" s="99" t="n"/>
    </row>
    <row r="388">
      <c r="F388" s="99" t="n"/>
      <c r="G388" s="99" t="n"/>
    </row>
    <row r="389">
      <c r="F389" s="99" t="n"/>
      <c r="G389" s="99" t="n"/>
    </row>
    <row r="390">
      <c r="F390" s="99" t="n"/>
      <c r="G390" s="99" t="n"/>
    </row>
    <row r="391">
      <c r="F391" s="99" t="n"/>
      <c r="G391" s="99" t="n"/>
    </row>
    <row r="392">
      <c r="A392" s="97">
        <f t="array" ref="A392">"P004 · "&amp;'Project Dashboard'!$B$9&amp;" — Bugs ("&amp;SUMPRODUCT(('Work Items'!$A$6:$A$64="Bug")*('Work Items'!$D$6:$D$64='Project Dashboard'!$B$9))&amp;")"</f>
        <v/>
      </c>
    </row>
    <row r="393">
      <c r="A393" s="98" t="inlineStr">
        <is>
          <t>ID</t>
        </is>
      </c>
      <c r="B393" s="98" t="inlineStr">
        <is>
          <t>Summary</t>
        </is>
      </c>
      <c r="C393" s="98" t="inlineStr">
        <is>
          <t>Assigned To</t>
        </is>
      </c>
      <c r="D393" s="98" t="inlineStr">
        <is>
          <t>Priority</t>
        </is>
      </c>
      <c r="E393" s="98" t="inlineStr">
        <is>
          <t>Status</t>
        </is>
      </c>
      <c r="F393" s="98" t="inlineStr">
        <is>
          <t>Start</t>
        </is>
      </c>
      <c r="G393" s="98" t="inlineStr">
        <is>
          <t>End</t>
        </is>
      </c>
    </row>
    <row r="394">
      <c r="A394">
        <f t="array" ref="A394:G395">IFERROR(_xlfn._xlws.FILTER(CHOOSE({1,2,3,4,5,6,7},'Work Items'!$B$6:$B$64,'Work Items'!$C$6:$C$64,'Work Items'!$J$6:$J$64,'Work Items'!$K$6:$K$64,'Work Items'!$L$6:$L$64,'Work Items'!$P$6:$P$64,'Work Items'!$Q$6:$Q$64),('Work Items'!$A$6:$A$64="Bug")*('Work Items'!$D$6:$D$64='Project Dashboard'!$B$9),"— none —"),"— none —")</f>
        <v/>
      </c>
      <c r="B394" t="inlineStr">
        <is>
          <t>Lead routing flow crashes on empty Phone field</t>
        </is>
      </c>
      <c r="C394" t="inlineStr">
        <is>
          <t>Vasudev Irla</t>
        </is>
      </c>
      <c r="D394" t="inlineStr">
        <is>
          <t>P2</t>
        </is>
      </c>
      <c r="E394" t="inlineStr">
        <is>
          <t>Open</t>
        </is>
      </c>
      <c r="F394" s="99" t="n">
        <v>46200</v>
      </c>
      <c r="G394" s="99" t="n">
        <v>46211</v>
      </c>
    </row>
    <row r="395">
      <c r="A395" t="inlineStr">
        <is>
          <t>MED-B002</t>
        </is>
      </c>
      <c r="B395" t="inlineStr">
        <is>
          <t>Campaign member status not updating in list view</t>
        </is>
      </c>
      <c r="C395" t="inlineStr">
        <is>
          <t>Chaitanya Goriparthi</t>
        </is>
      </c>
      <c r="D395" t="inlineStr">
        <is>
          <t>P3</t>
        </is>
      </c>
      <c r="E395" t="inlineStr">
        <is>
          <t>Fixed</t>
        </is>
      </c>
      <c r="F395" s="99" t="n">
        <v>46191</v>
      </c>
      <c r="G395" s="99" t="n">
        <v>46194</v>
      </c>
    </row>
    <row r="396">
      <c r="F396" s="99" t="n"/>
      <c r="G396" s="99" t="n"/>
    </row>
    <row r="397">
      <c r="F397" s="99" t="n"/>
      <c r="G397" s="99" t="n"/>
    </row>
    <row r="398">
      <c r="F398" s="99" t="n"/>
      <c r="G398" s="99" t="n"/>
    </row>
    <row r="399">
      <c r="F399" s="99" t="n"/>
      <c r="G399" s="99" t="n"/>
    </row>
    <row r="400">
      <c r="F400" s="99" t="n"/>
      <c r="G400" s="99" t="n"/>
    </row>
    <row r="401">
      <c r="F401" s="99" t="n"/>
      <c r="G401" s="99" t="n"/>
    </row>
    <row r="402">
      <c r="F402" s="99" t="n"/>
      <c r="G402" s="99" t="n"/>
    </row>
    <row r="403">
      <c r="F403" s="99" t="n"/>
      <c r="G403" s="99" t="n"/>
    </row>
    <row r="404">
      <c r="F404" s="99" t="n"/>
      <c r="G404" s="99" t="n"/>
    </row>
    <row r="405">
      <c r="F405" s="99" t="n"/>
      <c r="G405" s="99" t="n"/>
    </row>
    <row r="406">
      <c r="F406" s="99" t="n"/>
      <c r="G406" s="99" t="n"/>
    </row>
    <row r="407">
      <c r="F407" s="99" t="n"/>
      <c r="G407" s="99" t="n"/>
    </row>
    <row r="408">
      <c r="F408" s="99" t="n"/>
      <c r="G408" s="99" t="n"/>
    </row>
    <row r="409">
      <c r="F409" s="99" t="n"/>
      <c r="G409" s="99" t="n"/>
    </row>
    <row r="410">
      <c r="F410" s="99" t="n"/>
      <c r="G410" s="99" t="n"/>
    </row>
    <row r="411">
      <c r="F411" s="99" t="n"/>
      <c r="G411" s="99" t="n"/>
    </row>
    <row r="412">
      <c r="F412" s="99" t="n"/>
      <c r="G412" s="99" t="n"/>
    </row>
    <row r="413">
      <c r="F413" s="99" t="n"/>
      <c r="G413" s="99" t="n"/>
    </row>
    <row r="414">
      <c r="F414" s="99" t="n"/>
      <c r="G414" s="99" t="n"/>
    </row>
    <row r="415">
      <c r="F415" s="99" t="n"/>
      <c r="G415" s="99" t="n"/>
    </row>
    <row r="416">
      <c r="F416" s="99" t="n"/>
      <c r="G416" s="99" t="n"/>
    </row>
    <row r="417">
      <c r="F417" s="99" t="n"/>
      <c r="G417" s="99" t="n"/>
    </row>
    <row r="418">
      <c r="F418" s="99" t="n"/>
      <c r="G418" s="99" t="n"/>
    </row>
    <row r="419">
      <c r="F419" s="99" t="n"/>
      <c r="G419" s="99" t="n"/>
    </row>
    <row r="420">
      <c r="F420" s="99" t="n"/>
      <c r="G420" s="99" t="n"/>
    </row>
    <row r="421">
      <c r="F421" s="99" t="n"/>
      <c r="G421" s="99" t="n"/>
    </row>
    <row r="422">
      <c r="A422" s="97">
        <f t="array" ref="A422">"P004 · "&amp;'Project Dashboard'!$B$9&amp;" — Risks +OrgRisk ("&amp;SUMPRODUCT(('Work Items'!$A$6:$A$64="Risk")*(('Work Items'!$D$6:$D$64='Project Dashboard'!$B$9)+(COUNTIF('Projects Master'!$B$5:$B$9,'Work Items'!$D$6:$D$64)=0)))&amp;")"</f>
        <v/>
      </c>
    </row>
    <row r="423">
      <c r="A423" s="98" t="inlineStr">
        <is>
          <t>ID</t>
        </is>
      </c>
      <c r="B423" s="98" t="inlineStr">
        <is>
          <t>Summary</t>
        </is>
      </c>
      <c r="C423" s="98" t="inlineStr">
        <is>
          <t>Assigned To</t>
        </is>
      </c>
      <c r="D423" s="98" t="inlineStr">
        <is>
          <t>Priority</t>
        </is>
      </c>
      <c r="E423" s="98" t="inlineStr">
        <is>
          <t>Status</t>
        </is>
      </c>
      <c r="F423" s="98" t="inlineStr">
        <is>
          <t>Start</t>
        </is>
      </c>
      <c r="G423" s="98" t="inlineStr">
        <is>
          <t>End</t>
        </is>
      </c>
    </row>
    <row r="424">
      <c r="A424">
        <f t="array" ref="A424:G424">IFERROR(_xlfn._xlws.FILTER(CHOOSE({1,2,3,4,5,6,7},'Work Items'!$B$6:$B$64,'Work Items'!$C$6:$C$64,'Work Items'!$J$6:$J$64,'Work Items'!$K$6:$K$64,'Work Items'!$L$6:$L$64,'Work Items'!$P$6:$P$64,'Work Items'!$Q$6:$Q$64),('Work Items'!$A$6:$A$64="Risk")*(('Work Items'!$D$6:$D$64='Project Dashboard'!$B$9)+(COUNTIF('Projects Master'!$B$5:$B$9,'Work Items'!$D$6:$D$64)=0)),"— none —"),"— none —")</f>
        <v/>
      </c>
      <c r="B424" t="inlineStr">
        <is>
          <t>Tight Delivery Timeline - 260 hrs in 75 days</t>
        </is>
      </c>
      <c r="C424" t="inlineStr">
        <is>
          <t>Dee Reddy</t>
        </is>
      </c>
      <c r="D424" t="inlineStr">
        <is>
          <t>P2</t>
        </is>
      </c>
      <c r="E424" t="inlineStr">
        <is>
          <t>Open</t>
        </is>
      </c>
      <c r="F424" s="99" t="n">
        <v>46174</v>
      </c>
      <c r="G424" s="99" t="n">
        <v>46278</v>
      </c>
    </row>
    <row r="425">
      <c r="F425" s="99" t="n"/>
      <c r="G425" s="99" t="n"/>
    </row>
    <row r="426">
      <c r="F426" s="99" t="n"/>
      <c r="G426" s="99" t="n"/>
    </row>
    <row r="427">
      <c r="F427" s="99" t="n"/>
      <c r="G427" s="99" t="n"/>
    </row>
    <row r="428">
      <c r="F428" s="99" t="n"/>
      <c r="G428" s="99" t="n"/>
    </row>
    <row r="429">
      <c r="F429" s="99" t="n"/>
      <c r="G429" s="99" t="n"/>
    </row>
    <row r="430">
      <c r="F430" s="99" t="n"/>
      <c r="G430" s="99" t="n"/>
    </row>
    <row r="431">
      <c r="F431" s="99" t="n"/>
      <c r="G431" s="99" t="n"/>
    </row>
    <row r="432">
      <c r="F432" s="99" t="n"/>
      <c r="G432" s="99" t="n"/>
    </row>
    <row r="433">
      <c r="F433" s="99" t="n"/>
      <c r="G433" s="99" t="n"/>
    </row>
    <row r="434">
      <c r="F434" s="99" t="n"/>
      <c r="G434" s="99" t="n"/>
    </row>
    <row r="435">
      <c r="F435" s="99" t="n"/>
      <c r="G435" s="99" t="n"/>
    </row>
    <row r="436">
      <c r="F436" s="99" t="n"/>
      <c r="G436" s="99" t="n"/>
    </row>
    <row r="437">
      <c r="F437" s="99" t="n"/>
      <c r="G437" s="99" t="n"/>
    </row>
    <row r="438">
      <c r="F438" s="99" t="n"/>
      <c r="G438" s="99" t="n"/>
    </row>
    <row r="439">
      <c r="F439" s="99" t="n"/>
      <c r="G439" s="99" t="n"/>
    </row>
    <row r="440">
      <c r="F440" s="99" t="n"/>
      <c r="G440" s="99" t="n"/>
    </row>
    <row r="441">
      <c r="F441" s="99" t="n"/>
      <c r="G441" s="99" t="n"/>
    </row>
    <row r="442">
      <c r="F442" s="99" t="n"/>
      <c r="G442" s="99" t="n"/>
    </row>
    <row r="443">
      <c r="F443" s="99" t="n"/>
      <c r="G443" s="99" t="n"/>
    </row>
    <row r="444">
      <c r="F444" s="99" t="n"/>
      <c r="G444" s="99" t="n"/>
    </row>
    <row r="445">
      <c r="F445" s="99" t="n"/>
      <c r="G445" s="99" t="n"/>
    </row>
    <row r="446">
      <c r="F446" s="99" t="n"/>
      <c r="G446" s="99" t="n"/>
    </row>
    <row r="447">
      <c r="F447" s="99" t="n"/>
      <c r="G447" s="99" t="n"/>
    </row>
    <row r="448">
      <c r="F448" s="99" t="n"/>
      <c r="G448" s="99" t="n"/>
    </row>
    <row r="449">
      <c r="F449" s="99" t="n"/>
      <c r="G449" s="99" t="n"/>
    </row>
    <row r="450">
      <c r="F450" s="99" t="n"/>
      <c r="G450" s="99" t="n"/>
    </row>
    <row r="451">
      <c r="F451" s="99" t="n"/>
      <c r="G451" s="99" t="n"/>
    </row>
    <row r="452">
      <c r="A452" s="97">
        <f t="array" ref="A452">"P004 · "&amp;'Project Dashboard'!$B$9&amp;" — CRs ("&amp;SUMPRODUCT(('Work Items'!$A$6:$A$64="CR")*('Work Items'!$D$6:$D$64='Project Dashboard'!$B$9))&amp;")"</f>
        <v/>
      </c>
    </row>
    <row r="453">
      <c r="A453" s="98" t="inlineStr">
        <is>
          <t>ID</t>
        </is>
      </c>
      <c r="B453" s="98" t="inlineStr">
        <is>
          <t>Summary</t>
        </is>
      </c>
      <c r="C453" s="98" t="inlineStr">
        <is>
          <t>Assigned To</t>
        </is>
      </c>
      <c r="D453" s="98" t="inlineStr">
        <is>
          <t>Priority</t>
        </is>
      </c>
      <c r="E453" s="98" t="inlineStr">
        <is>
          <t>Status</t>
        </is>
      </c>
      <c r="F453" s="98" t="inlineStr">
        <is>
          <t>Start</t>
        </is>
      </c>
      <c r="G453" s="98" t="inlineStr">
        <is>
          <t>End</t>
        </is>
      </c>
    </row>
    <row r="454">
      <c r="A454">
        <f t="array" ref="A454:G454">IFERROR(_xlfn._xlws.FILTER(CHOOSE({1,2,3,4,5,6,7},'Work Items'!$B$6:$B$64,'Work Items'!$C$6:$C$64,'Work Items'!$J$6:$J$64,'Work Items'!$K$6:$K$64,'Work Items'!$L$6:$L$64,'Work Items'!$P$6:$P$64,'Work Items'!$Q$6:$Q$64),('Work Items'!$A$6:$A$64="CR")*('Work Items'!$D$6:$D$64='Project Dashboard'!$B$9),"— none —"),"— none —")</f>
        <v/>
      </c>
      <c r="B454" t="inlineStr">
        <is>
          <t>New Lead Routing Flow - Additional Scope</t>
        </is>
      </c>
      <c r="C454" t="inlineStr">
        <is>
          <t>Dee Reddy</t>
        </is>
      </c>
      <c r="D454" t="inlineStr">
        <is>
          <t>P2</t>
        </is>
      </c>
      <c r="E454" t="inlineStr">
        <is>
          <t>Approved</t>
        </is>
      </c>
      <c r="F454" s="99" t="n">
        <v>46196</v>
      </c>
      <c r="G454" s="99" t="n">
        <v>46227</v>
      </c>
    </row>
    <row r="455">
      <c r="F455" s="99" t="n"/>
      <c r="G455" s="99" t="n"/>
    </row>
    <row r="456">
      <c r="F456" s="99" t="n"/>
      <c r="G456" s="99" t="n"/>
    </row>
    <row r="457">
      <c r="F457" s="99" t="n"/>
      <c r="G457" s="99" t="n"/>
    </row>
    <row r="458">
      <c r="F458" s="99" t="n"/>
      <c r="G458" s="99" t="n"/>
    </row>
    <row r="459">
      <c r="F459" s="99" t="n"/>
      <c r="G459" s="99" t="n"/>
    </row>
    <row r="460">
      <c r="F460" s="99" t="n"/>
      <c r="G460" s="99" t="n"/>
    </row>
    <row r="461">
      <c r="F461" s="99" t="n"/>
      <c r="G461" s="99" t="n"/>
    </row>
    <row r="462">
      <c r="F462" s="99" t="n"/>
      <c r="G462" s="99" t="n"/>
    </row>
    <row r="463">
      <c r="F463" s="99" t="n"/>
      <c r="G463" s="99" t="n"/>
    </row>
    <row r="464">
      <c r="F464" s="99" t="n"/>
      <c r="G464" s="99" t="n"/>
    </row>
    <row r="465">
      <c r="F465" s="99" t="n"/>
      <c r="G465" s="99" t="n"/>
    </row>
    <row r="466">
      <c r="F466" s="99" t="n"/>
      <c r="G466" s="99" t="n"/>
    </row>
    <row r="467">
      <c r="F467" s="99" t="n"/>
      <c r="G467" s="99" t="n"/>
    </row>
    <row r="468">
      <c r="F468" s="99" t="n"/>
      <c r="G468" s="99" t="n"/>
    </row>
    <row r="469">
      <c r="F469" s="99" t="n"/>
      <c r="G469" s="99" t="n"/>
    </row>
    <row r="470">
      <c r="F470" s="99" t="n"/>
      <c r="G470" s="99" t="n"/>
    </row>
    <row r="471">
      <c r="F471" s="99" t="n"/>
      <c r="G471" s="99" t="n"/>
    </row>
    <row r="472">
      <c r="F472" s="99" t="n"/>
      <c r="G472" s="99" t="n"/>
    </row>
    <row r="473">
      <c r="F473" s="99" t="n"/>
      <c r="G473" s="99" t="n"/>
    </row>
    <row r="474">
      <c r="F474" s="99" t="n"/>
      <c r="G474" s="99" t="n"/>
    </row>
    <row r="475">
      <c r="F475" s="99" t="n"/>
      <c r="G475" s="99" t="n"/>
    </row>
    <row r="476">
      <c r="F476" s="99" t="n"/>
      <c r="G476" s="99" t="n"/>
    </row>
    <row r="477">
      <c r="F477" s="99" t="n"/>
      <c r="G477" s="99" t="n"/>
    </row>
    <row r="478">
      <c r="F478" s="99" t="n"/>
      <c r="G478" s="99" t="n"/>
    </row>
    <row r="479">
      <c r="F479" s="99" t="n"/>
      <c r="G479" s="99" t="n"/>
    </row>
    <row r="480">
      <c r="F480" s="99" t="n"/>
      <c r="G480" s="99" t="n"/>
    </row>
    <row r="481">
      <c r="F481" s="99" t="n"/>
      <c r="G481" s="99" t="n"/>
    </row>
    <row r="482">
      <c r="A482" s="97">
        <f t="array" ref="A482">"P005 · "&amp;'Project Dashboard'!$B$10&amp;" — Tasks ("&amp;SUMPRODUCT(('Work Items'!$A$6:$A$64="Task")*('Work Items'!$D$6:$D$64='Project Dashboard'!$B$10))&amp;")"</f>
        <v/>
      </c>
    </row>
    <row r="483">
      <c r="A483" s="98" t="inlineStr">
        <is>
          <t>ID</t>
        </is>
      </c>
      <c r="B483" s="98" t="inlineStr">
        <is>
          <t>Summary</t>
        </is>
      </c>
      <c r="C483" s="98" t="inlineStr">
        <is>
          <t>Assigned To</t>
        </is>
      </c>
      <c r="D483" s="98" t="inlineStr">
        <is>
          <t>Priority</t>
        </is>
      </c>
      <c r="E483" s="98" t="inlineStr">
        <is>
          <t>Status</t>
        </is>
      </c>
      <c r="F483" s="98" t="inlineStr">
        <is>
          <t>Start</t>
        </is>
      </c>
      <c r="G483" s="98" t="inlineStr">
        <is>
          <t>End</t>
        </is>
      </c>
    </row>
    <row r="484">
      <c r="A484">
        <f t="array" ref="A484:G487">IFERROR(_xlfn._xlws.FILTER(CHOOSE({1,2,3,4,5,6,7},'Work Items'!$B$6:$B$64,'Work Items'!$C$6:$C$64,'Work Items'!$J$6:$J$64,'Work Items'!$K$6:$K$64,'Work Items'!$L$6:$L$64,'Work Items'!$P$6:$P$64,'Work Items'!$Q$6:$Q$64),('Work Items'!$A$6:$A$64="Task")*('Work Items'!$D$6:$D$64='Project Dashboard'!$B$10),"— none —"),"— none —")</f>
        <v/>
      </c>
      <c r="B484" t="inlineStr">
        <is>
          <t>VRC Initial Setup &amp; Onboarding</t>
        </is>
      </c>
      <c r="C484" t="inlineStr">
        <is>
          <t>Saikrishna Bandi</t>
        </is>
      </c>
      <c r="D484" t="inlineStr">
        <is>
          <t>P1</t>
        </is>
      </c>
      <c r="E484" t="inlineStr">
        <is>
          <t>Completed</t>
        </is>
      </c>
      <c r="F484" s="99" t="n">
        <v>46174</v>
      </c>
      <c r="G484" s="99" t="n">
        <v>46204</v>
      </c>
    </row>
    <row r="485">
      <c r="A485" t="inlineStr">
        <is>
          <t>VRC-T002</t>
        </is>
      </c>
      <c r="B485" t="inlineStr">
        <is>
          <t>VRC Monthly Support - Jun</t>
        </is>
      </c>
      <c r="C485" t="inlineStr">
        <is>
          <t>Sureshkumar Gidugu</t>
        </is>
      </c>
      <c r="D485" t="inlineStr">
        <is>
          <t>P2</t>
        </is>
      </c>
      <c r="E485" t="inlineStr">
        <is>
          <t>Completed</t>
        </is>
      </c>
      <c r="F485" s="99" t="n">
        <v>46194</v>
      </c>
      <c r="G485" s="99" t="n">
        <v>46223</v>
      </c>
    </row>
    <row r="486">
      <c r="A486" t="inlineStr">
        <is>
          <t>VRC-T003</t>
        </is>
      </c>
      <c r="B486" t="inlineStr">
        <is>
          <t>VRC Monthly Support - Jul</t>
        </is>
      </c>
      <c r="C486" t="inlineStr">
        <is>
          <t>Vishnudeep</t>
        </is>
      </c>
      <c r="D486" t="inlineStr">
        <is>
          <t>P2</t>
        </is>
      </c>
      <c r="E486" t="inlineStr">
        <is>
          <t>Completed</t>
        </is>
      </c>
      <c r="F486" s="99" t="n">
        <v>46224</v>
      </c>
      <c r="G486" s="99" t="n">
        <v>46254</v>
      </c>
    </row>
    <row r="487">
      <c r="A487" t="inlineStr">
        <is>
          <t>VRC-T004</t>
        </is>
      </c>
      <c r="B487" t="inlineStr">
        <is>
          <t>VRC Monthly Support - Aug</t>
        </is>
      </c>
      <c r="C487" t="inlineStr">
        <is>
          <t>Saikrishna Bandi</t>
        </is>
      </c>
      <c r="D487" t="inlineStr">
        <is>
          <t>P2</t>
        </is>
      </c>
      <c r="E487" t="inlineStr">
        <is>
          <t>In Progress</t>
        </is>
      </c>
      <c r="F487" s="99" t="n">
        <v>46255</v>
      </c>
      <c r="G487" s="99" t="n">
        <v>46285</v>
      </c>
    </row>
    <row r="488">
      <c r="F488" s="99" t="n"/>
      <c r="G488" s="99" t="n"/>
    </row>
    <row r="489">
      <c r="F489" s="99" t="n"/>
      <c r="G489" s="99" t="n"/>
    </row>
    <row r="490">
      <c r="F490" s="99" t="n"/>
      <c r="G490" s="99" t="n"/>
    </row>
    <row r="491">
      <c r="F491" s="99" t="n"/>
      <c r="G491" s="99" t="n"/>
    </row>
    <row r="492">
      <c r="F492" s="99" t="n"/>
      <c r="G492" s="99" t="n"/>
    </row>
    <row r="493">
      <c r="F493" s="99" t="n"/>
      <c r="G493" s="99" t="n"/>
    </row>
    <row r="494">
      <c r="F494" s="99" t="n"/>
      <c r="G494" s="99" t="n"/>
    </row>
    <row r="495">
      <c r="F495" s="99" t="n"/>
      <c r="G495" s="99" t="n"/>
    </row>
    <row r="496">
      <c r="F496" s="99" t="n"/>
      <c r="G496" s="99" t="n"/>
    </row>
    <row r="497">
      <c r="F497" s="99" t="n"/>
      <c r="G497" s="99" t="n"/>
    </row>
    <row r="498">
      <c r="F498" s="99" t="n"/>
      <c r="G498" s="99" t="n"/>
    </row>
    <row r="499">
      <c r="F499" s="99" t="n"/>
      <c r="G499" s="99" t="n"/>
    </row>
    <row r="500">
      <c r="F500" s="99" t="n"/>
      <c r="G500" s="99" t="n"/>
    </row>
    <row r="501">
      <c r="F501" s="99" t="n"/>
      <c r="G501" s="99" t="n"/>
    </row>
    <row r="502">
      <c r="F502" s="99" t="n"/>
      <c r="G502" s="99" t="n"/>
    </row>
    <row r="503">
      <c r="F503" s="99" t="n"/>
      <c r="G503" s="99" t="n"/>
    </row>
    <row r="504">
      <c r="F504" s="99" t="n"/>
      <c r="G504" s="99" t="n"/>
    </row>
    <row r="505">
      <c r="F505" s="99" t="n"/>
      <c r="G505" s="99" t="n"/>
    </row>
    <row r="506">
      <c r="F506" s="99" t="n"/>
      <c r="G506" s="99" t="n"/>
    </row>
    <row r="507">
      <c r="F507" s="99" t="n"/>
      <c r="G507" s="99" t="n"/>
    </row>
    <row r="508">
      <c r="F508" s="99" t="n"/>
      <c r="G508" s="99" t="n"/>
    </row>
    <row r="509">
      <c r="F509" s="99" t="n"/>
      <c r="G509" s="99" t="n"/>
    </row>
    <row r="510">
      <c r="F510" s="99" t="n"/>
      <c r="G510" s="99" t="n"/>
    </row>
    <row r="511">
      <c r="F511" s="99" t="n"/>
      <c r="G511" s="99" t="n"/>
    </row>
    <row r="512">
      <c r="A512" s="97">
        <f t="array" ref="A512">"P005 · "&amp;'Project Dashboard'!$B$10&amp;" — Bugs ("&amp;SUMPRODUCT(('Work Items'!$A$6:$A$64="Bug")*('Work Items'!$D$6:$D$64='Project Dashboard'!$B$10))&amp;")"</f>
        <v/>
      </c>
    </row>
    <row r="513">
      <c r="A513" s="98" t="inlineStr">
        <is>
          <t>ID</t>
        </is>
      </c>
      <c r="B513" s="98" t="inlineStr">
        <is>
          <t>Summary</t>
        </is>
      </c>
      <c r="C513" s="98" t="inlineStr">
        <is>
          <t>Assigned To</t>
        </is>
      </c>
      <c r="D513" s="98" t="inlineStr">
        <is>
          <t>Priority</t>
        </is>
      </c>
      <c r="E513" s="98" t="inlineStr">
        <is>
          <t>Status</t>
        </is>
      </c>
      <c r="F513" s="98" t="inlineStr">
        <is>
          <t>Start</t>
        </is>
      </c>
      <c r="G513" s="98" t="inlineStr">
        <is>
          <t>End</t>
        </is>
      </c>
    </row>
    <row r="514">
      <c r="A514">
        <f t="array" ref="A514:G514">IFERROR(_xlfn._xlws.FILTER(CHOOSE({1,2,3,4,5,6,7},'Work Items'!$B$6:$B$64,'Work Items'!$C$6:$C$64,'Work Items'!$J$6:$J$64,'Work Items'!$K$6:$K$64,'Work Items'!$L$6:$L$64,'Work Items'!$P$6:$P$64,'Work Items'!$Q$6:$Q$64),('Work Items'!$A$6:$A$64="Bug")*('Work Items'!$D$6:$D$64='Project Dashboard'!$B$10),"— none —"),"— none —")</f>
        <v/>
      </c>
      <c r="B514" t="inlineStr">
        <is>
          <t>Integration scheduler skipping weekends</t>
        </is>
      </c>
      <c r="C514" t="inlineStr">
        <is>
          <t>Saikrishna Bandi</t>
        </is>
      </c>
      <c r="D514" t="inlineStr">
        <is>
          <t>P3</t>
        </is>
      </c>
      <c r="E514" t="inlineStr">
        <is>
          <t>Fixed</t>
        </is>
      </c>
      <c r="F514" s="99" t="n">
        <v>46245</v>
      </c>
      <c r="G514" s="99" t="n">
        <v>46247</v>
      </c>
    </row>
    <row r="515">
      <c r="F515" s="99" t="n"/>
      <c r="G515" s="99" t="n"/>
    </row>
    <row r="516">
      <c r="F516" s="99" t="n"/>
      <c r="G516" s="99" t="n"/>
    </row>
    <row r="517">
      <c r="F517" s="99" t="n"/>
      <c r="G517" s="99" t="n"/>
    </row>
    <row r="518">
      <c r="F518" s="99" t="n"/>
      <c r="G518" s="99" t="n"/>
    </row>
    <row r="519">
      <c r="F519" s="99" t="n"/>
      <c r="G519" s="99" t="n"/>
    </row>
    <row r="520">
      <c r="F520" s="99" t="n"/>
      <c r="G520" s="99" t="n"/>
    </row>
    <row r="521">
      <c r="F521" s="99" t="n"/>
      <c r="G521" s="99" t="n"/>
    </row>
    <row r="522">
      <c r="F522" s="99" t="n"/>
      <c r="G522" s="99" t="n"/>
    </row>
    <row r="523">
      <c r="F523" s="99" t="n"/>
      <c r="G523" s="99" t="n"/>
    </row>
    <row r="524">
      <c r="F524" s="99" t="n"/>
      <c r="G524" s="99" t="n"/>
    </row>
    <row r="525">
      <c r="F525" s="99" t="n"/>
      <c r="G525" s="99" t="n"/>
    </row>
    <row r="526">
      <c r="F526" s="99" t="n"/>
      <c r="G526" s="99" t="n"/>
    </row>
    <row r="527">
      <c r="F527" s="99" t="n"/>
      <c r="G527" s="99" t="n"/>
    </row>
    <row r="528">
      <c r="F528" s="99" t="n"/>
      <c r="G528" s="99" t="n"/>
    </row>
    <row r="529">
      <c r="F529" s="99" t="n"/>
      <c r="G529" s="99" t="n"/>
    </row>
    <row r="530">
      <c r="F530" s="99" t="n"/>
      <c r="G530" s="99" t="n"/>
    </row>
    <row r="531">
      <c r="F531" s="99" t="n"/>
      <c r="G531" s="99" t="n"/>
    </row>
    <row r="532">
      <c r="F532" s="99" t="n"/>
      <c r="G532" s="99" t="n"/>
    </row>
    <row r="533">
      <c r="F533" s="99" t="n"/>
      <c r="G533" s="99" t="n"/>
    </row>
    <row r="534">
      <c r="F534" s="99" t="n"/>
      <c r="G534" s="99" t="n"/>
    </row>
    <row r="535">
      <c r="F535" s="99" t="n"/>
      <c r="G535" s="99" t="n"/>
    </row>
    <row r="536">
      <c r="F536" s="99" t="n"/>
      <c r="G536" s="99" t="n"/>
    </row>
    <row r="537">
      <c r="F537" s="99" t="n"/>
      <c r="G537" s="99" t="n"/>
    </row>
    <row r="538">
      <c r="F538" s="99" t="n"/>
      <c r="G538" s="99" t="n"/>
    </row>
    <row r="539">
      <c r="F539" s="99" t="n"/>
      <c r="G539" s="99" t="n"/>
    </row>
    <row r="540">
      <c r="F540" s="99" t="n"/>
      <c r="G540" s="99" t="n"/>
    </row>
    <row r="541">
      <c r="F541" s="99" t="n"/>
      <c r="G541" s="99" t="n"/>
    </row>
    <row r="542">
      <c r="A542" s="97">
        <f t="array" ref="A542">"P005 · "&amp;'Project Dashboard'!$B$10&amp;" — Risks +OrgRisk ("&amp;SUMPRODUCT(('Work Items'!$A$6:$A$64="Risk")*(('Work Items'!$D$6:$D$64='Project Dashboard'!$B$10)+(COUNTIF('Projects Master'!$B$5:$B$9,'Work Items'!$D$6:$D$64)=0)))&amp;")"</f>
        <v/>
      </c>
    </row>
    <row r="543">
      <c r="A543" s="98" t="inlineStr">
        <is>
          <t>ID</t>
        </is>
      </c>
      <c r="B543" s="98" t="inlineStr">
        <is>
          <t>Summary</t>
        </is>
      </c>
      <c r="C543" s="98" t="inlineStr">
        <is>
          <t>Assigned To</t>
        </is>
      </c>
      <c r="D543" s="98" t="inlineStr">
        <is>
          <t>Priority</t>
        </is>
      </c>
      <c r="E543" s="98" t="inlineStr">
        <is>
          <t>Status</t>
        </is>
      </c>
      <c r="F543" s="98" t="inlineStr">
        <is>
          <t>Start</t>
        </is>
      </c>
      <c r="G543" s="98" t="inlineStr">
        <is>
          <t>End</t>
        </is>
      </c>
    </row>
    <row r="544">
      <c r="A544">
        <f t="array" ref="A544:G544">IFERROR(_xlfn._xlws.FILTER(CHOOSE({1,2,3,4,5,6,7},'Work Items'!$B$6:$B$64,'Work Items'!$C$6:$C$64,'Work Items'!$J$6:$J$64,'Work Items'!$K$6:$K$64,'Work Items'!$L$6:$L$64,'Work Items'!$P$6:$P$64,'Work Items'!$Q$6:$Q$64),('Work Items'!$A$6:$A$64="Risk")*(('Work Items'!$D$6:$D$64='Project Dashboard'!$B$10)+(COUNTIF('Projects Master'!$B$5:$B$9,'Work Items'!$D$6:$D$64)=0)),"— none —"),"— none —")</f>
        <v/>
      </c>
      <c r="B544" t="inlineStr">
        <is>
          <t>Under-utilization - Early Stage Engagement</t>
        </is>
      </c>
      <c r="C544" t="inlineStr">
        <is>
          <t>Ester Rani Ganji</t>
        </is>
      </c>
      <c r="D544" t="inlineStr">
        <is>
          <t>P3</t>
        </is>
      </c>
      <c r="E544" t="inlineStr">
        <is>
          <t>Monitoring</t>
        </is>
      </c>
      <c r="F544" s="99" t="n">
        <v>46174</v>
      </c>
      <c r="G544" s="99" t="n">
        <v>46285</v>
      </c>
    </row>
    <row r="545">
      <c r="F545" s="99" t="n"/>
      <c r="G545" s="99" t="n"/>
    </row>
    <row r="546">
      <c r="F546" s="99" t="n"/>
      <c r="G546" s="99" t="n"/>
    </row>
    <row r="547">
      <c r="F547" s="99" t="n"/>
      <c r="G547" s="99" t="n"/>
    </row>
    <row r="548">
      <c r="F548" s="99" t="n"/>
      <c r="G548" s="99" t="n"/>
    </row>
    <row r="549">
      <c r="F549" s="99" t="n"/>
      <c r="G549" s="99" t="n"/>
    </row>
    <row r="550">
      <c r="F550" s="99" t="n"/>
      <c r="G550" s="99" t="n"/>
    </row>
    <row r="551">
      <c r="F551" s="99" t="n"/>
      <c r="G551" s="99" t="n"/>
    </row>
    <row r="552">
      <c r="F552" s="99" t="n"/>
      <c r="G552" s="99" t="n"/>
    </row>
    <row r="553">
      <c r="F553" s="99" t="n"/>
      <c r="G553" s="99" t="n"/>
    </row>
    <row r="554">
      <c r="F554" s="99" t="n"/>
      <c r="G554" s="99" t="n"/>
    </row>
    <row r="555">
      <c r="F555" s="99" t="n"/>
      <c r="G555" s="99" t="n"/>
    </row>
    <row r="556">
      <c r="F556" s="99" t="n"/>
      <c r="G556" s="99" t="n"/>
    </row>
    <row r="557">
      <c r="F557" s="99" t="n"/>
      <c r="G557" s="99" t="n"/>
    </row>
    <row r="558">
      <c r="F558" s="99" t="n"/>
      <c r="G558" s="99" t="n"/>
    </row>
    <row r="559">
      <c r="F559" s="99" t="n"/>
      <c r="G559" s="99" t="n"/>
    </row>
    <row r="560">
      <c r="F560" s="99" t="n"/>
      <c r="G560" s="99" t="n"/>
    </row>
    <row r="561">
      <c r="F561" s="99" t="n"/>
      <c r="G561" s="99" t="n"/>
    </row>
    <row r="562">
      <c r="F562" s="99" t="n"/>
      <c r="G562" s="99" t="n"/>
    </row>
    <row r="563">
      <c r="F563" s="99" t="n"/>
      <c r="G563" s="99" t="n"/>
    </row>
    <row r="564">
      <c r="F564" s="99" t="n"/>
      <c r="G564" s="99" t="n"/>
    </row>
    <row r="565">
      <c r="F565" s="99" t="n"/>
      <c r="G565" s="99" t="n"/>
    </row>
    <row r="566">
      <c r="F566" s="99" t="n"/>
      <c r="G566" s="99" t="n"/>
    </row>
    <row r="567">
      <c r="F567" s="99" t="n"/>
      <c r="G567" s="99" t="n"/>
    </row>
    <row r="568">
      <c r="F568" s="99" t="n"/>
      <c r="G568" s="99" t="n"/>
    </row>
    <row r="569">
      <c r="F569" s="99" t="n"/>
      <c r="G569" s="99" t="n"/>
    </row>
    <row r="570">
      <c r="F570" s="99" t="n"/>
      <c r="G570" s="99" t="n"/>
    </row>
    <row r="571">
      <c r="F571" s="99" t="n"/>
      <c r="G571" s="99" t="n"/>
    </row>
    <row r="572">
      <c r="A572" s="97">
        <f t="array" ref="A572">"P005 · "&amp;'Project Dashboard'!$B$10&amp;" — CRs ("&amp;SUMPRODUCT(('Work Items'!$A$6:$A$64="CR")*('Work Items'!$D$6:$D$64='Project Dashboard'!$B$10))&amp;")"</f>
        <v/>
      </c>
    </row>
    <row r="573">
      <c r="A573" s="98" t="inlineStr">
        <is>
          <t>ID</t>
        </is>
      </c>
      <c r="B573" s="98" t="inlineStr">
        <is>
          <t>Summary</t>
        </is>
      </c>
      <c r="C573" s="98" t="inlineStr">
        <is>
          <t>Assigned To</t>
        </is>
      </c>
      <c r="D573" s="98" t="inlineStr">
        <is>
          <t>Priority</t>
        </is>
      </c>
      <c r="E573" s="98" t="inlineStr">
        <is>
          <t>Status</t>
        </is>
      </c>
      <c r="F573" s="98" t="inlineStr">
        <is>
          <t>Start</t>
        </is>
      </c>
      <c r="G573" s="98" t="inlineStr">
        <is>
          <t>End</t>
        </is>
      </c>
    </row>
    <row r="574">
      <c r="A574">
        <f t="array" ref="A574">IFERROR(_xlfn._xlws.FILTER(CHOOSE({1,2,3,4,5,6,7},'Work Items'!$B$6:$B$64,'Work Items'!$C$6:$C$64,'Work Items'!$J$6:$J$64,'Work Items'!$K$6:$K$64,'Work Items'!$L$6:$L$64,'Work Items'!$P$6:$P$64,'Work Items'!$Q$6:$Q$64),('Work Items'!$A$6:$A$64="CR")*('Work Items'!$D$6:$D$64='Project Dashboard'!$B$10),"— none —"),"— none —")</f>
        <v/>
      </c>
      <c r="F574" s="99" t="n"/>
      <c r="G574" s="99" t="n"/>
    </row>
    <row r="575">
      <c r="F575" s="99" t="n"/>
      <c r="G575" s="99" t="n"/>
    </row>
    <row r="576">
      <c r="F576" s="99" t="n"/>
      <c r="G576" s="99" t="n"/>
    </row>
    <row r="577">
      <c r="F577" s="99" t="n"/>
      <c r="G577" s="99" t="n"/>
    </row>
    <row r="578">
      <c r="F578" s="99" t="n"/>
      <c r="G578" s="99" t="n"/>
    </row>
    <row r="579">
      <c r="F579" s="99" t="n"/>
      <c r="G579" s="99" t="n"/>
    </row>
    <row r="580">
      <c r="F580" s="99" t="n"/>
      <c r="G580" s="99" t="n"/>
    </row>
    <row r="581">
      <c r="F581" s="99" t="n"/>
      <c r="G581" s="99" t="n"/>
    </row>
    <row r="582">
      <c r="F582" s="99" t="n"/>
      <c r="G582" s="99" t="n"/>
    </row>
    <row r="583">
      <c r="F583" s="99" t="n"/>
      <c r="G583" s="99" t="n"/>
    </row>
    <row r="584">
      <c r="F584" s="99" t="n"/>
      <c r="G584" s="99" t="n"/>
    </row>
    <row r="585">
      <c r="F585" s="99" t="n"/>
      <c r="G585" s="99" t="n"/>
    </row>
    <row r="586">
      <c r="F586" s="99" t="n"/>
      <c r="G586" s="99" t="n"/>
    </row>
    <row r="587">
      <c r="F587" s="99" t="n"/>
      <c r="G587" s="99" t="n"/>
    </row>
    <row r="588">
      <c r="F588" s="99" t="n"/>
      <c r="G588" s="99" t="n"/>
    </row>
    <row r="589">
      <c r="F589" s="99" t="n"/>
      <c r="G589" s="99" t="n"/>
    </row>
    <row r="590">
      <c r="F590" s="99" t="n"/>
      <c r="G590" s="99" t="n"/>
    </row>
    <row r="591">
      <c r="F591" s="99" t="n"/>
      <c r="G591" s="99" t="n"/>
    </row>
    <row r="592">
      <c r="F592" s="99" t="n"/>
      <c r="G592" s="99" t="n"/>
    </row>
    <row r="593">
      <c r="F593" s="99" t="n"/>
      <c r="G593" s="99" t="n"/>
    </row>
    <row r="594">
      <c r="F594" s="99" t="n"/>
      <c r="G594" s="99" t="n"/>
    </row>
    <row r="595">
      <c r="F595" s="99" t="n"/>
      <c r="G595" s="99" t="n"/>
    </row>
    <row r="596">
      <c r="F596" s="99" t="n"/>
      <c r="G596" s="99" t="n"/>
    </row>
    <row r="597">
      <c r="F597" s="99" t="n"/>
      <c r="G597" s="99" t="n"/>
    </row>
    <row r="598">
      <c r="F598" s="99" t="n"/>
      <c r="G598" s="99" t="n"/>
    </row>
    <row r="599">
      <c r="F599" s="99" t="n"/>
      <c r="G599" s="99" t="n"/>
    </row>
    <row r="600">
      <c r="F600" s="99" t="n"/>
      <c r="G600" s="99" t="n"/>
    </row>
    <row r="601">
      <c r="F601" s="99" t="n"/>
      <c r="G601" s="99" t="n"/>
    </row>
  </sheetData>
  <mergeCells count="21">
    <mergeCell ref="A32:G32"/>
    <mergeCell ref="A122:G122"/>
    <mergeCell ref="A62:G62"/>
    <mergeCell ref="A542:G542"/>
    <mergeCell ref="A482:G482"/>
    <mergeCell ref="A332:G332"/>
    <mergeCell ref="A392:G392"/>
    <mergeCell ref="A152:G152"/>
    <mergeCell ref="A362:G362"/>
    <mergeCell ref="A92:G92"/>
    <mergeCell ref="A182:G182"/>
    <mergeCell ref="A452:G452"/>
    <mergeCell ref="A1:G1"/>
    <mergeCell ref="A422:G422"/>
    <mergeCell ref="A212:G212"/>
    <mergeCell ref="A572:G572"/>
    <mergeCell ref="A512:G512"/>
    <mergeCell ref="A272:G272"/>
    <mergeCell ref="A2:G2"/>
    <mergeCell ref="A302:G302"/>
    <mergeCell ref="A242:G2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I39" sqref="I39"/>
    </sheetView>
  </sheetViews>
  <sheetFormatPr baseColWidth="10" defaultRowHeight="15"/>
  <cols>
    <col width="29.1640625" customWidth="1" style="66" min="1" max="1"/>
    <col width="15.83203125" customWidth="1" style="66" min="2" max="6"/>
  </cols>
  <sheetData>
    <row r="1" ht="19" customHeight="1" s="66">
      <c r="A1" s="119" t="inlineStr">
        <is>
          <t>OrbitFlow — Billing Milestones &amp; Schedule</t>
        </is>
      </c>
    </row>
    <row r="2">
      <c r="A2" s="121" t="inlineStr">
        <is>
          <t>Billing model by Project Type · Fixed Bid = milestone % of SOW · Fixed Monthly = team price × months · T&amp;M = hours × rate · Rates from CONFIG</t>
        </is>
      </c>
    </row>
    <row r="4">
      <c r="A4" s="122" t="inlineStr">
        <is>
          <t>Project ID</t>
        </is>
      </c>
      <c r="B4" s="122" t="inlineStr">
        <is>
          <t>Project Name</t>
        </is>
      </c>
      <c r="C4" s="122" t="inlineStr">
        <is>
          <t>Project Type</t>
        </is>
      </c>
      <c r="D4" s="122" t="inlineStr">
        <is>
          <t>Billing Model</t>
        </is>
      </c>
      <c r="E4" s="122" t="inlineStr">
        <is>
          <t>SOW Value ($)</t>
        </is>
      </c>
      <c r="F4" s="122" t="inlineStr">
        <is>
          <t>Scheduled Billing ($)</t>
        </is>
      </c>
    </row>
    <row r="5">
      <c r="A5" s="124">
        <f>IFERROR('Projects Master'!A5,"")</f>
        <v/>
      </c>
      <c r="B5" s="124">
        <f>IFERROR(VLOOKUP($A5,'Projects Master'!$A:$K,2,0),"")</f>
        <v/>
      </c>
      <c r="C5" s="124">
        <f>IFERROR(VLOOKUP($A5,'Projects Master'!$A:$K,5,0),"")</f>
        <v/>
      </c>
      <c r="D5" s="124">
        <f>IF($C5="One Time - Implementation","Fixed Bid (Milestones)",IF($C5="Fixed Monthly Block of Hours","Fixed Monthly (Team Price)","T&amp;M (Hours × Rate)"))</f>
        <v/>
      </c>
      <c r="E5" s="225">
        <f>IFERROR(VLOOKUP($A5,'Projects Master'!$A:$K,11,0),"")</f>
        <v/>
      </c>
      <c r="F5" s="225">
        <f>F31</f>
        <v/>
      </c>
    </row>
    <row r="6">
      <c r="A6" s="126">
        <f>IFERROR('Projects Master'!A6,"")</f>
        <v/>
      </c>
      <c r="B6" s="126">
        <f>IFERROR(VLOOKUP($A6,'Projects Master'!$A:$K,2,0),"")</f>
        <v/>
      </c>
      <c r="C6" s="126">
        <f>IFERROR(VLOOKUP($A6,'Projects Master'!$A:$K,5,0),"")</f>
        <v/>
      </c>
      <c r="D6" s="126">
        <f>IF($C6="One Time - Implementation","Fixed Bid (Milestones)",IF($C6="Fixed Monthly Block of Hours","Fixed Monthly (Team Price)","T&amp;M (Hours × Rate)"))</f>
        <v/>
      </c>
      <c r="E6" s="226">
        <f>IFERROR(VLOOKUP($A6,'Projects Master'!$A:$K,11,0),"")</f>
        <v/>
      </c>
      <c r="F6" s="226">
        <f>SUM($D$13:$D$16)</f>
        <v/>
      </c>
    </row>
    <row r="7">
      <c r="A7" s="126">
        <f>IFERROR('Projects Master'!A7,"")</f>
        <v/>
      </c>
      <c r="B7" s="126">
        <f>IFERROR(VLOOKUP($A7,'Projects Master'!$A:$K,2,0),"")</f>
        <v/>
      </c>
      <c r="C7" s="126">
        <f>IFERROR(VLOOKUP($A7,'Projects Master'!$A:$K,5,0),"")</f>
        <v/>
      </c>
      <c r="D7" s="126">
        <f>IF($C7="One Time - Implementation","Fixed Bid (Milestones)",IF($C7="Fixed Monthly Block of Hours","Fixed Monthly (Team Price)","T&amp;M (Hours × Rate)"))</f>
        <v/>
      </c>
      <c r="E7" s="226">
        <f>IFERROR(VLOOKUP($A7,'Projects Master'!$A:$K,11,0),"")</f>
        <v/>
      </c>
      <c r="F7" s="226">
        <f>F41</f>
        <v/>
      </c>
    </row>
    <row r="8">
      <c r="A8" s="126">
        <f>IFERROR('Projects Master'!A8,"")</f>
        <v/>
      </c>
      <c r="B8" s="126">
        <f>IFERROR(VLOOKUP($A8,'Projects Master'!$A:$K,2,0),"")</f>
        <v/>
      </c>
      <c r="C8" s="126">
        <f>IFERROR(VLOOKUP($A8,'Projects Master'!$A:$K,5,0),"")</f>
        <v/>
      </c>
      <c r="D8" s="126">
        <f>IF($C8="One Time - Implementation","Fixed Bid (Milestones)",IF($C8="Fixed Monthly Block of Hours","Fixed Monthly (Team Price)","T&amp;M (Hours × Rate)"))</f>
        <v/>
      </c>
      <c r="E8" s="226">
        <f>IFERROR(VLOOKUP($A8,'Projects Master'!$A:$K,11,0),"")</f>
        <v/>
      </c>
      <c r="F8" s="226">
        <f>SUM($D$17:$D$20)</f>
        <v/>
      </c>
    </row>
    <row r="9">
      <c r="A9" s="128">
        <f>IFERROR('Projects Master'!A9,"")</f>
        <v/>
      </c>
      <c r="B9" s="128">
        <f>IFERROR(VLOOKUP($A9,'Projects Master'!$A:$K,2,0),"")</f>
        <v/>
      </c>
      <c r="C9" s="128">
        <f>IFERROR(VLOOKUP($A9,'Projects Master'!$A:$K,5,0),"")</f>
        <v/>
      </c>
      <c r="D9" s="128">
        <f>IF($C9="One Time - Implementation","Fixed Bid (Milestones)",IF($C9="Fixed Monthly Block of Hours","Fixed Monthly (Team Price)","T&amp;M (Hours × Rate)"))</f>
        <v/>
      </c>
      <c r="E9" s="227">
        <f>IFERROR(VLOOKUP($A9,'Projects Master'!$A:$K,11,0),"")</f>
        <v/>
      </c>
      <c r="F9" s="227">
        <f>F51</f>
        <v/>
      </c>
    </row>
    <row r="10">
      <c r="A10">
        <f>IFERROR('Projects Master'!A10,"")</f>
        <v/>
      </c>
      <c r="B10">
        <f>IFERROR(VLOOKUP($A10,'Projects Master'!$A:$K,2,0),"")</f>
        <v/>
      </c>
      <c r="C10">
        <f>IFERROR(VLOOKUP($A10,'Projects Master'!$A:$K,5,0),"")</f>
        <v/>
      </c>
      <c r="D10">
        <f>IF($C10="One Time - Implementation","Fixed Bid (Milestones)",IF($C10="Fixed Monthly Block of Hours","Fixed Monthly (Team Price)","T&amp;M (Hours × Rate)"))</f>
        <v/>
      </c>
      <c r="E10">
        <f>IFERROR(VLOOKUP($A10,'Projects Master'!$A:$K,11,0),"")</f>
        <v/>
      </c>
      <c r="F10" t="n">
        <v>0</v>
      </c>
    </row>
    <row r="11">
      <c r="A11" s="96" t="inlineStr">
        <is>
          <t>FIXED BID — MILESTONE BILLING (One-Time Implementation)</t>
        </is>
      </c>
    </row>
    <row r="12">
      <c r="A12" s="122" t="inlineStr">
        <is>
          <t>Project</t>
        </is>
      </c>
      <c r="B12" s="122" t="inlineStr">
        <is>
          <t>Milestone</t>
        </is>
      </c>
      <c r="C12" s="122" t="inlineStr">
        <is>
          <t>% of SOW</t>
        </is>
      </c>
      <c r="D12" s="122" t="inlineStr">
        <is>
          <t>Amount ($)</t>
        </is>
      </c>
      <c r="E12" s="122" t="inlineStr">
        <is>
          <t>Status</t>
        </is>
      </c>
    </row>
    <row r="13">
      <c r="A13" t="inlineStr">
        <is>
          <t>P002</t>
        </is>
      </c>
      <c r="B13" t="inlineStr">
        <is>
          <t>Kickoff</t>
        </is>
      </c>
      <c r="C13" s="130" t="n">
        <v>0.3</v>
      </c>
      <c r="D13" s="228">
        <f>VLOOKUP($A13,'Projects Master'!$A:$K,11,0)*$C13</f>
        <v/>
      </c>
      <c r="E13" t="inlineStr">
        <is>
          <t>Pending</t>
        </is>
      </c>
    </row>
    <row r="14">
      <c r="A14" t="inlineStr">
        <is>
          <t>P002</t>
        </is>
      </c>
      <c r="B14" t="inlineStr">
        <is>
          <t>Development Complete</t>
        </is>
      </c>
      <c r="C14" s="130" t="n">
        <v>0.4</v>
      </c>
      <c r="D14" s="228">
        <f>VLOOKUP($A14,'Projects Master'!$A:$K,11,0)*$C14</f>
        <v/>
      </c>
      <c r="E14" t="inlineStr">
        <is>
          <t>Pending</t>
        </is>
      </c>
    </row>
    <row r="15">
      <c r="A15" t="inlineStr">
        <is>
          <t>P002</t>
        </is>
      </c>
      <c r="B15" t="inlineStr">
        <is>
          <t>UAT Signoff</t>
        </is>
      </c>
      <c r="C15" s="130" t="n">
        <v>0.2</v>
      </c>
      <c r="D15" s="228">
        <f>VLOOKUP($A15,'Projects Master'!$A:$K,11,0)*$C15</f>
        <v/>
      </c>
      <c r="E15" t="inlineStr">
        <is>
          <t>Pending</t>
        </is>
      </c>
    </row>
    <row r="16">
      <c r="A16" t="inlineStr">
        <is>
          <t>P002</t>
        </is>
      </c>
      <c r="B16" t="inlineStr">
        <is>
          <t>Project Signoff</t>
        </is>
      </c>
      <c r="C16" s="130" t="n">
        <v>0.1</v>
      </c>
      <c r="D16" s="228">
        <f>VLOOKUP($A16,'Projects Master'!$A:$K,11,0)*$C16</f>
        <v/>
      </c>
      <c r="E16" t="inlineStr">
        <is>
          <t>Pending</t>
        </is>
      </c>
    </row>
    <row r="17">
      <c r="A17" t="inlineStr">
        <is>
          <t>P004</t>
        </is>
      </c>
      <c r="B17" t="inlineStr">
        <is>
          <t>Kickoff</t>
        </is>
      </c>
      <c r="C17" s="130" t="n">
        <v>0.3</v>
      </c>
      <c r="D17" s="228">
        <f>VLOOKUP($A17,'Projects Master'!$A:$K,11,0)*$C17</f>
        <v/>
      </c>
      <c r="E17" t="inlineStr">
        <is>
          <t>Pending</t>
        </is>
      </c>
    </row>
    <row r="18">
      <c r="A18" t="inlineStr">
        <is>
          <t>P004</t>
        </is>
      </c>
      <c r="B18" t="inlineStr">
        <is>
          <t>Development Complete</t>
        </is>
      </c>
      <c r="C18" s="130" t="n">
        <v>0.4</v>
      </c>
      <c r="D18" s="228">
        <f>VLOOKUP($A18,'Projects Master'!$A:$K,11,0)*$C18</f>
        <v/>
      </c>
      <c r="E18" t="inlineStr">
        <is>
          <t>Pending</t>
        </is>
      </c>
    </row>
    <row r="19">
      <c r="A19" t="inlineStr">
        <is>
          <t>P004</t>
        </is>
      </c>
      <c r="B19" t="inlineStr">
        <is>
          <t>UAT Signoff</t>
        </is>
      </c>
      <c r="C19" s="130" t="n">
        <v>0.2</v>
      </c>
      <c r="D19" s="228">
        <f>VLOOKUP($A19,'Projects Master'!$A:$K,11,0)*$C19</f>
        <v/>
      </c>
      <c r="E19" t="inlineStr">
        <is>
          <t>Pending</t>
        </is>
      </c>
    </row>
    <row r="20">
      <c r="A20" t="inlineStr">
        <is>
          <t>P004</t>
        </is>
      </c>
      <c r="B20" t="inlineStr">
        <is>
          <t>Project Signoff</t>
        </is>
      </c>
      <c r="C20" s="130" t="n">
        <v>0.1</v>
      </c>
      <c r="D20" s="228">
        <f>VLOOKUP($A20,'Projects Master'!$A:$K,11,0)*$C20</f>
        <v/>
      </c>
      <c r="E20" t="inlineStr">
        <is>
          <t>Pending</t>
        </is>
      </c>
    </row>
    <row r="22">
      <c r="A22" s="96" t="inlineStr">
        <is>
          <t>FIXED MONTHLY — TEAM-BASED PRICING (editable count &amp; location per project)</t>
        </is>
      </c>
    </row>
    <row r="23">
      <c r="A23" s="131">
        <f>"P001 — "&amp;VLOOKUP("P001",'Projects Master'!$A:$K,2,0)&amp;" (Fixed Monthly Team Price)"</f>
        <v/>
      </c>
    </row>
    <row r="24">
      <c r="A24" s="132" t="inlineStr">
        <is>
          <t>Role</t>
        </is>
      </c>
      <c r="B24" s="132" t="inlineStr">
        <is>
          <t>Count</t>
        </is>
      </c>
      <c r="C24" s="132" t="inlineStr">
        <is>
          <t>Location</t>
        </is>
      </c>
      <c r="D24" s="132" t="inlineStr">
        <is>
          <t>Rate ($/hr)</t>
        </is>
      </c>
      <c r="E24" s="132" t="inlineStr">
        <is>
          <t>Hrs/Month</t>
        </is>
      </c>
      <c r="F24" s="132" t="inlineStr">
        <is>
          <t>Monthly ($)</t>
        </is>
      </c>
    </row>
    <row r="25">
      <c r="A25" t="inlineStr">
        <is>
          <t>Project Manager</t>
        </is>
      </c>
      <c r="B25" s="229" t="n">
        <v>0.5</v>
      </c>
      <c r="C25" s="112" t="inlineStr">
        <is>
          <t>Onsite</t>
        </is>
      </c>
      <c r="D25" s="228">
        <f>IF($C25="Onsite",VLOOKUP($A25,CONFIG!$A$11:$C$18,2,0),VLOOKUP($A25,CONFIG!$A$11:$C$18,3,0))</f>
        <v/>
      </c>
      <c r="E25" s="134">
        <f>CONFIG!$B$6</f>
        <v/>
      </c>
      <c r="F25" s="228">
        <f>$B25*$D25*$E25</f>
        <v/>
      </c>
    </row>
    <row r="26">
      <c r="A26" t="inlineStr">
        <is>
          <t>Developer</t>
        </is>
      </c>
      <c r="B26" s="229" t="n">
        <v>2</v>
      </c>
      <c r="C26" s="112" t="inlineStr">
        <is>
          <t>Offshore</t>
        </is>
      </c>
      <c r="D26" s="228">
        <f>IF($C26="Onsite",VLOOKUP($A26,CONFIG!$A$11:$C$18,2,0),VLOOKUP($A26,CONFIG!$A$11:$C$18,3,0))</f>
        <v/>
      </c>
      <c r="E26" s="134">
        <f>CONFIG!$B$6</f>
        <v/>
      </c>
      <c r="F26" s="228">
        <f>$B26*$D26*$E26</f>
        <v/>
      </c>
    </row>
    <row r="27">
      <c r="A27" t="inlineStr">
        <is>
          <t>QA Engineer</t>
        </is>
      </c>
      <c r="B27" s="229" t="n">
        <v>1</v>
      </c>
      <c r="C27" s="112" t="inlineStr">
        <is>
          <t>Offshore</t>
        </is>
      </c>
      <c r="D27" s="228">
        <f>IF($C27="Onsite",VLOOKUP($A27,CONFIG!$A$11:$C$18,2,0),VLOOKUP($A27,CONFIG!$A$11:$C$18,3,0))</f>
        <v/>
      </c>
      <c r="E27" s="134">
        <f>CONFIG!$B$6</f>
        <v/>
      </c>
      <c r="F27" s="228">
        <f>$B27*$D27*$E27</f>
        <v/>
      </c>
    </row>
    <row r="28">
      <c r="A28" t="inlineStr">
        <is>
          <t>Business Analyst</t>
        </is>
      </c>
      <c r="B28" s="229" t="n">
        <v>0.5</v>
      </c>
      <c r="C28" s="112" t="inlineStr">
        <is>
          <t>Onsite</t>
        </is>
      </c>
      <c r="D28" s="228">
        <f>IF($C28="Onsite",VLOOKUP($A28,CONFIG!$A$11:$C$18,2,0),VLOOKUP($A28,CONFIG!$A$11:$C$18,3,0))</f>
        <v/>
      </c>
      <c r="E28" s="134">
        <f>CONFIG!$B$6</f>
        <v/>
      </c>
      <c r="F28" s="228">
        <f>$B28*$D28*$E28</f>
        <v/>
      </c>
    </row>
    <row r="29">
      <c r="A29" s="135" t="inlineStr">
        <is>
          <t>Monthly Price ($)</t>
        </is>
      </c>
      <c r="F29" s="230">
        <f>SUM(F25:F28)</f>
        <v/>
      </c>
    </row>
    <row r="30">
      <c r="A30" s="135" t="inlineStr">
        <is>
          <t>Contract Months (SOW Hrs ÷ 160)</t>
        </is>
      </c>
      <c r="F30" s="231">
        <f>VLOOKUP("P001",'Projects Master'!$A:$K,9,0)/CONFIG!$B$6</f>
        <v/>
      </c>
    </row>
    <row r="31">
      <c r="A31" s="135" t="inlineStr">
        <is>
          <t>Contract Value ($)</t>
        </is>
      </c>
      <c r="F31" s="232">
        <f>F29*F30</f>
        <v/>
      </c>
    </row>
    <row r="33">
      <c r="A33" s="131">
        <f>"P003 — "&amp;VLOOKUP("P003",'Projects Master'!$A:$K,2,0)&amp;" (Fixed Monthly Team Price)"</f>
        <v/>
      </c>
    </row>
    <row r="34">
      <c r="A34" s="132" t="inlineStr">
        <is>
          <t>Role</t>
        </is>
      </c>
      <c r="B34" s="132" t="inlineStr">
        <is>
          <t>Count</t>
        </is>
      </c>
      <c r="C34" s="132" t="inlineStr">
        <is>
          <t>Location</t>
        </is>
      </c>
      <c r="D34" s="132" t="inlineStr">
        <is>
          <t>Rate ($/hr)</t>
        </is>
      </c>
      <c r="E34" s="132" t="inlineStr">
        <is>
          <t>Hrs/Month</t>
        </is>
      </c>
      <c r="F34" s="132" t="inlineStr">
        <is>
          <t>Monthly ($)</t>
        </is>
      </c>
    </row>
    <row r="35">
      <c r="A35" t="inlineStr">
        <is>
          <t>Project Manager</t>
        </is>
      </c>
      <c r="B35" s="229" t="n">
        <v>0.5</v>
      </c>
      <c r="C35" s="112" t="inlineStr">
        <is>
          <t>Onsite</t>
        </is>
      </c>
      <c r="D35" s="228">
        <f>IF($C35="Onsite",VLOOKUP($A35,CONFIG!$A$11:$C$18,2,0),VLOOKUP($A35,CONFIG!$A$11:$C$18,3,0))</f>
        <v/>
      </c>
      <c r="E35" s="134">
        <f>CONFIG!$B$6</f>
        <v/>
      </c>
      <c r="F35" s="228">
        <f>$B35*$D35*$E35</f>
        <v/>
      </c>
    </row>
    <row r="36">
      <c r="A36" t="inlineStr">
        <is>
          <t>Developer</t>
        </is>
      </c>
      <c r="B36" s="229" t="n">
        <v>2</v>
      </c>
      <c r="C36" s="112" t="inlineStr">
        <is>
          <t>Offshore</t>
        </is>
      </c>
      <c r="D36" s="228">
        <f>IF($C36="Onsite",VLOOKUP($A36,CONFIG!$A$11:$C$18,2,0),VLOOKUP($A36,CONFIG!$A$11:$C$18,3,0))</f>
        <v/>
      </c>
      <c r="E36" s="134">
        <f>CONFIG!$B$6</f>
        <v/>
      </c>
      <c r="F36" s="228">
        <f>$B36*$D36*$E36</f>
        <v/>
      </c>
    </row>
    <row r="37">
      <c r="A37" t="inlineStr">
        <is>
          <t>QA Engineer</t>
        </is>
      </c>
      <c r="B37" s="229" t="n">
        <v>1</v>
      </c>
      <c r="C37" s="112" t="inlineStr">
        <is>
          <t>Offshore</t>
        </is>
      </c>
      <c r="D37" s="228">
        <f>IF($C37="Onsite",VLOOKUP($A37,CONFIG!$A$11:$C$18,2,0),VLOOKUP($A37,CONFIG!$A$11:$C$18,3,0))</f>
        <v/>
      </c>
      <c r="E37" s="134">
        <f>CONFIG!$B$6</f>
        <v/>
      </c>
      <c r="F37" s="228">
        <f>$B37*$D37*$E37</f>
        <v/>
      </c>
    </row>
    <row r="38">
      <c r="A38" t="inlineStr">
        <is>
          <t>Business Analyst</t>
        </is>
      </c>
      <c r="B38" s="229" t="n">
        <v>0.5</v>
      </c>
      <c r="C38" s="112" t="inlineStr">
        <is>
          <t>Onsite</t>
        </is>
      </c>
      <c r="D38" s="228">
        <f>IF($C38="Onsite",VLOOKUP($A38,CONFIG!$A$11:$C$18,2,0),VLOOKUP($A38,CONFIG!$A$11:$C$18,3,0))</f>
        <v/>
      </c>
      <c r="E38" s="134">
        <f>CONFIG!$B$6</f>
        <v/>
      </c>
      <c r="F38" s="228">
        <f>$B38*$D38*$E38</f>
        <v/>
      </c>
    </row>
    <row r="39">
      <c r="A39" s="135" t="inlineStr">
        <is>
          <t>Monthly Price ($)</t>
        </is>
      </c>
      <c r="F39" s="230">
        <f>SUM(F35:F38)</f>
        <v/>
      </c>
    </row>
    <row r="40">
      <c r="A40" s="135" t="inlineStr">
        <is>
          <t>Contract Months (SOW Hrs ÷ 160)</t>
        </is>
      </c>
      <c r="F40" s="231">
        <f>VLOOKUP("P003",'Projects Master'!$A:$K,9,0)/CONFIG!$B$6</f>
        <v/>
      </c>
    </row>
    <row r="41">
      <c r="A41" s="135" t="inlineStr">
        <is>
          <t>Contract Value ($)</t>
        </is>
      </c>
      <c r="F41" s="232">
        <f>F39*F40</f>
        <v/>
      </c>
    </row>
    <row r="43">
      <c r="A43" s="131">
        <f>"P005 — "&amp;VLOOKUP("P005",'Projects Master'!$A:$K,2,0)&amp;" (Fixed Monthly Team Price)"</f>
        <v/>
      </c>
    </row>
    <row r="44">
      <c r="A44" s="132" t="inlineStr">
        <is>
          <t>Role</t>
        </is>
      </c>
      <c r="B44" s="132" t="inlineStr">
        <is>
          <t>Count</t>
        </is>
      </c>
      <c r="C44" s="132" t="inlineStr">
        <is>
          <t>Location</t>
        </is>
      </c>
      <c r="D44" s="132" t="inlineStr">
        <is>
          <t>Rate ($/hr)</t>
        </is>
      </c>
      <c r="E44" s="132" t="inlineStr">
        <is>
          <t>Hrs/Month</t>
        </is>
      </c>
      <c r="F44" s="132" t="inlineStr">
        <is>
          <t>Monthly ($)</t>
        </is>
      </c>
    </row>
    <row r="45">
      <c r="A45" t="inlineStr">
        <is>
          <t>Project Manager</t>
        </is>
      </c>
      <c r="B45" s="229" t="n">
        <v>0.5</v>
      </c>
      <c r="C45" s="112" t="inlineStr">
        <is>
          <t>Onsite</t>
        </is>
      </c>
      <c r="D45" s="228">
        <f>IF($C45="Onsite",VLOOKUP($A45,CONFIG!$A$11:$C$18,2,0),VLOOKUP($A45,CONFIG!$A$11:$C$18,3,0))</f>
        <v/>
      </c>
      <c r="E45" s="134">
        <f>CONFIG!$B$6</f>
        <v/>
      </c>
      <c r="F45" s="228">
        <f>$B45*$D45*$E45</f>
        <v/>
      </c>
    </row>
    <row r="46">
      <c r="A46" t="inlineStr">
        <is>
          <t>Developer</t>
        </is>
      </c>
      <c r="B46" s="229" t="n">
        <v>2</v>
      </c>
      <c r="C46" s="112" t="inlineStr">
        <is>
          <t>Offshore</t>
        </is>
      </c>
      <c r="D46" s="228">
        <f>IF($C46="Onsite",VLOOKUP($A46,CONFIG!$A$11:$C$18,2,0),VLOOKUP($A46,CONFIG!$A$11:$C$18,3,0))</f>
        <v/>
      </c>
      <c r="E46" s="134">
        <f>CONFIG!$B$6</f>
        <v/>
      </c>
      <c r="F46" s="228">
        <f>$B46*$D46*$E46</f>
        <v/>
      </c>
    </row>
    <row r="47">
      <c r="A47" t="inlineStr">
        <is>
          <t>QA Engineer</t>
        </is>
      </c>
      <c r="B47" s="229" t="n">
        <v>1</v>
      </c>
      <c r="C47" s="112" t="inlineStr">
        <is>
          <t>Offshore</t>
        </is>
      </c>
      <c r="D47" s="228">
        <f>IF($C47="Onsite",VLOOKUP($A47,CONFIG!$A$11:$C$18,2,0),VLOOKUP($A47,CONFIG!$A$11:$C$18,3,0))</f>
        <v/>
      </c>
      <c r="E47" s="134">
        <f>CONFIG!$B$6</f>
        <v/>
      </c>
      <c r="F47" s="228">
        <f>$B47*$D47*$E47</f>
        <v/>
      </c>
    </row>
    <row r="48">
      <c r="A48" t="inlineStr">
        <is>
          <t>Business Analyst</t>
        </is>
      </c>
      <c r="B48" s="229" t="n">
        <v>0.5</v>
      </c>
      <c r="C48" s="112" t="inlineStr">
        <is>
          <t>Onsite</t>
        </is>
      </c>
      <c r="D48" s="228">
        <f>IF($C48="Onsite",VLOOKUP($A48,CONFIG!$A$11:$C$18,2,0),VLOOKUP($A48,CONFIG!$A$11:$C$18,3,0))</f>
        <v/>
      </c>
      <c r="E48" s="134">
        <f>CONFIG!$B$6</f>
        <v/>
      </c>
      <c r="F48" s="228">
        <f>$B48*$D48*$E48</f>
        <v/>
      </c>
    </row>
    <row r="49">
      <c r="A49" s="135" t="inlineStr">
        <is>
          <t>Monthly Price ($)</t>
        </is>
      </c>
      <c r="F49" s="230">
        <f>SUM(F45:F48)</f>
        <v/>
      </c>
    </row>
    <row r="50">
      <c r="A50" s="135" t="inlineStr">
        <is>
          <t>Contract Months (SOW Hrs ÷ 160)</t>
        </is>
      </c>
      <c r="F50" s="231">
        <f>VLOOKUP("P005",'Projects Master'!$A:$K,9,0)/CONFIG!$B$6</f>
        <v/>
      </c>
    </row>
    <row r="51">
      <c r="A51" s="135" t="inlineStr">
        <is>
          <t>Contract Value ($)</t>
        </is>
      </c>
      <c r="F51" s="232">
        <f>F49*F50</f>
        <v/>
      </c>
    </row>
    <row r="53">
      <c r="A53" s="96" t="inlineStr">
        <is>
          <t>T&amp;M — TIME &amp; MATERIALS (no active project)</t>
        </is>
      </c>
    </row>
    <row r="54">
      <c r="A54" s="120" t="inlineStr">
        <is>
          <t>Billing = Hours × Rate. Use CONFIG onsite/offshore rate by role:  = Hours × VLOOKUP(Role, CONFIG!$A$11:$C$18, 2=Onsite|3=Offshore, 0)</t>
        </is>
      </c>
    </row>
  </sheetData>
  <mergeCells count="18">
    <mergeCell ref="A30:E30"/>
    <mergeCell ref="A33:F33"/>
    <mergeCell ref="A2:F2"/>
    <mergeCell ref="A50:E50"/>
    <mergeCell ref="A39:E39"/>
    <mergeCell ref="A11:F11"/>
    <mergeCell ref="A54:F54"/>
    <mergeCell ref="A29:E29"/>
    <mergeCell ref="A1:F1"/>
    <mergeCell ref="A23:F23"/>
    <mergeCell ref="A41:E41"/>
    <mergeCell ref="A51:E51"/>
    <mergeCell ref="A49:E49"/>
    <mergeCell ref="A22:F22"/>
    <mergeCell ref="A31:E31"/>
    <mergeCell ref="A53:F53"/>
    <mergeCell ref="A40:E40"/>
    <mergeCell ref="A43:F43"/>
  </mergeCells>
  <dataValidations count="1">
    <dataValidation sqref="C25:C28 C35:C38 C45:C48" showDropDown="0" showInputMessage="1" showErrorMessage="1" allowBlank="1" type="list">
      <formula1>"Onsite,Offshore"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14"/>
  <sheetViews>
    <sheetView workbookViewId="0">
      <pane ySplit="11" topLeftCell="A12" activePane="bottomLeft" state="frozen"/>
      <selection pane="bottomLeft" activeCell="E12" sqref="E12"/>
    </sheetView>
  </sheetViews>
  <sheetFormatPr baseColWidth="10" defaultRowHeight="15"/>
  <cols>
    <col width="25.83203125" customWidth="1" style="66" min="1" max="1"/>
    <col width="14.6640625" customWidth="1" style="66" min="2" max="2"/>
    <col width="24.1640625" customWidth="1" style="66" min="3" max="3"/>
    <col width="14.6640625" customWidth="1" style="66" min="4" max="4"/>
    <col width="22.5" customWidth="1" style="66" min="5" max="5"/>
    <col width="14.6640625" customWidth="1" style="66" min="6" max="12"/>
  </cols>
  <sheetData>
    <row r="1" ht="19" customHeight="1" s="66">
      <c r="A1" s="119" t="inlineStr">
        <is>
          <t>OrbitFlow — Resource Cost &amp; Cost-Benefit</t>
        </is>
      </c>
    </row>
    <row r="2">
      <c r="A2" s="139" t="inlineStr">
        <is>
          <t>Cost per resource by level (₹ Lakhs) → USD · Margin = bill potential (rate × hrs/month) − cost · Rates from CONFIG</t>
        </is>
      </c>
    </row>
    <row r="4">
      <c r="A4" s="140" t="inlineStr">
        <is>
          <t>ASSUMPTIONS</t>
        </is>
      </c>
      <c r="D4" s="143" t="inlineStr">
        <is>
          <t>Level</t>
        </is>
      </c>
      <c r="E4" s="143" t="inlineStr">
        <is>
          <t>Annual Cost (₹L)</t>
        </is>
      </c>
      <c r="N4" s="144" t="inlineStr">
        <is>
          <t>Roster Role</t>
        </is>
      </c>
      <c r="O4" s="144" t="inlineStr">
        <is>
          <t>Rate Card Role</t>
        </is>
      </c>
    </row>
    <row r="5">
      <c r="A5" s="110" t="inlineStr">
        <is>
          <t>FX (₹ per $)</t>
        </is>
      </c>
      <c r="B5" s="141" t="n">
        <v>83</v>
      </c>
      <c r="D5" s="126" t="n">
        <v>1</v>
      </c>
      <c r="E5" s="126" t="n">
        <v>36</v>
      </c>
      <c r="N5" s="145" t="inlineStr">
        <is>
          <t>COO</t>
        </is>
      </c>
      <c r="O5" s="145" t="inlineStr">
        <is>
          <t>Solution Architect</t>
        </is>
      </c>
    </row>
    <row r="6">
      <c r="A6" s="110" t="inlineStr">
        <is>
          <t>Hrs / Month</t>
        </is>
      </c>
      <c r="B6" s="118">
        <f>CONFIG!$B$6</f>
        <v/>
      </c>
      <c r="D6" s="126" t="n">
        <v>2</v>
      </c>
      <c r="E6" s="126" t="n">
        <v>24</v>
      </c>
      <c r="N6" s="145" t="inlineStr">
        <is>
          <t>Project Lead</t>
        </is>
      </c>
      <c r="O6" s="145" t="inlineStr">
        <is>
          <t>Project Manager</t>
        </is>
      </c>
    </row>
    <row r="7">
      <c r="A7" s="110" t="inlineStr">
        <is>
          <t>Blended Cost ($/hr)</t>
        </is>
      </c>
      <c r="B7" s="233">
        <f>IFERROR(AVERAGE($I$12:$I$51)/$B$6,0)</f>
        <v/>
      </c>
      <c r="D7" s="126" t="n">
        <v>3</v>
      </c>
      <c r="E7" s="126" t="n">
        <v>24</v>
      </c>
      <c r="N7" s="145" t="inlineStr">
        <is>
          <t>Project Manager</t>
        </is>
      </c>
      <c r="O7" s="145" t="inlineStr">
        <is>
          <t>Project Manager</t>
        </is>
      </c>
    </row>
    <row r="8">
      <c r="A8" s="110" t="inlineStr">
        <is>
          <t>Lakh (₹)</t>
        </is>
      </c>
      <c r="B8" s="118" t="n">
        <v>100000</v>
      </c>
      <c r="D8" s="126" t="n">
        <v>4</v>
      </c>
      <c r="E8" s="126" t="n">
        <v>12</v>
      </c>
      <c r="N8" s="145" t="inlineStr">
        <is>
          <t>Solution Lead</t>
        </is>
      </c>
      <c r="O8" s="145" t="inlineStr">
        <is>
          <t>Solution Architect</t>
        </is>
      </c>
    </row>
    <row r="9">
      <c r="D9" s="128" t="n">
        <v>5</v>
      </c>
      <c r="E9" s="128" t="n">
        <v>12</v>
      </c>
      <c r="N9" s="145" t="inlineStr">
        <is>
          <t>Solution Analyst</t>
        </is>
      </c>
      <c r="O9" s="145" t="inlineStr">
        <is>
          <t>Business Analyst</t>
        </is>
      </c>
    </row>
    <row r="10">
      <c r="N10" s="145" t="inlineStr">
        <is>
          <t>UI Lead</t>
        </is>
      </c>
      <c r="O10" s="145" t="inlineStr">
        <is>
          <t>Senior Developer</t>
        </is>
      </c>
    </row>
    <row r="11" ht="48" customHeight="1" s="66">
      <c r="A11" s="146" t="inlineStr">
        <is>
          <t>Employee</t>
        </is>
      </c>
      <c r="B11" s="147" t="inlineStr">
        <is>
          <t>Level</t>
        </is>
      </c>
      <c r="C11" s="147" t="inlineStr">
        <is>
          <t>Role</t>
        </is>
      </c>
      <c r="D11" s="147" t="inlineStr">
        <is>
          <t>Onsite/Offshore</t>
        </is>
      </c>
      <c r="E11" s="147" t="inlineStr">
        <is>
          <t>Rate Card Role</t>
        </is>
      </c>
      <c r="F11" s="147" t="inlineStr">
        <is>
          <t>Bill Rate ($/hr)</t>
        </is>
      </c>
      <c r="G11" s="147" t="inlineStr">
        <is>
          <t>Annual Cost (₹L)</t>
        </is>
      </c>
      <c r="H11" s="147" t="inlineStr">
        <is>
          <t>Annual Cost ($)</t>
        </is>
      </c>
      <c r="I11" s="147" t="inlineStr">
        <is>
          <t>Monthly Cost ($)</t>
        </is>
      </c>
      <c r="J11" s="147" t="inlineStr">
        <is>
          <t>Monthly Bill Potential ($)</t>
        </is>
      </c>
      <c r="K11" s="147" t="inlineStr">
        <is>
          <t>Monthly Margin ($)</t>
        </is>
      </c>
      <c r="L11" s="148" t="inlineStr">
        <is>
          <t>Margin %</t>
        </is>
      </c>
      <c r="N11" s="145" t="inlineStr">
        <is>
          <t>Backend Lead</t>
        </is>
      </c>
      <c r="O11" s="145" t="inlineStr">
        <is>
          <t>Senior Developer</t>
        </is>
      </c>
    </row>
    <row r="12">
      <c r="A12" s="149">
        <f>IFERROR(INDEX(Resources!$A:$A,ROW()-5),"")</f>
        <v/>
      </c>
      <c r="B12" s="150">
        <f>IFERROR(Resources!B7,"")</f>
        <v/>
      </c>
      <c r="C12" s="151">
        <f>IFERROR(Resources!D7,"")</f>
        <v/>
      </c>
      <c r="D12" s="150">
        <f>IFERROR(Resources!K7,"")</f>
        <v/>
      </c>
      <c r="E12" s="151">
        <f>IFERROR(VLOOKUP($C12,$N$5:$O$19,2,0),"Blended Rate")</f>
        <v/>
      </c>
      <c r="F12" s="234">
        <f>IFERROR(IF($D12="Onsite",VLOOKUP($E12,CONFIG!$A$11:$C$18,2,0),VLOOKUP($E12,CONFIG!$A$11:$C$18,3,0)),"")</f>
        <v/>
      </c>
      <c r="G12" s="153">
        <f>IFERROR(VLOOKUP($B12,$D$5:$E$9,2,0),"")</f>
        <v/>
      </c>
      <c r="H12" s="234">
        <f>$G12*$B$8/$B$5</f>
        <v/>
      </c>
      <c r="I12" s="234">
        <f>$H12/12</f>
        <v/>
      </c>
      <c r="J12" s="234">
        <f>$F12*$B$6</f>
        <v/>
      </c>
      <c r="K12" s="234">
        <f>$J12-$I12</f>
        <v/>
      </c>
      <c r="L12" s="235">
        <f>IF($J12=0,0,$K12/$J12)</f>
        <v/>
      </c>
      <c r="N12" s="145" t="inlineStr">
        <is>
          <t>QA Lead</t>
        </is>
      </c>
      <c r="O12" s="145" t="inlineStr">
        <is>
          <t>QA Engineer</t>
        </is>
      </c>
    </row>
    <row r="13">
      <c r="A13" s="149">
        <f>IFERROR(INDEX(Resources!$A:$A,ROW()-5),"")</f>
        <v/>
      </c>
      <c r="B13" s="150">
        <f>IFERROR(Resources!B8,"")</f>
        <v/>
      </c>
      <c r="C13" s="151">
        <f>IFERROR(Resources!D8,"")</f>
        <v/>
      </c>
      <c r="D13" s="150">
        <f>IFERROR(Resources!K8,"")</f>
        <v/>
      </c>
      <c r="E13" s="151">
        <f>IFERROR(VLOOKUP($C13,$N$5:$O$19,2,0),"Blended Rate")</f>
        <v/>
      </c>
      <c r="F13" s="234">
        <f>IFERROR(IF($D13="Onsite",VLOOKUP($E13,CONFIG!$A$11:$C$18,2,0),VLOOKUP($E13,CONFIG!$A$11:$C$18,3,0)),"")</f>
        <v/>
      </c>
      <c r="G13" s="153">
        <f>IFERROR(VLOOKUP($B13,$D$5:$E$9,2,0),"")</f>
        <v/>
      </c>
      <c r="H13" s="234">
        <f>$G13*$B$8/$B$5</f>
        <v/>
      </c>
      <c r="I13" s="234">
        <f>$H13/12</f>
        <v/>
      </c>
      <c r="J13" s="234">
        <f>$F13*$B$6</f>
        <v/>
      </c>
      <c r="K13" s="234">
        <f>$J13-$I13</f>
        <v/>
      </c>
      <c r="L13" s="235">
        <f>IF($J13=0,0,$K13/$J13)</f>
        <v/>
      </c>
      <c r="N13" s="145" t="inlineStr">
        <is>
          <t>UI Developer</t>
        </is>
      </c>
      <c r="O13" s="145" t="inlineStr">
        <is>
          <t>Developer</t>
        </is>
      </c>
    </row>
    <row r="14">
      <c r="A14" s="149">
        <f>IFERROR(INDEX(Resources!$A:$A,ROW()-5),"")</f>
        <v/>
      </c>
      <c r="B14" s="150">
        <f>IFERROR(Resources!B9,"")</f>
        <v/>
      </c>
      <c r="C14" s="151">
        <f>IFERROR(Resources!D9,"")</f>
        <v/>
      </c>
      <c r="D14" s="150">
        <f>IFERROR(Resources!K9,"")</f>
        <v/>
      </c>
      <c r="E14" s="151">
        <f>IFERROR(VLOOKUP($C14,$N$5:$O$19,2,0),"Blended Rate")</f>
        <v/>
      </c>
      <c r="F14" s="234">
        <f>IFERROR(IF($D14="Onsite",VLOOKUP($E14,CONFIG!$A$11:$C$18,2,0),VLOOKUP($E14,CONFIG!$A$11:$C$18,3,0)),"")</f>
        <v/>
      </c>
      <c r="G14" s="153">
        <f>IFERROR(VLOOKUP($B14,$D$5:$E$9,2,0),"")</f>
        <v/>
      </c>
      <c r="H14" s="234">
        <f>$G14*$B$8/$B$5</f>
        <v/>
      </c>
      <c r="I14" s="234">
        <f>$H14/12</f>
        <v/>
      </c>
      <c r="J14" s="234">
        <f>$F14*$B$6</f>
        <v/>
      </c>
      <c r="K14" s="234">
        <f>$J14-$I14</f>
        <v/>
      </c>
      <c r="L14" s="235">
        <f>IF($J14=0,0,$K14/$J14)</f>
        <v/>
      </c>
      <c r="N14" s="145" t="inlineStr">
        <is>
          <t>Backend Developer</t>
        </is>
      </c>
      <c r="O14" s="145" t="inlineStr">
        <is>
          <t>Developer</t>
        </is>
      </c>
    </row>
    <row r="15">
      <c r="A15" s="149">
        <f>IFERROR(INDEX(Resources!$A:$A,ROW()-5),"")</f>
        <v/>
      </c>
      <c r="B15" s="150">
        <f>IFERROR(Resources!B10,"")</f>
        <v/>
      </c>
      <c r="C15" s="151">
        <f>IFERROR(Resources!D10,"")</f>
        <v/>
      </c>
      <c r="D15" s="150">
        <f>IFERROR(Resources!K10,"")</f>
        <v/>
      </c>
      <c r="E15" s="151">
        <f>IFERROR(VLOOKUP($C15,$N$5:$O$19,2,0),"Blended Rate")</f>
        <v/>
      </c>
      <c r="F15" s="234">
        <f>IFERROR(IF($D15="Onsite",VLOOKUP($E15,CONFIG!$A$11:$C$18,2,0),VLOOKUP($E15,CONFIG!$A$11:$C$18,3,0)),"")</f>
        <v/>
      </c>
      <c r="G15" s="153">
        <f>IFERROR(VLOOKUP($B15,$D$5:$E$9,2,0),"")</f>
        <v/>
      </c>
      <c r="H15" s="234">
        <f>$G15*$B$8/$B$5</f>
        <v/>
      </c>
      <c r="I15" s="234">
        <f>$H15/12</f>
        <v/>
      </c>
      <c r="J15" s="234">
        <f>$F15*$B$6</f>
        <v/>
      </c>
      <c r="K15" s="234">
        <f>$J15-$I15</f>
        <v/>
      </c>
      <c r="L15" s="235">
        <f>IF($J15=0,0,$K15/$J15)</f>
        <v/>
      </c>
      <c r="N15" s="145" t="inlineStr">
        <is>
          <t>Integration Developer</t>
        </is>
      </c>
      <c r="O15" s="145" t="inlineStr">
        <is>
          <t>Developer</t>
        </is>
      </c>
    </row>
    <row r="16">
      <c r="A16" s="149">
        <f>IFERROR(INDEX(Resources!$A:$A,ROW()-5),"")</f>
        <v/>
      </c>
      <c r="B16" s="150">
        <f>IFERROR(Resources!B11,"")</f>
        <v/>
      </c>
      <c r="C16" s="151">
        <f>IFERROR(Resources!D11,"")</f>
        <v/>
      </c>
      <c r="D16" s="150">
        <f>IFERROR(Resources!K11,"")</f>
        <v/>
      </c>
      <c r="E16" s="151">
        <f>IFERROR(VLOOKUP($C16,$N$5:$O$19,2,0),"Blended Rate")</f>
        <v/>
      </c>
      <c r="F16" s="234">
        <f>IFERROR(IF($D16="Onsite",VLOOKUP($E16,CONFIG!$A$11:$C$18,2,0),VLOOKUP($E16,CONFIG!$A$11:$C$18,3,0)),"")</f>
        <v/>
      </c>
      <c r="G16" s="153">
        <f>IFERROR(VLOOKUP($B16,$D$5:$E$9,2,0),"")</f>
        <v/>
      </c>
      <c r="H16" s="234">
        <f>$G16*$B$8/$B$5</f>
        <v/>
      </c>
      <c r="I16" s="234">
        <f>$H16/12</f>
        <v/>
      </c>
      <c r="J16" s="234">
        <f>$F16*$B$6</f>
        <v/>
      </c>
      <c r="K16" s="234">
        <f>$J16-$I16</f>
        <v/>
      </c>
      <c r="L16" s="235">
        <f>IF($J16=0,0,$K16/$J16)</f>
        <v/>
      </c>
      <c r="N16" s="145" t="inlineStr">
        <is>
          <t>QA Engineer</t>
        </is>
      </c>
      <c r="O16" s="145" t="inlineStr">
        <is>
          <t>QA Engineer</t>
        </is>
      </c>
    </row>
    <row r="17">
      <c r="A17" s="149">
        <f>IFERROR(INDEX(Resources!$A:$A,ROW()-5),"")</f>
        <v/>
      </c>
      <c r="B17" s="150">
        <f>IFERROR(Resources!B12,"")</f>
        <v/>
      </c>
      <c r="C17" s="151">
        <f>IFERROR(Resources!D12,"")</f>
        <v/>
      </c>
      <c r="D17" s="150">
        <f>IFERROR(Resources!K12,"")</f>
        <v/>
      </c>
      <c r="E17" s="151">
        <f>IFERROR(VLOOKUP($C17,$N$5:$O$19,2,0),"Blended Rate")</f>
        <v/>
      </c>
      <c r="F17" s="234">
        <f>IFERROR(IF($D17="Onsite",VLOOKUP($E17,CONFIG!$A$11:$C$18,2,0),VLOOKUP($E17,CONFIG!$A$11:$C$18,3,0)),"")</f>
        <v/>
      </c>
      <c r="G17" s="153">
        <f>IFERROR(VLOOKUP($B17,$D$5:$E$9,2,0),"")</f>
        <v/>
      </c>
      <c r="H17" s="234">
        <f>$G17*$B$8/$B$5</f>
        <v/>
      </c>
      <c r="I17" s="234">
        <f>$H17/12</f>
        <v/>
      </c>
      <c r="J17" s="234">
        <f>$F17*$B$6</f>
        <v/>
      </c>
      <c r="K17" s="234">
        <f>$J17-$I17</f>
        <v/>
      </c>
      <c r="L17" s="235">
        <f>IF($J17=0,0,$K17/$J17)</f>
        <v/>
      </c>
      <c r="N17" s="145" t="inlineStr">
        <is>
          <t>QA Analyst</t>
        </is>
      </c>
      <c r="O17" s="145" t="inlineStr">
        <is>
          <t>QA Engineer</t>
        </is>
      </c>
    </row>
    <row r="18">
      <c r="A18" s="149">
        <f>IFERROR(INDEX(Resources!$A:$A,ROW()-5),"")</f>
        <v/>
      </c>
      <c r="B18" s="150">
        <f>IFERROR(Resources!B13,"")</f>
        <v/>
      </c>
      <c r="C18" s="151">
        <f>IFERROR(Resources!D13,"")</f>
        <v/>
      </c>
      <c r="D18" s="150">
        <f>IFERROR(Resources!K13,"")</f>
        <v/>
      </c>
      <c r="E18" s="151">
        <f>IFERROR(VLOOKUP($C18,$N$5:$O$19,2,0),"Blended Rate")</f>
        <v/>
      </c>
      <c r="F18" s="234">
        <f>IFERROR(IF($D18="Onsite",VLOOKUP($E18,CONFIG!$A$11:$C$18,2,0),VLOOKUP($E18,CONFIG!$A$11:$C$18,3,0)),"")</f>
        <v/>
      </c>
      <c r="G18" s="153">
        <f>IFERROR(VLOOKUP($B18,$D$5:$E$9,2,0),"")</f>
        <v/>
      </c>
      <c r="H18" s="234">
        <f>$G18*$B$8/$B$5</f>
        <v/>
      </c>
      <c r="I18" s="234">
        <f>$H18/12</f>
        <v/>
      </c>
      <c r="J18" s="234">
        <f>$F18*$B$6</f>
        <v/>
      </c>
      <c r="K18" s="234">
        <f>$J18-$I18</f>
        <v/>
      </c>
      <c r="L18" s="235">
        <f>IF($J18=0,0,$K18/$J18)</f>
        <v/>
      </c>
      <c r="N18" s="145" t="inlineStr">
        <is>
          <t>DevOps Engineer</t>
        </is>
      </c>
      <c r="O18" s="145" t="inlineStr">
        <is>
          <t>Developer</t>
        </is>
      </c>
    </row>
    <row r="19">
      <c r="A19" s="149">
        <f>IFERROR(INDEX(Resources!$A:$A,ROW()-5),"")</f>
        <v/>
      </c>
      <c r="B19" s="150">
        <f>IFERROR(Resources!B14,"")</f>
        <v/>
      </c>
      <c r="C19" s="151">
        <f>IFERROR(Resources!D14,"")</f>
        <v/>
      </c>
      <c r="D19" s="150">
        <f>IFERROR(Resources!K14,"")</f>
        <v/>
      </c>
      <c r="E19" s="151">
        <f>IFERROR(VLOOKUP($C19,$N$5:$O$19,2,0),"Blended Rate")</f>
        <v/>
      </c>
      <c r="F19" s="234">
        <f>IFERROR(IF($D19="Onsite",VLOOKUP($E19,CONFIG!$A$11:$C$18,2,0),VLOOKUP($E19,CONFIG!$A$11:$C$18,3,0)),"")</f>
        <v/>
      </c>
      <c r="G19" s="153">
        <f>IFERROR(VLOOKUP($B19,$D$5:$E$9,2,0),"")</f>
        <v/>
      </c>
      <c r="H19" s="234">
        <f>$G19*$B$8/$B$5</f>
        <v/>
      </c>
      <c r="I19" s="234">
        <f>$H19/12</f>
        <v/>
      </c>
      <c r="J19" s="234">
        <f>$F19*$B$6</f>
        <v/>
      </c>
      <c r="K19" s="234">
        <f>$J19-$I19</f>
        <v/>
      </c>
      <c r="L19" s="235">
        <f>IF($J19=0,0,$K19/$J19)</f>
        <v/>
      </c>
      <c r="N19" s="145" t="inlineStr">
        <is>
          <t>Infra Engineer</t>
        </is>
      </c>
      <c r="O19" s="145" t="inlineStr">
        <is>
          <t>Admin / Support</t>
        </is>
      </c>
    </row>
    <row r="20">
      <c r="A20" s="149">
        <f>IFERROR(INDEX(Resources!$A:$A,ROW()-5),"")</f>
        <v/>
      </c>
      <c r="B20" s="150">
        <f>IFERROR(Resources!B15,"")</f>
        <v/>
      </c>
      <c r="C20" s="151">
        <f>IFERROR(Resources!D15,"")</f>
        <v/>
      </c>
      <c r="D20" s="150">
        <f>IFERROR(Resources!K15,"")</f>
        <v/>
      </c>
      <c r="E20" s="151">
        <f>IFERROR(VLOOKUP($C20,$N$5:$O$19,2,0),"Blended Rate")</f>
        <v/>
      </c>
      <c r="F20" s="234">
        <f>IFERROR(IF($D20="Onsite",VLOOKUP($E20,CONFIG!$A$11:$C$18,2,0),VLOOKUP($E20,CONFIG!$A$11:$C$18,3,0)),"")</f>
        <v/>
      </c>
      <c r="G20" s="153">
        <f>IFERROR(VLOOKUP($B20,$D$5:$E$9,2,0),"")</f>
        <v/>
      </c>
      <c r="H20" s="234">
        <f>$G20*$B$8/$B$5</f>
        <v/>
      </c>
      <c r="I20" s="234">
        <f>$H20/12</f>
        <v/>
      </c>
      <c r="J20" s="234">
        <f>$F20*$B$6</f>
        <v/>
      </c>
      <c r="K20" s="234">
        <f>$J20-$I20</f>
        <v/>
      </c>
      <c r="L20" s="235">
        <f>IF($J20=0,0,$K20/$J20)</f>
        <v/>
      </c>
    </row>
    <row r="21">
      <c r="A21" s="149">
        <f>IFERROR(INDEX(Resources!$A:$A,ROW()-5),"")</f>
        <v/>
      </c>
      <c r="B21" s="150">
        <f>IFERROR(Resources!B16,"")</f>
        <v/>
      </c>
      <c r="C21" s="151">
        <f>IFERROR(Resources!D16,"")</f>
        <v/>
      </c>
      <c r="D21" s="150">
        <f>IFERROR(Resources!K16,"")</f>
        <v/>
      </c>
      <c r="E21" s="151">
        <f>IFERROR(VLOOKUP($C21,$N$5:$O$19,2,0),"Blended Rate")</f>
        <v/>
      </c>
      <c r="F21" s="234">
        <f>IFERROR(IF($D21="Onsite",VLOOKUP($E21,CONFIG!$A$11:$C$18,2,0),VLOOKUP($E21,CONFIG!$A$11:$C$18,3,0)),"")</f>
        <v/>
      </c>
      <c r="G21" s="153">
        <f>IFERROR(VLOOKUP($B21,$D$5:$E$9,2,0),"")</f>
        <v/>
      </c>
      <c r="H21" s="234">
        <f>$G21*$B$8/$B$5</f>
        <v/>
      </c>
      <c r="I21" s="234">
        <f>$H21/12</f>
        <v/>
      </c>
      <c r="J21" s="234">
        <f>$F21*$B$6</f>
        <v/>
      </c>
      <c r="K21" s="234">
        <f>$J21-$I21</f>
        <v/>
      </c>
      <c r="L21" s="235">
        <f>IF($J21=0,0,$K21/$J21)</f>
        <v/>
      </c>
    </row>
    <row r="22">
      <c r="A22" s="149">
        <f>IFERROR(INDEX(Resources!$A:$A,ROW()-5),"")</f>
        <v/>
      </c>
      <c r="B22" s="150">
        <f>IFERROR(Resources!B17,"")</f>
        <v/>
      </c>
      <c r="C22" s="151">
        <f>IFERROR(Resources!D17,"")</f>
        <v/>
      </c>
      <c r="D22" s="150">
        <f>IFERROR(Resources!K17,"")</f>
        <v/>
      </c>
      <c r="E22" s="151">
        <f>IFERROR(VLOOKUP($C22,$N$5:$O$19,2,0),"Blended Rate")</f>
        <v/>
      </c>
      <c r="F22" s="234">
        <f>IFERROR(IF($D22="Onsite",VLOOKUP($E22,CONFIG!$A$11:$C$18,2,0),VLOOKUP($E22,CONFIG!$A$11:$C$18,3,0)),"")</f>
        <v/>
      </c>
      <c r="G22" s="153">
        <f>IFERROR(VLOOKUP($B22,$D$5:$E$9,2,0),"")</f>
        <v/>
      </c>
      <c r="H22" s="234">
        <f>$G22*$B$8/$B$5</f>
        <v/>
      </c>
      <c r="I22" s="234">
        <f>$H22/12</f>
        <v/>
      </c>
      <c r="J22" s="234">
        <f>$F22*$B$6</f>
        <v/>
      </c>
      <c r="K22" s="234">
        <f>$J22-$I22</f>
        <v/>
      </c>
      <c r="L22" s="235">
        <f>IF($J22=0,0,$K22/$J22)</f>
        <v/>
      </c>
    </row>
    <row r="23">
      <c r="A23" s="149">
        <f>IFERROR(INDEX(Resources!$A:$A,ROW()-5),"")</f>
        <v/>
      </c>
      <c r="B23" s="150">
        <f>IFERROR(Resources!B18,"")</f>
        <v/>
      </c>
      <c r="C23" s="151">
        <f>IFERROR(Resources!D18,"")</f>
        <v/>
      </c>
      <c r="D23" s="150">
        <f>IFERROR(Resources!K18,"")</f>
        <v/>
      </c>
      <c r="E23" s="151">
        <f>IFERROR(VLOOKUP($C23,$N$5:$O$19,2,0),"Blended Rate")</f>
        <v/>
      </c>
      <c r="F23" s="234">
        <f>IFERROR(IF($D23="Onsite",VLOOKUP($E23,CONFIG!$A$11:$C$18,2,0),VLOOKUP($E23,CONFIG!$A$11:$C$18,3,0)),"")</f>
        <v/>
      </c>
      <c r="G23" s="153">
        <f>IFERROR(VLOOKUP($B23,$D$5:$E$9,2,0),"")</f>
        <v/>
      </c>
      <c r="H23" s="234">
        <f>$G23*$B$8/$B$5</f>
        <v/>
      </c>
      <c r="I23" s="234">
        <f>$H23/12</f>
        <v/>
      </c>
      <c r="J23" s="234">
        <f>$F23*$B$6</f>
        <v/>
      </c>
      <c r="K23" s="234">
        <f>$J23-$I23</f>
        <v/>
      </c>
      <c r="L23" s="235">
        <f>IF($J23=0,0,$K23/$J23)</f>
        <v/>
      </c>
    </row>
    <row r="24">
      <c r="A24" s="149">
        <f>IFERROR(INDEX(Resources!$A:$A,ROW()-5),"")</f>
        <v/>
      </c>
      <c r="B24" s="150">
        <f>IFERROR(Resources!B19,"")</f>
        <v/>
      </c>
      <c r="C24" s="151">
        <f>IFERROR(Resources!D19,"")</f>
        <v/>
      </c>
      <c r="D24" s="150">
        <f>IFERROR(Resources!K19,"")</f>
        <v/>
      </c>
      <c r="E24" s="151">
        <f>IFERROR(VLOOKUP($C24,$N$5:$O$19,2,0),"Blended Rate")</f>
        <v/>
      </c>
      <c r="F24" s="234">
        <f>IFERROR(IF($D24="Onsite",VLOOKUP($E24,CONFIG!$A$11:$C$18,2,0),VLOOKUP($E24,CONFIG!$A$11:$C$18,3,0)),"")</f>
        <v/>
      </c>
      <c r="G24" s="153">
        <f>IFERROR(VLOOKUP($B24,$D$5:$E$9,2,0),"")</f>
        <v/>
      </c>
      <c r="H24" s="234">
        <f>$G24*$B$8/$B$5</f>
        <v/>
      </c>
      <c r="I24" s="234">
        <f>$H24/12</f>
        <v/>
      </c>
      <c r="J24" s="234">
        <f>$F24*$B$6</f>
        <v/>
      </c>
      <c r="K24" s="234">
        <f>$J24-$I24</f>
        <v/>
      </c>
      <c r="L24" s="235">
        <f>IF($J24=0,0,$K24/$J24)</f>
        <v/>
      </c>
    </row>
    <row r="25">
      <c r="A25" s="149">
        <f>IFERROR(INDEX(Resources!$A:$A,ROW()-5),"")</f>
        <v/>
      </c>
      <c r="B25" s="150">
        <f>IFERROR(Resources!B20,"")</f>
        <v/>
      </c>
      <c r="C25" s="151">
        <f>IFERROR(Resources!D20,"")</f>
        <v/>
      </c>
      <c r="D25" s="150">
        <f>IFERROR(Resources!K20,"")</f>
        <v/>
      </c>
      <c r="E25" s="151">
        <f>IFERROR(VLOOKUP($C25,$N$5:$O$19,2,0),"Blended Rate")</f>
        <v/>
      </c>
      <c r="F25" s="234">
        <f>IFERROR(IF($D25="Onsite",VLOOKUP($E25,CONFIG!$A$11:$C$18,2,0),VLOOKUP($E25,CONFIG!$A$11:$C$18,3,0)),"")</f>
        <v/>
      </c>
      <c r="G25" s="153">
        <f>IFERROR(VLOOKUP($B25,$D$5:$E$9,2,0),"")</f>
        <v/>
      </c>
      <c r="H25" s="234">
        <f>$G25*$B$8/$B$5</f>
        <v/>
      </c>
      <c r="I25" s="234">
        <f>$H25/12</f>
        <v/>
      </c>
      <c r="J25" s="234">
        <f>$F25*$B$6</f>
        <v/>
      </c>
      <c r="K25" s="234">
        <f>$J25-$I25</f>
        <v/>
      </c>
      <c r="L25" s="235">
        <f>IF($J25=0,0,$K25/$J25)</f>
        <v/>
      </c>
    </row>
    <row r="26">
      <c r="A26" s="149">
        <f>IFERROR(INDEX(Resources!$A:$A,ROW()-5),"")</f>
        <v/>
      </c>
      <c r="B26" s="150">
        <f>IFERROR(Resources!B21,"")</f>
        <v/>
      </c>
      <c r="C26" s="151">
        <f>IFERROR(Resources!D21,"")</f>
        <v/>
      </c>
      <c r="D26" s="150">
        <f>IFERROR(Resources!K21,"")</f>
        <v/>
      </c>
      <c r="E26" s="151">
        <f>IFERROR(VLOOKUP($C26,$N$5:$O$19,2,0),"Blended Rate")</f>
        <v/>
      </c>
      <c r="F26" s="234">
        <f>IFERROR(IF($D26="Onsite",VLOOKUP($E26,CONFIG!$A$11:$C$18,2,0),VLOOKUP($E26,CONFIG!$A$11:$C$18,3,0)),"")</f>
        <v/>
      </c>
      <c r="G26" s="153">
        <f>IFERROR(VLOOKUP($B26,$D$5:$E$9,2,0),"")</f>
        <v/>
      </c>
      <c r="H26" s="234">
        <f>$G26*$B$8/$B$5</f>
        <v/>
      </c>
      <c r="I26" s="234">
        <f>$H26/12</f>
        <v/>
      </c>
      <c r="J26" s="234">
        <f>$F26*$B$6</f>
        <v/>
      </c>
      <c r="K26" s="234">
        <f>$J26-$I26</f>
        <v/>
      </c>
      <c r="L26" s="235">
        <f>IF($J26=0,0,$K26/$J26)</f>
        <v/>
      </c>
    </row>
    <row r="27">
      <c r="A27" s="149">
        <f>IFERROR(INDEX(Resources!$A:$A,ROW()-5),"")</f>
        <v/>
      </c>
      <c r="B27" s="150">
        <f>IFERROR(Resources!B22,"")</f>
        <v/>
      </c>
      <c r="C27" s="151">
        <f>IFERROR(Resources!D22,"")</f>
        <v/>
      </c>
      <c r="D27" s="150">
        <f>IFERROR(Resources!K22,"")</f>
        <v/>
      </c>
      <c r="E27" s="151">
        <f>IFERROR(VLOOKUP($C27,$N$5:$O$19,2,0),"Blended Rate")</f>
        <v/>
      </c>
      <c r="F27" s="234">
        <f>IFERROR(IF($D27="Onsite",VLOOKUP($E27,CONFIG!$A$11:$C$18,2,0),VLOOKUP($E27,CONFIG!$A$11:$C$18,3,0)),"")</f>
        <v/>
      </c>
      <c r="G27" s="153">
        <f>IFERROR(VLOOKUP($B27,$D$5:$E$9,2,0),"")</f>
        <v/>
      </c>
      <c r="H27" s="234">
        <f>$G27*$B$8/$B$5</f>
        <v/>
      </c>
      <c r="I27" s="234">
        <f>$H27/12</f>
        <v/>
      </c>
      <c r="J27" s="234">
        <f>$F27*$B$6</f>
        <v/>
      </c>
      <c r="K27" s="234">
        <f>$J27-$I27</f>
        <v/>
      </c>
      <c r="L27" s="235">
        <f>IF($J27=0,0,$K27/$J27)</f>
        <v/>
      </c>
    </row>
    <row r="28">
      <c r="A28" s="149">
        <f>IFERROR(INDEX(Resources!$A:$A,ROW()-5),"")</f>
        <v/>
      </c>
      <c r="B28" s="150">
        <f>IFERROR(Resources!B23,"")</f>
        <v/>
      </c>
      <c r="C28" s="151">
        <f>IFERROR(Resources!D23,"")</f>
        <v/>
      </c>
      <c r="D28" s="150">
        <f>IFERROR(Resources!K23,"")</f>
        <v/>
      </c>
      <c r="E28" s="151">
        <f>IFERROR(VLOOKUP($C28,$N$5:$O$19,2,0),"Blended Rate")</f>
        <v/>
      </c>
      <c r="F28" s="234">
        <f>IFERROR(IF($D28="Onsite",VLOOKUP($E28,CONFIG!$A$11:$C$18,2,0),VLOOKUP($E28,CONFIG!$A$11:$C$18,3,0)),"")</f>
        <v/>
      </c>
      <c r="G28" s="153">
        <f>IFERROR(VLOOKUP($B28,$D$5:$E$9,2,0),"")</f>
        <v/>
      </c>
      <c r="H28" s="234">
        <f>$G28*$B$8/$B$5</f>
        <v/>
      </c>
      <c r="I28" s="234">
        <f>$H28/12</f>
        <v/>
      </c>
      <c r="J28" s="234">
        <f>$F28*$B$6</f>
        <v/>
      </c>
      <c r="K28" s="234">
        <f>$J28-$I28</f>
        <v/>
      </c>
      <c r="L28" s="235">
        <f>IF($J28=0,0,$K28/$J28)</f>
        <v/>
      </c>
    </row>
    <row r="29">
      <c r="A29" s="149">
        <f>IFERROR(INDEX(Resources!$A:$A,ROW()-5),"")</f>
        <v/>
      </c>
      <c r="B29" s="150">
        <f>IFERROR(Resources!B24,"")</f>
        <v/>
      </c>
      <c r="C29" s="151">
        <f>IFERROR(Resources!D24,"")</f>
        <v/>
      </c>
      <c r="D29" s="150">
        <f>IFERROR(Resources!K24,"")</f>
        <v/>
      </c>
      <c r="E29" s="151">
        <f>IFERROR(VLOOKUP($C29,$N$5:$O$19,2,0),"Blended Rate")</f>
        <v/>
      </c>
      <c r="F29" s="234">
        <f>IFERROR(IF($D29="Onsite",VLOOKUP($E29,CONFIG!$A$11:$C$18,2,0),VLOOKUP($E29,CONFIG!$A$11:$C$18,3,0)),"")</f>
        <v/>
      </c>
      <c r="G29" s="153">
        <f>IFERROR(VLOOKUP($B29,$D$5:$E$9,2,0),"")</f>
        <v/>
      </c>
      <c r="H29" s="234">
        <f>$G29*$B$8/$B$5</f>
        <v/>
      </c>
      <c r="I29" s="234">
        <f>$H29/12</f>
        <v/>
      </c>
      <c r="J29" s="234">
        <f>$F29*$B$6</f>
        <v/>
      </c>
      <c r="K29" s="234">
        <f>$J29-$I29</f>
        <v/>
      </c>
      <c r="L29" s="235">
        <f>IF($J29=0,0,$K29/$J29)</f>
        <v/>
      </c>
    </row>
    <row r="30">
      <c r="A30" s="149">
        <f>IFERROR(INDEX(Resources!$A:$A,ROW()-5),"")</f>
        <v/>
      </c>
      <c r="B30" s="150">
        <f>IFERROR(Resources!B25,"")</f>
        <v/>
      </c>
      <c r="C30" s="151">
        <f>IFERROR(Resources!D25,"")</f>
        <v/>
      </c>
      <c r="D30" s="150">
        <f>IFERROR(Resources!K25,"")</f>
        <v/>
      </c>
      <c r="E30" s="151">
        <f>IFERROR(VLOOKUP($C30,$N$5:$O$19,2,0),"Blended Rate")</f>
        <v/>
      </c>
      <c r="F30" s="234">
        <f>IFERROR(IF($D30="Onsite",VLOOKUP($E30,CONFIG!$A$11:$C$18,2,0),VLOOKUP($E30,CONFIG!$A$11:$C$18,3,0)),"")</f>
        <v/>
      </c>
      <c r="G30" s="153">
        <f>IFERROR(VLOOKUP($B30,$D$5:$E$9,2,0),"")</f>
        <v/>
      </c>
      <c r="H30" s="234">
        <f>$G30*$B$8/$B$5</f>
        <v/>
      </c>
      <c r="I30" s="234">
        <f>$H30/12</f>
        <v/>
      </c>
      <c r="J30" s="234">
        <f>$F30*$B$6</f>
        <v/>
      </c>
      <c r="K30" s="234">
        <f>$J30-$I30</f>
        <v/>
      </c>
      <c r="L30" s="235">
        <f>IF($J30=0,0,$K30/$J30)</f>
        <v/>
      </c>
    </row>
    <row r="31">
      <c r="A31" s="149">
        <f>IFERROR(INDEX(Resources!$A:$A,ROW()-5),"")</f>
        <v/>
      </c>
      <c r="B31" s="150">
        <f>IFERROR(Resources!B26,"")</f>
        <v/>
      </c>
      <c r="C31" s="151">
        <f>IFERROR(Resources!D26,"")</f>
        <v/>
      </c>
      <c r="D31" s="150">
        <f>IFERROR(Resources!K26,"")</f>
        <v/>
      </c>
      <c r="E31" s="151">
        <f>IFERROR(VLOOKUP($C31,$N$5:$O$19,2,0),"Blended Rate")</f>
        <v/>
      </c>
      <c r="F31" s="234">
        <f>IFERROR(IF($D31="Onsite",VLOOKUP($E31,CONFIG!$A$11:$C$18,2,0),VLOOKUP($E31,CONFIG!$A$11:$C$18,3,0)),"")</f>
        <v/>
      </c>
      <c r="G31" s="153">
        <f>IFERROR(VLOOKUP($B31,$D$5:$E$9,2,0),"")</f>
        <v/>
      </c>
      <c r="H31" s="234">
        <f>$G31*$B$8/$B$5</f>
        <v/>
      </c>
      <c r="I31" s="234">
        <f>$H31/12</f>
        <v/>
      </c>
      <c r="J31" s="234">
        <f>$F31*$B$6</f>
        <v/>
      </c>
      <c r="K31" s="234">
        <f>$J31-$I31</f>
        <v/>
      </c>
      <c r="L31" s="235">
        <f>IF($J31=0,0,$K31/$J31)</f>
        <v/>
      </c>
    </row>
    <row r="32">
      <c r="A32" s="149">
        <f>IFERROR(INDEX(Resources!$A:$A,ROW()-5),"")</f>
        <v/>
      </c>
      <c r="B32" s="150">
        <f>IFERROR(Resources!B27,"")</f>
        <v/>
      </c>
      <c r="C32" s="151">
        <f>IFERROR(Resources!D27,"")</f>
        <v/>
      </c>
      <c r="D32" s="150">
        <f>IFERROR(Resources!K27,"")</f>
        <v/>
      </c>
      <c r="E32" s="151">
        <f>IFERROR(VLOOKUP($C32,$N$5:$O$19,2,0),"Blended Rate")</f>
        <v/>
      </c>
      <c r="F32" s="234">
        <f>IFERROR(IF($D32="Onsite",VLOOKUP($E32,CONFIG!$A$11:$C$18,2,0),VLOOKUP($E32,CONFIG!$A$11:$C$18,3,0)),"")</f>
        <v/>
      </c>
      <c r="G32" s="153">
        <f>IFERROR(VLOOKUP($B32,$D$5:$E$9,2,0),"")</f>
        <v/>
      </c>
      <c r="H32" s="234">
        <f>$G32*$B$8/$B$5</f>
        <v/>
      </c>
      <c r="I32" s="234">
        <f>$H32/12</f>
        <v/>
      </c>
      <c r="J32" s="234">
        <f>$F32*$B$6</f>
        <v/>
      </c>
      <c r="K32" s="234">
        <f>$J32-$I32</f>
        <v/>
      </c>
      <c r="L32" s="235">
        <f>IF($J32=0,0,$K32/$J32)</f>
        <v/>
      </c>
    </row>
    <row r="33">
      <c r="A33" s="149">
        <f>IFERROR(INDEX(Resources!$A:$A,ROW()-5),"")</f>
        <v/>
      </c>
      <c r="B33" s="150">
        <f>IFERROR(Resources!B28,"")</f>
        <v/>
      </c>
      <c r="C33" s="151">
        <f>IFERROR(Resources!D28,"")</f>
        <v/>
      </c>
      <c r="D33" s="150">
        <f>IFERROR(Resources!K28,"")</f>
        <v/>
      </c>
      <c r="E33" s="151">
        <f>IFERROR(VLOOKUP($C33,$N$5:$O$19,2,0),"Blended Rate")</f>
        <v/>
      </c>
      <c r="F33" s="234">
        <f>IFERROR(IF($D33="Onsite",VLOOKUP($E33,CONFIG!$A$11:$C$18,2,0),VLOOKUP($E33,CONFIG!$A$11:$C$18,3,0)),"")</f>
        <v/>
      </c>
      <c r="G33" s="153">
        <f>IFERROR(VLOOKUP($B33,$D$5:$E$9,2,0),"")</f>
        <v/>
      </c>
      <c r="H33" s="234">
        <f>$G33*$B$8/$B$5</f>
        <v/>
      </c>
      <c r="I33" s="234">
        <f>$H33/12</f>
        <v/>
      </c>
      <c r="J33" s="234">
        <f>$F33*$B$6</f>
        <v/>
      </c>
      <c r="K33" s="234">
        <f>$J33-$I33</f>
        <v/>
      </c>
      <c r="L33" s="235">
        <f>IF($J33=0,0,$K33/$J33)</f>
        <v/>
      </c>
    </row>
    <row r="34">
      <c r="A34" s="149">
        <f>IFERROR(INDEX(Resources!$A:$A,ROW()-5),"")</f>
        <v/>
      </c>
      <c r="B34" s="150">
        <f>IFERROR(Resources!B29,"")</f>
        <v/>
      </c>
      <c r="C34" s="151">
        <f>IFERROR(Resources!D29,"")</f>
        <v/>
      </c>
      <c r="D34" s="150">
        <f>IFERROR(Resources!K29,"")</f>
        <v/>
      </c>
      <c r="E34" s="151">
        <f>IFERROR(VLOOKUP($C34,$N$5:$O$19,2,0),"Blended Rate")</f>
        <v/>
      </c>
      <c r="F34" s="234">
        <f>IFERROR(IF($D34="Onsite",VLOOKUP($E34,CONFIG!$A$11:$C$18,2,0),VLOOKUP($E34,CONFIG!$A$11:$C$18,3,0)),"")</f>
        <v/>
      </c>
      <c r="G34" s="153">
        <f>IFERROR(VLOOKUP($B34,$D$5:$E$9,2,0),"")</f>
        <v/>
      </c>
      <c r="H34" s="234">
        <f>$G34*$B$8/$B$5</f>
        <v/>
      </c>
      <c r="I34" s="234">
        <f>$H34/12</f>
        <v/>
      </c>
      <c r="J34" s="234">
        <f>$F34*$B$6</f>
        <v/>
      </c>
      <c r="K34" s="234">
        <f>$J34-$I34</f>
        <v/>
      </c>
      <c r="L34" s="235">
        <f>IF($J34=0,0,$K34/$J34)</f>
        <v/>
      </c>
    </row>
    <row r="35">
      <c r="A35" s="149">
        <f>IFERROR(INDEX(Resources!$A:$A,ROW()-5),"")</f>
        <v/>
      </c>
      <c r="B35" s="150">
        <f>IFERROR(Resources!B30,"")</f>
        <v/>
      </c>
      <c r="C35" s="151">
        <f>IFERROR(Resources!D30,"")</f>
        <v/>
      </c>
      <c r="D35" s="150">
        <f>IFERROR(Resources!K30,"")</f>
        <v/>
      </c>
      <c r="E35" s="151">
        <f>IFERROR(VLOOKUP($C35,$N$5:$O$19,2,0),"Blended Rate")</f>
        <v/>
      </c>
      <c r="F35" s="234">
        <f>IFERROR(IF($D35="Onsite",VLOOKUP($E35,CONFIG!$A$11:$C$18,2,0),VLOOKUP($E35,CONFIG!$A$11:$C$18,3,0)),"")</f>
        <v/>
      </c>
      <c r="G35" s="153">
        <f>IFERROR(VLOOKUP($B35,$D$5:$E$9,2,0),"")</f>
        <v/>
      </c>
      <c r="H35" s="234">
        <f>$G35*$B$8/$B$5</f>
        <v/>
      </c>
      <c r="I35" s="234">
        <f>$H35/12</f>
        <v/>
      </c>
      <c r="J35" s="234">
        <f>$F35*$B$6</f>
        <v/>
      </c>
      <c r="K35" s="234">
        <f>$J35-$I35</f>
        <v/>
      </c>
      <c r="L35" s="235">
        <f>IF($J35=0,0,$K35/$J35)</f>
        <v/>
      </c>
    </row>
    <row r="36">
      <c r="A36" s="149">
        <f>IFERROR(INDEX(Resources!$A:$A,ROW()-5),"")</f>
        <v/>
      </c>
      <c r="B36" s="150">
        <f>IFERROR(Resources!B31,"")</f>
        <v/>
      </c>
      <c r="C36" s="151">
        <f>IFERROR(Resources!D31,"")</f>
        <v/>
      </c>
      <c r="D36" s="150">
        <f>IFERROR(Resources!K31,"")</f>
        <v/>
      </c>
      <c r="E36" s="151">
        <f>IFERROR(VLOOKUP($C36,$N$5:$O$19,2,0),"Blended Rate")</f>
        <v/>
      </c>
      <c r="F36" s="234">
        <f>IFERROR(IF($D36="Onsite",VLOOKUP($E36,CONFIG!$A$11:$C$18,2,0),VLOOKUP($E36,CONFIG!$A$11:$C$18,3,0)),"")</f>
        <v/>
      </c>
      <c r="G36" s="153">
        <f>IFERROR(VLOOKUP($B36,$D$5:$E$9,2,0),"")</f>
        <v/>
      </c>
      <c r="H36" s="234">
        <f>$G36*$B$8/$B$5</f>
        <v/>
      </c>
      <c r="I36" s="234">
        <f>$H36/12</f>
        <v/>
      </c>
      <c r="J36" s="234">
        <f>$F36*$B$6</f>
        <v/>
      </c>
      <c r="K36" s="234">
        <f>$J36-$I36</f>
        <v/>
      </c>
      <c r="L36" s="235">
        <f>IF($J36=0,0,$K36/$J36)</f>
        <v/>
      </c>
    </row>
    <row r="37">
      <c r="A37" s="149">
        <f>IFERROR(INDEX(Resources!$A:$A,ROW()-5),"")</f>
        <v/>
      </c>
      <c r="B37" s="150">
        <f>IFERROR(Resources!B32,"")</f>
        <v/>
      </c>
      <c r="C37" s="151">
        <f>IFERROR(Resources!D32,"")</f>
        <v/>
      </c>
      <c r="D37" s="150">
        <f>IFERROR(Resources!K32,"")</f>
        <v/>
      </c>
      <c r="E37" s="151">
        <f>IFERROR(VLOOKUP($C37,$N$5:$O$19,2,0),"Blended Rate")</f>
        <v/>
      </c>
      <c r="F37" s="234">
        <f>IFERROR(IF($D37="Onsite",VLOOKUP($E37,CONFIG!$A$11:$C$18,2,0),VLOOKUP($E37,CONFIG!$A$11:$C$18,3,0)),"")</f>
        <v/>
      </c>
      <c r="G37" s="153">
        <f>IFERROR(VLOOKUP($B37,$D$5:$E$9,2,0),"")</f>
        <v/>
      </c>
      <c r="H37" s="234">
        <f>$G37*$B$8/$B$5</f>
        <v/>
      </c>
      <c r="I37" s="234">
        <f>$H37/12</f>
        <v/>
      </c>
      <c r="J37" s="234">
        <f>$F37*$B$6</f>
        <v/>
      </c>
      <c r="K37" s="234">
        <f>$J37-$I37</f>
        <v/>
      </c>
      <c r="L37" s="235">
        <f>IF($J37=0,0,$K37/$J37)</f>
        <v/>
      </c>
    </row>
    <row r="38">
      <c r="A38" s="149">
        <f>IFERROR(INDEX(Resources!$A:$A,ROW()-5),"")</f>
        <v/>
      </c>
      <c r="B38" s="150">
        <f>IFERROR(Resources!B33,"")</f>
        <v/>
      </c>
      <c r="C38" s="151">
        <f>IFERROR(Resources!D33,"")</f>
        <v/>
      </c>
      <c r="D38" s="150">
        <f>IFERROR(Resources!K33,"")</f>
        <v/>
      </c>
      <c r="E38" s="151">
        <f>IFERROR(VLOOKUP($C38,$N$5:$O$19,2,0),"Blended Rate")</f>
        <v/>
      </c>
      <c r="F38" s="234">
        <f>IFERROR(IF($D38="Onsite",VLOOKUP($E38,CONFIG!$A$11:$C$18,2,0),VLOOKUP($E38,CONFIG!$A$11:$C$18,3,0)),"")</f>
        <v/>
      </c>
      <c r="G38" s="153">
        <f>IFERROR(VLOOKUP($B38,$D$5:$E$9,2,0),"")</f>
        <v/>
      </c>
      <c r="H38" s="234">
        <f>$G38*$B$8/$B$5</f>
        <v/>
      </c>
      <c r="I38" s="234">
        <f>$H38/12</f>
        <v/>
      </c>
      <c r="J38" s="234">
        <f>$F38*$B$6</f>
        <v/>
      </c>
      <c r="K38" s="234">
        <f>$J38-$I38</f>
        <v/>
      </c>
      <c r="L38" s="235">
        <f>IF($J38=0,0,$K38/$J38)</f>
        <v/>
      </c>
    </row>
    <row r="39">
      <c r="A39" s="149">
        <f>IFERROR(INDEX(Resources!$A:$A,ROW()-5),"")</f>
        <v/>
      </c>
      <c r="B39" s="150">
        <f>IFERROR(Resources!B34,"")</f>
        <v/>
      </c>
      <c r="C39" s="151">
        <f>IFERROR(Resources!D34,"")</f>
        <v/>
      </c>
      <c r="D39" s="150">
        <f>IFERROR(Resources!K34,"")</f>
        <v/>
      </c>
      <c r="E39" s="151">
        <f>IFERROR(VLOOKUP($C39,$N$5:$O$19,2,0),"Blended Rate")</f>
        <v/>
      </c>
      <c r="F39" s="234">
        <f>IFERROR(IF($D39="Onsite",VLOOKUP($E39,CONFIG!$A$11:$C$18,2,0),VLOOKUP($E39,CONFIG!$A$11:$C$18,3,0)),"")</f>
        <v/>
      </c>
      <c r="G39" s="153">
        <f>IFERROR(VLOOKUP($B39,$D$5:$E$9,2,0),"")</f>
        <v/>
      </c>
      <c r="H39" s="234">
        <f>$G39*$B$8/$B$5</f>
        <v/>
      </c>
      <c r="I39" s="234">
        <f>$H39/12</f>
        <v/>
      </c>
      <c r="J39" s="234">
        <f>$F39*$B$6</f>
        <v/>
      </c>
      <c r="K39" s="234">
        <f>$J39-$I39</f>
        <v/>
      </c>
      <c r="L39" s="235">
        <f>IF($J39=0,0,$K39/$J39)</f>
        <v/>
      </c>
    </row>
    <row r="40">
      <c r="A40" s="149">
        <f>IFERROR(INDEX(Resources!$A:$A,ROW()-5),"")</f>
        <v/>
      </c>
      <c r="B40" s="150">
        <f>IFERROR(Resources!B35,"")</f>
        <v/>
      </c>
      <c r="C40" s="151">
        <f>IFERROR(Resources!D35,"")</f>
        <v/>
      </c>
      <c r="D40" s="150">
        <f>IFERROR(Resources!K35,"")</f>
        <v/>
      </c>
      <c r="E40" s="151">
        <f>IFERROR(VLOOKUP($C40,$N$5:$O$19,2,0),"Blended Rate")</f>
        <v/>
      </c>
      <c r="F40" s="234">
        <f>IFERROR(IF($D40="Onsite",VLOOKUP($E40,CONFIG!$A$11:$C$18,2,0),VLOOKUP($E40,CONFIG!$A$11:$C$18,3,0)),"")</f>
        <v/>
      </c>
      <c r="G40" s="153">
        <f>IFERROR(VLOOKUP($B40,$D$5:$E$9,2,0),"")</f>
        <v/>
      </c>
      <c r="H40" s="234">
        <f>$G40*$B$8/$B$5</f>
        <v/>
      </c>
      <c r="I40" s="234">
        <f>$H40/12</f>
        <v/>
      </c>
      <c r="J40" s="234">
        <f>$F40*$B$6</f>
        <v/>
      </c>
      <c r="K40" s="234">
        <f>$J40-$I40</f>
        <v/>
      </c>
      <c r="L40" s="235">
        <f>IF($J40=0,0,$K40/$J40)</f>
        <v/>
      </c>
    </row>
    <row r="41">
      <c r="A41" s="149">
        <f>IFERROR(INDEX(Resources!$A:$A,ROW()-5),"")</f>
        <v/>
      </c>
      <c r="B41" s="150">
        <f>IFERROR(Resources!B36,"")</f>
        <v/>
      </c>
      <c r="C41" s="151">
        <f>IFERROR(Resources!D36,"")</f>
        <v/>
      </c>
      <c r="D41" s="150">
        <f>IFERROR(Resources!K36,"")</f>
        <v/>
      </c>
      <c r="E41" s="151">
        <f>IFERROR(VLOOKUP($C41,$N$5:$O$19,2,0),"Blended Rate")</f>
        <v/>
      </c>
      <c r="F41" s="234">
        <f>IFERROR(IF($D41="Onsite",VLOOKUP($E41,CONFIG!$A$11:$C$18,2,0),VLOOKUP($E41,CONFIG!$A$11:$C$18,3,0)),"")</f>
        <v/>
      </c>
      <c r="G41" s="153">
        <f>IFERROR(VLOOKUP($B41,$D$5:$E$9,2,0),"")</f>
        <v/>
      </c>
      <c r="H41" s="234">
        <f>$G41*$B$8/$B$5</f>
        <v/>
      </c>
      <c r="I41" s="234">
        <f>$H41/12</f>
        <v/>
      </c>
      <c r="J41" s="234">
        <f>$F41*$B$6</f>
        <v/>
      </c>
      <c r="K41" s="234">
        <f>$J41-$I41</f>
        <v/>
      </c>
      <c r="L41" s="235">
        <f>IF($J41=0,0,$K41/$J41)</f>
        <v/>
      </c>
    </row>
    <row r="42">
      <c r="A42" s="149">
        <f>IFERROR(INDEX(Resources!$A:$A,ROW()-5),"")</f>
        <v/>
      </c>
      <c r="B42" s="150">
        <f>IFERROR(Resources!B37,"")</f>
        <v/>
      </c>
      <c r="C42" s="151">
        <f>IFERROR(Resources!D37,"")</f>
        <v/>
      </c>
      <c r="D42" s="150">
        <f>IFERROR(Resources!K37,"")</f>
        <v/>
      </c>
      <c r="E42" s="151">
        <f>IFERROR(VLOOKUP($C42,$N$5:$O$19,2,0),"Blended Rate")</f>
        <v/>
      </c>
      <c r="F42" s="234">
        <f>IFERROR(IF($D42="Onsite",VLOOKUP($E42,CONFIG!$A$11:$C$18,2,0),VLOOKUP($E42,CONFIG!$A$11:$C$18,3,0)),"")</f>
        <v/>
      </c>
      <c r="G42" s="153">
        <f>IFERROR(VLOOKUP($B42,$D$5:$E$9,2,0),"")</f>
        <v/>
      </c>
      <c r="H42" s="234">
        <f>$G42*$B$8/$B$5</f>
        <v/>
      </c>
      <c r="I42" s="234">
        <f>$H42/12</f>
        <v/>
      </c>
      <c r="J42" s="234">
        <f>$F42*$B$6</f>
        <v/>
      </c>
      <c r="K42" s="234">
        <f>$J42-$I42</f>
        <v/>
      </c>
      <c r="L42" s="235">
        <f>IF($J42=0,0,$K42/$J42)</f>
        <v/>
      </c>
    </row>
    <row r="43">
      <c r="A43" s="149">
        <f>IFERROR(INDEX(Resources!$A:$A,ROW()-5),"")</f>
        <v/>
      </c>
      <c r="B43" s="150">
        <f>IFERROR(Resources!B38,"")</f>
        <v/>
      </c>
      <c r="C43" s="151">
        <f>IFERROR(Resources!D38,"")</f>
        <v/>
      </c>
      <c r="D43" s="150">
        <f>IFERROR(Resources!K38,"")</f>
        <v/>
      </c>
      <c r="E43" s="151">
        <f>IFERROR(VLOOKUP($C43,$N$5:$O$19,2,0),"Blended Rate")</f>
        <v/>
      </c>
      <c r="F43" s="234">
        <f>IFERROR(IF($D43="Onsite",VLOOKUP($E43,CONFIG!$A$11:$C$18,2,0),VLOOKUP($E43,CONFIG!$A$11:$C$18,3,0)),"")</f>
        <v/>
      </c>
      <c r="G43" s="153">
        <f>IFERROR(VLOOKUP($B43,$D$5:$E$9,2,0),"")</f>
        <v/>
      </c>
      <c r="H43" s="234">
        <f>$G43*$B$8/$B$5</f>
        <v/>
      </c>
      <c r="I43" s="234">
        <f>$H43/12</f>
        <v/>
      </c>
      <c r="J43" s="234">
        <f>$F43*$B$6</f>
        <v/>
      </c>
      <c r="K43" s="234">
        <f>$J43-$I43</f>
        <v/>
      </c>
      <c r="L43" s="235">
        <f>IF($J43=0,0,$K43/$J43)</f>
        <v/>
      </c>
    </row>
    <row r="44">
      <c r="A44" s="149">
        <f>IFERROR(INDEX(Resources!$A:$A,ROW()-5),"")</f>
        <v/>
      </c>
      <c r="B44" s="150">
        <f>IFERROR(Resources!B39,"")</f>
        <v/>
      </c>
      <c r="C44" s="151">
        <f>IFERROR(Resources!D39,"")</f>
        <v/>
      </c>
      <c r="D44" s="150">
        <f>IFERROR(Resources!K39,"")</f>
        <v/>
      </c>
      <c r="E44" s="151">
        <f>IFERROR(VLOOKUP($C44,$N$5:$O$19,2,0),"Blended Rate")</f>
        <v/>
      </c>
      <c r="F44" s="234">
        <f>IFERROR(IF($D44="Onsite",VLOOKUP($E44,CONFIG!$A$11:$C$18,2,0),VLOOKUP($E44,CONFIG!$A$11:$C$18,3,0)),"")</f>
        <v/>
      </c>
      <c r="G44" s="153">
        <f>IFERROR(VLOOKUP($B44,$D$5:$E$9,2,0),"")</f>
        <v/>
      </c>
      <c r="H44" s="234">
        <f>$G44*$B$8/$B$5</f>
        <v/>
      </c>
      <c r="I44" s="234">
        <f>$H44/12</f>
        <v/>
      </c>
      <c r="J44" s="234">
        <f>$F44*$B$6</f>
        <v/>
      </c>
      <c r="K44" s="234">
        <f>$J44-$I44</f>
        <v/>
      </c>
      <c r="L44" s="235">
        <f>IF($J44=0,0,$K44/$J44)</f>
        <v/>
      </c>
    </row>
    <row r="45">
      <c r="A45" s="149">
        <f>IFERROR(INDEX(Resources!$A:$A,ROW()-5),"")</f>
        <v/>
      </c>
      <c r="B45" s="150">
        <f>IFERROR(Resources!B40,"")</f>
        <v/>
      </c>
      <c r="C45" s="151">
        <f>IFERROR(Resources!D40,"")</f>
        <v/>
      </c>
      <c r="D45" s="150">
        <f>IFERROR(Resources!K40,"")</f>
        <v/>
      </c>
      <c r="E45" s="151">
        <f>IFERROR(VLOOKUP($C45,$N$5:$O$19,2,0),"Blended Rate")</f>
        <v/>
      </c>
      <c r="F45" s="234">
        <f>IFERROR(IF($D45="Onsite",VLOOKUP($E45,CONFIG!$A$11:$C$18,2,0),VLOOKUP($E45,CONFIG!$A$11:$C$18,3,0)),"")</f>
        <v/>
      </c>
      <c r="G45" s="153">
        <f>IFERROR(VLOOKUP($B45,$D$5:$E$9,2,0),"")</f>
        <v/>
      </c>
      <c r="H45" s="234">
        <f>$G45*$B$8/$B$5</f>
        <v/>
      </c>
      <c r="I45" s="234">
        <f>$H45/12</f>
        <v/>
      </c>
      <c r="J45" s="234">
        <f>$F45*$B$6</f>
        <v/>
      </c>
      <c r="K45" s="234">
        <f>$J45-$I45</f>
        <v/>
      </c>
      <c r="L45" s="235">
        <f>IF($J45=0,0,$K45/$J45)</f>
        <v/>
      </c>
    </row>
    <row r="46">
      <c r="A46" s="149">
        <f>IFERROR(INDEX(Resources!$A:$A,ROW()-5),"")</f>
        <v/>
      </c>
      <c r="B46" s="150">
        <f>IFERROR(Resources!B41,"")</f>
        <v/>
      </c>
      <c r="C46" s="151">
        <f>IFERROR(Resources!D41,"")</f>
        <v/>
      </c>
      <c r="D46" s="150">
        <f>IFERROR(Resources!K41,"")</f>
        <v/>
      </c>
      <c r="E46" s="151">
        <f>IFERROR(VLOOKUP($C46,$N$5:$O$19,2,0),"Blended Rate")</f>
        <v/>
      </c>
      <c r="F46" s="234">
        <f>IFERROR(IF($D46="Onsite",VLOOKUP($E46,CONFIG!$A$11:$C$18,2,0),VLOOKUP($E46,CONFIG!$A$11:$C$18,3,0)),"")</f>
        <v/>
      </c>
      <c r="G46" s="153">
        <f>IFERROR(VLOOKUP($B46,$D$5:$E$9,2,0),"")</f>
        <v/>
      </c>
      <c r="H46" s="234">
        <f>$G46*$B$8/$B$5</f>
        <v/>
      </c>
      <c r="I46" s="234">
        <f>$H46/12</f>
        <v/>
      </c>
      <c r="J46" s="234">
        <f>$F46*$B$6</f>
        <v/>
      </c>
      <c r="K46" s="234">
        <f>$J46-$I46</f>
        <v/>
      </c>
      <c r="L46" s="235">
        <f>IF($J46=0,0,$K46/$J46)</f>
        <v/>
      </c>
    </row>
    <row r="47">
      <c r="A47" s="149">
        <f>IFERROR(INDEX(Resources!$A:$A,ROW()-5),"")</f>
        <v/>
      </c>
      <c r="B47" s="150">
        <f>IFERROR(Resources!B42,"")</f>
        <v/>
      </c>
      <c r="C47" s="151">
        <f>IFERROR(Resources!D42,"")</f>
        <v/>
      </c>
      <c r="D47" s="150">
        <f>IFERROR(Resources!K42,"")</f>
        <v/>
      </c>
      <c r="E47" s="151">
        <f>IFERROR(VLOOKUP($C47,$N$5:$O$19,2,0),"Blended Rate")</f>
        <v/>
      </c>
      <c r="F47" s="234">
        <f>IFERROR(IF($D47="Onsite",VLOOKUP($E47,CONFIG!$A$11:$C$18,2,0),VLOOKUP($E47,CONFIG!$A$11:$C$18,3,0)),"")</f>
        <v/>
      </c>
      <c r="G47" s="153">
        <f>IFERROR(VLOOKUP($B47,$D$5:$E$9,2,0),"")</f>
        <v/>
      </c>
      <c r="H47" s="234">
        <f>$G47*$B$8/$B$5</f>
        <v/>
      </c>
      <c r="I47" s="234">
        <f>$H47/12</f>
        <v/>
      </c>
      <c r="J47" s="234">
        <f>$F47*$B$6</f>
        <v/>
      </c>
      <c r="K47" s="234">
        <f>$J47-$I47</f>
        <v/>
      </c>
      <c r="L47" s="235">
        <f>IF($J47=0,0,$K47/$J47)</f>
        <v/>
      </c>
    </row>
    <row r="48">
      <c r="A48" s="149">
        <f>IFERROR(INDEX(Resources!$A:$A,ROW()-5),"")</f>
        <v/>
      </c>
      <c r="B48" s="150">
        <f>IFERROR(Resources!B43,"")</f>
        <v/>
      </c>
      <c r="C48" s="151">
        <f>IFERROR(Resources!D43,"")</f>
        <v/>
      </c>
      <c r="D48" s="150">
        <f>IFERROR(Resources!K43,"")</f>
        <v/>
      </c>
      <c r="E48" s="151">
        <f>IFERROR(VLOOKUP($C48,$N$5:$O$19,2,0),"Blended Rate")</f>
        <v/>
      </c>
      <c r="F48" s="234">
        <f>IFERROR(IF($D48="Onsite",VLOOKUP($E48,CONFIG!$A$11:$C$18,2,0),VLOOKUP($E48,CONFIG!$A$11:$C$18,3,0)),"")</f>
        <v/>
      </c>
      <c r="G48" s="153">
        <f>IFERROR(VLOOKUP($B48,$D$5:$E$9,2,0),"")</f>
        <v/>
      </c>
      <c r="H48" s="234">
        <f>$G48*$B$8/$B$5</f>
        <v/>
      </c>
      <c r="I48" s="234">
        <f>$H48/12</f>
        <v/>
      </c>
      <c r="J48" s="234">
        <f>$F48*$B$6</f>
        <v/>
      </c>
      <c r="K48" s="234">
        <f>$J48-$I48</f>
        <v/>
      </c>
      <c r="L48" s="235">
        <f>IF($J48=0,0,$K48/$J48)</f>
        <v/>
      </c>
    </row>
    <row r="49">
      <c r="A49" s="149">
        <f>IFERROR(INDEX(Resources!$A:$A,ROW()-5),"")</f>
        <v/>
      </c>
      <c r="B49" s="150">
        <f>IFERROR(Resources!B44,"")</f>
        <v/>
      </c>
      <c r="C49" s="151">
        <f>IFERROR(Resources!D44,"")</f>
        <v/>
      </c>
      <c r="D49" s="150">
        <f>IFERROR(Resources!K44,"")</f>
        <v/>
      </c>
      <c r="E49" s="151">
        <f>IFERROR(VLOOKUP($C49,$N$5:$O$19,2,0),"Blended Rate")</f>
        <v/>
      </c>
      <c r="F49" s="234">
        <f>IFERROR(IF($D49="Onsite",VLOOKUP($E49,CONFIG!$A$11:$C$18,2,0),VLOOKUP($E49,CONFIG!$A$11:$C$18,3,0)),"")</f>
        <v/>
      </c>
      <c r="G49" s="153">
        <f>IFERROR(VLOOKUP($B49,$D$5:$E$9,2,0),"")</f>
        <v/>
      </c>
      <c r="H49" s="234">
        <f>$G49*$B$8/$B$5</f>
        <v/>
      </c>
      <c r="I49" s="234">
        <f>$H49/12</f>
        <v/>
      </c>
      <c r="J49" s="234">
        <f>$F49*$B$6</f>
        <v/>
      </c>
      <c r="K49" s="234">
        <f>$J49-$I49</f>
        <v/>
      </c>
      <c r="L49" s="235">
        <f>IF($J49=0,0,$K49/$J49)</f>
        <v/>
      </c>
    </row>
    <row r="50">
      <c r="A50" s="149">
        <f>IFERROR(INDEX(Resources!$A:$A,ROW()-5),"")</f>
        <v/>
      </c>
      <c r="B50" s="150">
        <f>IFERROR(Resources!B45,"")</f>
        <v/>
      </c>
      <c r="C50" s="151">
        <f>IFERROR(Resources!D45,"")</f>
        <v/>
      </c>
      <c r="D50" s="150">
        <f>IFERROR(Resources!K45,"")</f>
        <v/>
      </c>
      <c r="E50" s="151">
        <f>IFERROR(VLOOKUP($C50,$N$5:$O$19,2,0),"Blended Rate")</f>
        <v/>
      </c>
      <c r="F50" s="234">
        <f>IFERROR(IF($D50="Onsite",VLOOKUP($E50,CONFIG!$A$11:$C$18,2,0),VLOOKUP($E50,CONFIG!$A$11:$C$18,3,0)),"")</f>
        <v/>
      </c>
      <c r="G50" s="153">
        <f>IFERROR(VLOOKUP($B50,$D$5:$E$9,2,0),"")</f>
        <v/>
      </c>
      <c r="H50" s="234">
        <f>$G50*$B$8/$B$5</f>
        <v/>
      </c>
      <c r="I50" s="234">
        <f>$H50/12</f>
        <v/>
      </c>
      <c r="J50" s="234">
        <f>$F50*$B$6</f>
        <v/>
      </c>
      <c r="K50" s="234">
        <f>$J50-$I50</f>
        <v/>
      </c>
      <c r="L50" s="235">
        <f>IF($J50=0,0,$K50/$J50)</f>
        <v/>
      </c>
    </row>
    <row r="51">
      <c r="A51" s="149">
        <f>IFERROR(INDEX(Resources!$A:$A,ROW()-5),"")</f>
        <v/>
      </c>
      <c r="B51" s="150">
        <f>IFERROR(Resources!B46,"")</f>
        <v/>
      </c>
      <c r="C51" s="151">
        <f>IFERROR(Resources!D46,"")</f>
        <v/>
      </c>
      <c r="D51" s="150">
        <f>IFERROR(Resources!K46,"")</f>
        <v/>
      </c>
      <c r="E51" s="151">
        <f>IFERROR(VLOOKUP($C51,$N$5:$O$19,2,0),"Blended Rate")</f>
        <v/>
      </c>
      <c r="F51" s="234">
        <f>IFERROR(IF($D51="Onsite",VLOOKUP($E51,CONFIG!$A$11:$C$18,2,0),VLOOKUP($E51,CONFIG!$A$11:$C$18,3,0)),"")</f>
        <v/>
      </c>
      <c r="G51" s="153">
        <f>IFERROR(VLOOKUP($B51,$D$5:$E$9,2,0),"")</f>
        <v/>
      </c>
      <c r="H51" s="234">
        <f>$G51*$B$8/$B$5</f>
        <v/>
      </c>
      <c r="I51" s="234">
        <f>$H51/12</f>
        <v/>
      </c>
      <c r="J51" s="234">
        <f>$F51*$B$6</f>
        <v/>
      </c>
      <c r="K51" s="234">
        <f>$J51-$I51</f>
        <v/>
      </c>
      <c r="L51" s="235">
        <f>IF($J51=0,0,$K51/$J51)</f>
        <v/>
      </c>
    </row>
    <row r="52">
      <c r="A52" s="149">
        <f>IFERROR(INDEX(Resources!$A:$A,ROW()-5),"")</f>
        <v/>
      </c>
      <c r="B52" s="150">
        <f>IFERROR(Resources!B47,"")</f>
        <v/>
      </c>
      <c r="C52" s="151">
        <f>IFERROR(Resources!D47,"")</f>
        <v/>
      </c>
      <c r="D52" s="150">
        <f>IFERROR(Resources!K47,"")</f>
        <v/>
      </c>
      <c r="E52" s="151">
        <f>IFERROR(VLOOKUP($C52,$N$5:$O$19,2,0),"Blended Rate")</f>
        <v/>
      </c>
      <c r="F52" s="234">
        <f>IFERROR(IF($D52="Onsite",VLOOKUP($E52,CONFIG!$A$11:$C$18,2,0),VLOOKUP($E52,CONFIG!$A$11:$C$18,3,0)),"")</f>
        <v/>
      </c>
      <c r="G52" s="153">
        <f>IFERROR(VLOOKUP($B52,$D$5:$E$9,2,0),"")</f>
        <v/>
      </c>
      <c r="H52" s="234">
        <f>$G52*$B$8/$B$5</f>
        <v/>
      </c>
      <c r="I52" s="234">
        <f>$H52/12</f>
        <v/>
      </c>
      <c r="J52" s="234">
        <f>$F52*$B$6</f>
        <v/>
      </c>
      <c r="K52" s="234">
        <f>$J52-$I52</f>
        <v/>
      </c>
      <c r="L52" s="235">
        <f>IF($J52=0,0,$K52/$J52)</f>
        <v/>
      </c>
    </row>
    <row r="53" ht="16" customHeight="1" s="66">
      <c r="A53" s="149">
        <f>IFERROR(INDEX(Resources!$A:$A,ROW()-5),"")</f>
        <v/>
      </c>
      <c r="B53" s="150">
        <f>IFERROR(Resources!B48,"")</f>
        <v/>
      </c>
      <c r="C53" s="151">
        <f>IFERROR(Resources!D48,"")</f>
        <v/>
      </c>
      <c r="D53" s="150">
        <f>IFERROR(Resources!K48,"")</f>
        <v/>
      </c>
      <c r="E53" s="151">
        <f>IFERROR(VLOOKUP($C53,$N$5:$O$19,2,0),"Blended Rate")</f>
        <v/>
      </c>
      <c r="F53" s="234">
        <f>IFERROR(IF($D53="Onsite",VLOOKUP($E53,CONFIG!$A$11:$C$18,2,0),VLOOKUP($E53,CONFIG!$A$11:$C$18,3,0)),"")</f>
        <v/>
      </c>
      <c r="G53" s="153">
        <f>IFERROR(VLOOKUP($B53,$D$5:$E$9,2,0),"")</f>
        <v/>
      </c>
      <c r="H53" s="234">
        <f>$G53*$B$8/$B$5</f>
        <v/>
      </c>
      <c r="I53" s="234">
        <f>$H53/12</f>
        <v/>
      </c>
      <c r="J53" s="234">
        <f>$F53*$B$6</f>
        <v/>
      </c>
      <c r="K53" s="234">
        <f>$J53-$I53</f>
        <v/>
      </c>
      <c r="L53" s="235">
        <f>IF($J53=0,0,$K53/$J53)</f>
        <v/>
      </c>
    </row>
    <row r="54" ht="32" customHeight="1" s="66">
      <c r="A54" s="149">
        <f>IFERROR(INDEX(Resources!$A:$A,ROW()-5),"")</f>
        <v/>
      </c>
      <c r="B54" s="150">
        <f>IFERROR(Resources!B49,"")</f>
        <v/>
      </c>
      <c r="C54" s="151">
        <f>IFERROR(Resources!D49,"")</f>
        <v/>
      </c>
      <c r="D54" s="150">
        <f>IFERROR(Resources!K49,"")</f>
        <v/>
      </c>
      <c r="E54" s="151">
        <f>IFERROR(VLOOKUP($C54,$N$5:$O$19,2,0),"Blended Rate")</f>
        <v/>
      </c>
      <c r="F54" s="234">
        <f>IFERROR(IF($D54="Onsite",VLOOKUP($E54,CONFIG!$A$11:$C$18,2,0),VLOOKUP($E54,CONFIG!$A$11:$C$18,3,0)),"")</f>
        <v/>
      </c>
      <c r="G54" s="153">
        <f>IFERROR(VLOOKUP($B54,$D$5:$E$9,2,0),"")</f>
        <v/>
      </c>
      <c r="H54" s="234">
        <f>$G54*$B$8/$B$5</f>
        <v/>
      </c>
      <c r="I54" s="234">
        <f>$H54/12</f>
        <v/>
      </c>
      <c r="J54" s="234">
        <f>$F54*$B$6</f>
        <v/>
      </c>
      <c r="K54" s="234">
        <f>$J54-$I54</f>
        <v/>
      </c>
      <c r="L54" s="235">
        <f>IF($J54=0,0,$K54/$J54)</f>
        <v/>
      </c>
    </row>
    <row r="55">
      <c r="A55" s="149">
        <f>IFERROR(INDEX(Resources!$A:$A,ROW()-5),"")</f>
        <v/>
      </c>
      <c r="B55" s="150">
        <f>IFERROR(Resources!B50,"")</f>
        <v/>
      </c>
      <c r="C55" s="151">
        <f>IFERROR(Resources!D50,"")</f>
        <v/>
      </c>
      <c r="D55" s="150">
        <f>IFERROR(Resources!K50,"")</f>
        <v/>
      </c>
      <c r="E55" s="151">
        <f>IFERROR(VLOOKUP($C55,$N$5:$O$19,2,0),"Blended Rate")</f>
        <v/>
      </c>
      <c r="F55" s="234">
        <f>IFERROR(IF($D55="Onsite",VLOOKUP($E55,CONFIG!$A$11:$C$18,2,0),VLOOKUP($E55,CONFIG!$A$11:$C$18,3,0)),"")</f>
        <v/>
      </c>
      <c r="G55" s="153">
        <f>IFERROR(VLOOKUP($B55,$D$5:$E$9,2,0),"")</f>
        <v/>
      </c>
      <c r="H55" s="234">
        <f>$G55*$B$8/$B$5</f>
        <v/>
      </c>
      <c r="I55" s="234">
        <f>$H55/12</f>
        <v/>
      </c>
      <c r="J55" s="234">
        <f>$F55*$B$6</f>
        <v/>
      </c>
      <c r="K55" s="234">
        <f>$J55-$I55</f>
        <v/>
      </c>
      <c r="L55" s="235">
        <f>IF($J55=0,0,$K55/$J55)</f>
        <v/>
      </c>
    </row>
    <row r="56">
      <c r="A56" s="149">
        <f>IFERROR(INDEX(Resources!$A:$A,ROW()-5),"")</f>
        <v/>
      </c>
      <c r="B56" s="150">
        <f>IFERROR(Resources!B51,"")</f>
        <v/>
      </c>
      <c r="C56" s="151">
        <f>IFERROR(Resources!D51,"")</f>
        <v/>
      </c>
      <c r="D56" s="150">
        <f>IFERROR(Resources!K51,"")</f>
        <v/>
      </c>
      <c r="E56" s="151">
        <f>IFERROR(VLOOKUP($C56,$N$5:$O$19,2,0),"Blended Rate")</f>
        <v/>
      </c>
      <c r="F56" s="234">
        <f>IFERROR(IF($D56="Onsite",VLOOKUP($E56,CONFIG!$A$11:$C$18,2,0),VLOOKUP($E56,CONFIG!$A$11:$C$18,3,0)),"")</f>
        <v/>
      </c>
      <c r="G56" s="153">
        <f>IFERROR(VLOOKUP($B56,$D$5:$E$9,2,0),"")</f>
        <v/>
      </c>
      <c r="H56" s="234">
        <f>$G56*$B$8/$B$5</f>
        <v/>
      </c>
      <c r="I56" s="234">
        <f>$H56/12</f>
        <v/>
      </c>
      <c r="J56" s="234">
        <f>$F56*$B$6</f>
        <v/>
      </c>
      <c r="K56" s="234">
        <f>$J56-$I56</f>
        <v/>
      </c>
      <c r="L56" s="235">
        <f>IF($J56=0,0,$K56/$J56)</f>
        <v/>
      </c>
    </row>
    <row r="57">
      <c r="A57" s="149">
        <f>IFERROR(INDEX(Resources!$A:$A,ROW()-5),"")</f>
        <v/>
      </c>
      <c r="B57" s="150">
        <f>IFERROR(Resources!B52,"")</f>
        <v/>
      </c>
      <c r="C57" s="151">
        <f>IFERROR(Resources!D52,"")</f>
        <v/>
      </c>
      <c r="D57" s="150">
        <f>IFERROR(Resources!K52,"")</f>
        <v/>
      </c>
      <c r="E57" s="151">
        <f>IFERROR(VLOOKUP($C57,$N$5:$O$19,2,0),"Blended Rate")</f>
        <v/>
      </c>
      <c r="F57" s="234">
        <f>IFERROR(IF($D57="Onsite",VLOOKUP($E57,CONFIG!$A$11:$C$18,2,0),VLOOKUP($E57,CONFIG!$A$11:$C$18,3,0)),"")</f>
        <v/>
      </c>
      <c r="G57" s="153">
        <f>IFERROR(VLOOKUP($B57,$D$5:$E$9,2,0),"")</f>
        <v/>
      </c>
      <c r="H57" s="234">
        <f>$G57*$B$8/$B$5</f>
        <v/>
      </c>
      <c r="I57" s="234">
        <f>$H57/12</f>
        <v/>
      </c>
      <c r="J57" s="234">
        <f>$F57*$B$6</f>
        <v/>
      </c>
      <c r="K57" s="234">
        <f>$J57-$I57</f>
        <v/>
      </c>
      <c r="L57" s="235">
        <f>IF($J57=0,0,$K57/$J57)</f>
        <v/>
      </c>
    </row>
    <row r="58">
      <c r="A58" s="149">
        <f>IFERROR(INDEX(Resources!$A:$A,ROW()-5),"")</f>
        <v/>
      </c>
      <c r="B58" s="150">
        <f>IFERROR(Resources!B53,"")</f>
        <v/>
      </c>
      <c r="C58" s="151">
        <f>IFERROR(Resources!D53,"")</f>
        <v/>
      </c>
      <c r="D58" s="150">
        <f>IFERROR(Resources!K53,"")</f>
        <v/>
      </c>
      <c r="E58" s="151">
        <f>IFERROR(VLOOKUP($C58,$N$5:$O$19,2,0),"Blended Rate")</f>
        <v/>
      </c>
      <c r="F58" s="234">
        <f>IFERROR(IF($D58="Onsite",VLOOKUP($E58,CONFIG!$A$11:$C$18,2,0),VLOOKUP($E58,CONFIG!$A$11:$C$18,3,0)),"")</f>
        <v/>
      </c>
      <c r="G58" s="153">
        <f>IFERROR(VLOOKUP($B58,$D$5:$E$9,2,0),"")</f>
        <v/>
      </c>
      <c r="H58" s="234">
        <f>$G58*$B$8/$B$5</f>
        <v/>
      </c>
      <c r="I58" s="234">
        <f>$H58/12</f>
        <v/>
      </c>
      <c r="J58" s="234">
        <f>$F58*$B$6</f>
        <v/>
      </c>
      <c r="K58" s="234">
        <f>$J58-$I58</f>
        <v/>
      </c>
      <c r="L58" s="235">
        <f>IF($J58=0,0,$K58/$J58)</f>
        <v/>
      </c>
    </row>
    <row r="59">
      <c r="A59" s="149">
        <f>IFERROR(INDEX(Resources!$A:$A,ROW()-5),"")</f>
        <v/>
      </c>
      <c r="B59" s="150">
        <f>IFERROR(Resources!B54,"")</f>
        <v/>
      </c>
      <c r="C59" s="151">
        <f>IFERROR(Resources!D54,"")</f>
        <v/>
      </c>
      <c r="D59" s="150">
        <f>IFERROR(Resources!K54,"")</f>
        <v/>
      </c>
      <c r="E59" s="151">
        <f>IFERROR(VLOOKUP($C59,$N$5:$O$19,2,0),"Blended Rate")</f>
        <v/>
      </c>
      <c r="F59" s="234">
        <f>IFERROR(IF($D59="Onsite",VLOOKUP($E59,CONFIG!$A$11:$C$18,2,0),VLOOKUP($E59,CONFIG!$A$11:$C$18,3,0)),"")</f>
        <v/>
      </c>
      <c r="G59" s="153">
        <f>IFERROR(VLOOKUP($B59,$D$5:$E$9,2,0),"")</f>
        <v/>
      </c>
      <c r="H59" s="234">
        <f>$G59*$B$8/$B$5</f>
        <v/>
      </c>
      <c r="I59" s="234">
        <f>$H59/12</f>
        <v/>
      </c>
      <c r="J59" s="234">
        <f>$F59*$B$6</f>
        <v/>
      </c>
      <c r="K59" s="234">
        <f>$J59-$I59</f>
        <v/>
      </c>
      <c r="L59" s="235">
        <f>IF($J59=0,0,$K59/$J59)</f>
        <v/>
      </c>
    </row>
    <row r="60">
      <c r="A60" s="149">
        <f>IFERROR(INDEX(Resources!$A:$A,ROW()-5),"")</f>
        <v/>
      </c>
      <c r="B60" s="150">
        <f>IFERROR(Resources!B55,"")</f>
        <v/>
      </c>
      <c r="C60" s="151">
        <f>IFERROR(Resources!D55,"")</f>
        <v/>
      </c>
      <c r="D60" s="150">
        <f>IFERROR(Resources!K55,"")</f>
        <v/>
      </c>
      <c r="E60" s="151">
        <f>IFERROR(VLOOKUP($C60,$N$5:$O$19,2,0),"Blended Rate")</f>
        <v/>
      </c>
      <c r="F60" s="234">
        <f>IFERROR(IF($D60="Onsite",VLOOKUP($E60,CONFIG!$A$11:$C$18,2,0),VLOOKUP($E60,CONFIG!$A$11:$C$18,3,0)),"")</f>
        <v/>
      </c>
      <c r="G60" s="153">
        <f>IFERROR(VLOOKUP($B60,$D$5:$E$9,2,0),"")</f>
        <v/>
      </c>
      <c r="H60" s="234">
        <f>$G60*$B$8/$B$5</f>
        <v/>
      </c>
      <c r="I60" s="234">
        <f>$H60/12</f>
        <v/>
      </c>
      <c r="J60" s="234">
        <f>$F60*$B$6</f>
        <v/>
      </c>
      <c r="K60" s="234">
        <f>$J60-$I60</f>
        <v/>
      </c>
      <c r="L60" s="235">
        <f>IF($J60=0,0,$K60/$J60)</f>
        <v/>
      </c>
    </row>
    <row r="61">
      <c r="A61" s="149">
        <f>IFERROR(INDEX(Resources!$A:$A,ROW()-5),"")</f>
        <v/>
      </c>
      <c r="B61" s="150">
        <f>IFERROR(Resources!B56,"")</f>
        <v/>
      </c>
      <c r="C61" s="151">
        <f>IFERROR(Resources!D56,"")</f>
        <v/>
      </c>
      <c r="D61" s="150">
        <f>IFERROR(Resources!K56,"")</f>
        <v/>
      </c>
      <c r="E61" s="151">
        <f>IFERROR(VLOOKUP($C61,$N$5:$O$19,2,0),"Blended Rate")</f>
        <v/>
      </c>
      <c r="F61" s="234">
        <f>IFERROR(IF($D61="Onsite",VLOOKUP($E61,CONFIG!$A$11:$C$18,2,0),VLOOKUP($E61,CONFIG!$A$11:$C$18,3,0)),"")</f>
        <v/>
      </c>
      <c r="G61" s="153">
        <f>IFERROR(VLOOKUP($B61,$D$5:$E$9,2,0),"")</f>
        <v/>
      </c>
      <c r="H61" s="234">
        <f>$G61*$B$8/$B$5</f>
        <v/>
      </c>
      <c r="I61" s="234">
        <f>$H61/12</f>
        <v/>
      </c>
      <c r="J61" s="234">
        <f>$F61*$B$6</f>
        <v/>
      </c>
      <c r="K61" s="234">
        <f>$J61-$I61</f>
        <v/>
      </c>
      <c r="L61" s="235">
        <f>IF($J61=0,0,$K61/$J61)</f>
        <v/>
      </c>
    </row>
    <row r="62">
      <c r="A62" s="149">
        <f>IFERROR(INDEX(Resources!$A:$A,ROW()-5),"")</f>
        <v/>
      </c>
      <c r="B62" s="150">
        <f>IFERROR(Resources!B57,"")</f>
        <v/>
      </c>
      <c r="C62" s="151">
        <f>IFERROR(Resources!D57,"")</f>
        <v/>
      </c>
      <c r="D62" s="150">
        <f>IFERROR(Resources!K57,"")</f>
        <v/>
      </c>
      <c r="E62" s="151">
        <f>IFERROR(VLOOKUP($C62,$N$5:$O$19,2,0),"Blended Rate")</f>
        <v/>
      </c>
      <c r="F62" s="234">
        <f>IFERROR(IF($D62="Onsite",VLOOKUP($E62,CONFIG!$A$11:$C$18,2,0),VLOOKUP($E62,CONFIG!$A$11:$C$18,3,0)),"")</f>
        <v/>
      </c>
      <c r="G62" s="153">
        <f>IFERROR(VLOOKUP($B62,$D$5:$E$9,2,0),"")</f>
        <v/>
      </c>
      <c r="H62" s="234">
        <f>$G62*$B$8/$B$5</f>
        <v/>
      </c>
      <c r="I62" s="234">
        <f>$H62/12</f>
        <v/>
      </c>
      <c r="J62" s="234">
        <f>$F62*$B$6</f>
        <v/>
      </c>
      <c r="K62" s="234">
        <f>$J62-$I62</f>
        <v/>
      </c>
      <c r="L62" s="235">
        <f>IF($J62=0,0,$K62/$J62)</f>
        <v/>
      </c>
    </row>
    <row r="63">
      <c r="A63" s="149">
        <f>IFERROR(INDEX(Resources!$A:$A,ROW()-5),"")</f>
        <v/>
      </c>
      <c r="B63" s="150">
        <f>IFERROR(Resources!B58,"")</f>
        <v/>
      </c>
      <c r="C63" s="151">
        <f>IFERROR(Resources!D58,"")</f>
        <v/>
      </c>
      <c r="D63" s="150">
        <f>IFERROR(Resources!K58,"")</f>
        <v/>
      </c>
      <c r="E63" s="151">
        <f>IFERROR(VLOOKUP($C63,$N$5:$O$19,2,0),"Blended Rate")</f>
        <v/>
      </c>
      <c r="F63" s="234">
        <f>IFERROR(IF($D63="Onsite",VLOOKUP($E63,CONFIG!$A$11:$C$18,2,0),VLOOKUP($E63,CONFIG!$A$11:$C$18,3,0)),"")</f>
        <v/>
      </c>
      <c r="G63" s="153">
        <f>IFERROR(VLOOKUP($B63,$D$5:$E$9,2,0),"")</f>
        <v/>
      </c>
      <c r="H63" s="234">
        <f>$G63*$B$8/$B$5</f>
        <v/>
      </c>
      <c r="I63" s="234">
        <f>$H63/12</f>
        <v/>
      </c>
      <c r="J63" s="234">
        <f>$F63*$B$6</f>
        <v/>
      </c>
      <c r="K63" s="234">
        <f>$J63-$I63</f>
        <v/>
      </c>
      <c r="L63" s="235">
        <f>IF($J63=0,0,$K63/$J63)</f>
        <v/>
      </c>
    </row>
    <row r="64">
      <c r="A64" s="149">
        <f>IFERROR(INDEX(Resources!$A:$A,ROW()-5),"")</f>
        <v/>
      </c>
      <c r="B64" s="150">
        <f>IFERROR(Resources!B59,"")</f>
        <v/>
      </c>
      <c r="C64" s="151">
        <f>IFERROR(Resources!D59,"")</f>
        <v/>
      </c>
      <c r="D64" s="150">
        <f>IFERROR(Resources!K59,"")</f>
        <v/>
      </c>
      <c r="E64" s="151">
        <f>IFERROR(VLOOKUP($C64,$N$5:$O$19,2,0),"Blended Rate")</f>
        <v/>
      </c>
      <c r="F64" s="234">
        <f>IFERROR(IF($D64="Onsite",VLOOKUP($E64,CONFIG!$A$11:$C$18,2,0),VLOOKUP($E64,CONFIG!$A$11:$C$18,3,0)),"")</f>
        <v/>
      </c>
      <c r="G64" s="153">
        <f>IFERROR(VLOOKUP($B64,$D$5:$E$9,2,0),"")</f>
        <v/>
      </c>
      <c r="H64" s="234">
        <f>$G64*$B$8/$B$5</f>
        <v/>
      </c>
      <c r="I64" s="234">
        <f>$H64/12</f>
        <v/>
      </c>
      <c r="J64" s="234">
        <f>$F64*$B$6</f>
        <v/>
      </c>
      <c r="K64" s="234">
        <f>$J64-$I64</f>
        <v/>
      </c>
      <c r="L64" s="235">
        <f>IF($J64=0,0,$K64/$J64)</f>
        <v/>
      </c>
    </row>
    <row r="65">
      <c r="A65" s="149">
        <f>IFERROR(INDEX(Resources!$A:$A,ROW()-5),"")</f>
        <v/>
      </c>
      <c r="B65" s="150">
        <f>IFERROR(Resources!B60,"")</f>
        <v/>
      </c>
      <c r="C65" s="151">
        <f>IFERROR(Resources!D60,"")</f>
        <v/>
      </c>
      <c r="D65" s="150">
        <f>IFERROR(Resources!K60,"")</f>
        <v/>
      </c>
      <c r="E65" s="151">
        <f>IFERROR(VLOOKUP($C65,$N$5:$O$19,2,0),"Blended Rate")</f>
        <v/>
      </c>
      <c r="F65" s="234">
        <f>IFERROR(IF($D65="Onsite",VLOOKUP($E65,CONFIG!$A$11:$C$18,2,0),VLOOKUP($E65,CONFIG!$A$11:$C$18,3,0)),"")</f>
        <v/>
      </c>
      <c r="G65" s="153">
        <f>IFERROR(VLOOKUP($B65,$D$5:$E$9,2,0),"")</f>
        <v/>
      </c>
      <c r="H65" s="234">
        <f>$G65*$B$8/$B$5</f>
        <v/>
      </c>
      <c r="I65" s="234">
        <f>$H65/12</f>
        <v/>
      </c>
      <c r="J65" s="234">
        <f>$F65*$B$6</f>
        <v/>
      </c>
      <c r="K65" s="234">
        <f>$J65-$I65</f>
        <v/>
      </c>
      <c r="L65" s="235">
        <f>IF($J65=0,0,$K65/$J65)</f>
        <v/>
      </c>
    </row>
    <row r="66">
      <c r="A66" s="149">
        <f>IFERROR(INDEX(Resources!$A:$A,ROW()-5),"")</f>
        <v/>
      </c>
      <c r="B66" s="150">
        <f>IFERROR(Resources!B61,"")</f>
        <v/>
      </c>
      <c r="C66" s="151">
        <f>IFERROR(Resources!D61,"")</f>
        <v/>
      </c>
      <c r="D66" s="150">
        <f>IFERROR(Resources!K61,"")</f>
        <v/>
      </c>
      <c r="E66" s="151">
        <f>IFERROR(VLOOKUP($C66,$N$5:$O$19,2,0),"Blended Rate")</f>
        <v/>
      </c>
      <c r="F66" s="234">
        <f>IFERROR(IF($D66="Onsite",VLOOKUP($E66,CONFIG!$A$11:$C$18,2,0),VLOOKUP($E66,CONFIG!$A$11:$C$18,3,0)),"")</f>
        <v/>
      </c>
      <c r="G66" s="153">
        <f>IFERROR(VLOOKUP($B66,$D$5:$E$9,2,0),"")</f>
        <v/>
      </c>
      <c r="H66" s="234">
        <f>$G66*$B$8/$B$5</f>
        <v/>
      </c>
      <c r="I66" s="234">
        <f>$H66/12</f>
        <v/>
      </c>
      <c r="J66" s="234">
        <f>$F66*$B$6</f>
        <v/>
      </c>
      <c r="K66" s="234">
        <f>$J66-$I66</f>
        <v/>
      </c>
      <c r="L66" s="235">
        <f>IF($J66=0,0,$K66/$J66)</f>
        <v/>
      </c>
    </row>
    <row r="67">
      <c r="A67" s="149">
        <f>IFERROR(INDEX(Resources!$A:$A,ROW()-5),"")</f>
        <v/>
      </c>
      <c r="B67" s="150">
        <f>IFERROR(Resources!B62,"")</f>
        <v/>
      </c>
      <c r="C67" s="151">
        <f>IFERROR(Resources!D62,"")</f>
        <v/>
      </c>
      <c r="D67" s="150">
        <f>IFERROR(Resources!K62,"")</f>
        <v/>
      </c>
      <c r="E67" s="151">
        <f>IFERROR(VLOOKUP($C67,$N$5:$O$19,2,0),"Blended Rate")</f>
        <v/>
      </c>
      <c r="F67" s="234">
        <f>IFERROR(IF($D67="Onsite",VLOOKUP($E67,CONFIG!$A$11:$C$18,2,0),VLOOKUP($E67,CONFIG!$A$11:$C$18,3,0)),"")</f>
        <v/>
      </c>
      <c r="G67" s="153">
        <f>IFERROR(VLOOKUP($B67,$D$5:$E$9,2,0),"")</f>
        <v/>
      </c>
      <c r="H67" s="234">
        <f>$G67*$B$8/$B$5</f>
        <v/>
      </c>
      <c r="I67" s="234">
        <f>$H67/12</f>
        <v/>
      </c>
      <c r="J67" s="234">
        <f>$F67*$B$6</f>
        <v/>
      </c>
      <c r="K67" s="234">
        <f>$J67-$I67</f>
        <v/>
      </c>
      <c r="L67" s="235">
        <f>IF($J67=0,0,$K67/$J67)</f>
        <v/>
      </c>
    </row>
    <row r="68">
      <c r="A68" s="149">
        <f>IFERROR(INDEX(Resources!$A:$A,ROW()-5),"")</f>
        <v/>
      </c>
      <c r="B68" s="150">
        <f>IFERROR(Resources!B63,"")</f>
        <v/>
      </c>
      <c r="C68" s="151">
        <f>IFERROR(Resources!D63,"")</f>
        <v/>
      </c>
      <c r="D68" s="150">
        <f>IFERROR(Resources!K63,"")</f>
        <v/>
      </c>
      <c r="E68" s="151">
        <f>IFERROR(VLOOKUP($C68,$N$5:$O$19,2,0),"Blended Rate")</f>
        <v/>
      </c>
      <c r="F68" s="234">
        <f>IFERROR(IF($D68="Onsite",VLOOKUP($E68,CONFIG!$A$11:$C$18,2,0),VLOOKUP($E68,CONFIG!$A$11:$C$18,3,0)),"")</f>
        <v/>
      </c>
      <c r="G68" s="153">
        <f>IFERROR(VLOOKUP($B68,$D$5:$E$9,2,0),"")</f>
        <v/>
      </c>
      <c r="H68" s="234">
        <f>$G68*$B$8/$B$5</f>
        <v/>
      </c>
      <c r="I68" s="234">
        <f>$H68/12</f>
        <v/>
      </c>
      <c r="J68" s="234">
        <f>$F68*$B$6</f>
        <v/>
      </c>
      <c r="K68" s="234">
        <f>$J68-$I68</f>
        <v/>
      </c>
      <c r="L68" s="235">
        <f>IF($J68=0,0,$K68/$J68)</f>
        <v/>
      </c>
    </row>
    <row r="69">
      <c r="A69" s="149">
        <f>IFERROR(INDEX(Resources!$A:$A,ROW()-5),"")</f>
        <v/>
      </c>
      <c r="B69" s="150">
        <f>IFERROR(Resources!B64,"")</f>
        <v/>
      </c>
      <c r="C69" s="151">
        <f>IFERROR(Resources!D64,"")</f>
        <v/>
      </c>
      <c r="D69" s="150">
        <f>IFERROR(Resources!K64,"")</f>
        <v/>
      </c>
      <c r="E69" s="151">
        <f>IFERROR(VLOOKUP($C69,$N$5:$O$19,2,0),"Blended Rate")</f>
        <v/>
      </c>
      <c r="F69" s="234">
        <f>IFERROR(IF($D69="Onsite",VLOOKUP($E69,CONFIG!$A$11:$C$18,2,0),VLOOKUP($E69,CONFIG!$A$11:$C$18,3,0)),"")</f>
        <v/>
      </c>
      <c r="G69" s="153">
        <f>IFERROR(VLOOKUP($B69,$D$5:$E$9,2,0),"")</f>
        <v/>
      </c>
      <c r="H69" s="234">
        <f>$G69*$B$8/$B$5</f>
        <v/>
      </c>
      <c r="I69" s="234">
        <f>$H69/12</f>
        <v/>
      </c>
      <c r="J69" s="234">
        <f>$F69*$B$6</f>
        <v/>
      </c>
      <c r="K69" s="234">
        <f>$J69-$I69</f>
        <v/>
      </c>
      <c r="L69" s="235">
        <f>IF($J69=0,0,$K69/$J69)</f>
        <v/>
      </c>
    </row>
    <row r="70">
      <c r="A70" s="149">
        <f>IFERROR(INDEX(Resources!$A:$A,ROW()-5),"")</f>
        <v/>
      </c>
      <c r="B70" s="150">
        <f>IFERROR(Resources!B65,"")</f>
        <v/>
      </c>
      <c r="C70" s="151">
        <f>IFERROR(Resources!D65,"")</f>
        <v/>
      </c>
      <c r="D70" s="150">
        <f>IFERROR(Resources!K65,"")</f>
        <v/>
      </c>
      <c r="E70" s="151">
        <f>IFERROR(VLOOKUP($C70,$N$5:$O$19,2,0),"Blended Rate")</f>
        <v/>
      </c>
      <c r="F70" s="234">
        <f>IFERROR(IF($D70="Onsite",VLOOKUP($E70,CONFIG!$A$11:$C$18,2,0),VLOOKUP($E70,CONFIG!$A$11:$C$18,3,0)),"")</f>
        <v/>
      </c>
      <c r="G70" s="153">
        <f>IFERROR(VLOOKUP($B70,$D$5:$E$9,2,0),"")</f>
        <v/>
      </c>
      <c r="H70" s="234">
        <f>$G70*$B$8/$B$5</f>
        <v/>
      </c>
      <c r="I70" s="234">
        <f>$H70/12</f>
        <v/>
      </c>
      <c r="J70" s="234">
        <f>$F70*$B$6</f>
        <v/>
      </c>
      <c r="K70" s="234">
        <f>$J70-$I70</f>
        <v/>
      </c>
      <c r="L70" s="235">
        <f>IF($J70=0,0,$K70/$J70)</f>
        <v/>
      </c>
    </row>
    <row r="71">
      <c r="A71" s="149">
        <f>IFERROR(INDEX(Resources!$A:$A,ROW()-5),"")</f>
        <v/>
      </c>
      <c r="B71" s="150">
        <f>IFERROR(Resources!B66,"")</f>
        <v/>
      </c>
      <c r="C71" s="151">
        <f>IFERROR(Resources!D66,"")</f>
        <v/>
      </c>
      <c r="D71" s="150">
        <f>IFERROR(Resources!K66,"")</f>
        <v/>
      </c>
      <c r="E71" s="151">
        <f>IFERROR(VLOOKUP($C71,$N$5:$O$19,2,0),"Blended Rate")</f>
        <v/>
      </c>
      <c r="F71" s="234">
        <f>IFERROR(IF($D71="Onsite",VLOOKUP($E71,CONFIG!$A$11:$C$18,2,0),VLOOKUP($E71,CONFIG!$A$11:$C$18,3,0)),"")</f>
        <v/>
      </c>
      <c r="G71" s="153">
        <f>IFERROR(VLOOKUP($B71,$D$5:$E$9,2,0),"")</f>
        <v/>
      </c>
      <c r="H71" s="234">
        <f>$G71*$B$8/$B$5</f>
        <v/>
      </c>
      <c r="I71" s="234">
        <f>$H71/12</f>
        <v/>
      </c>
      <c r="J71" s="234">
        <f>$F71*$B$6</f>
        <v/>
      </c>
      <c r="K71" s="234">
        <f>$J71-$I71</f>
        <v/>
      </c>
      <c r="L71" s="235">
        <f>IF($J71=0,0,$K71/$J71)</f>
        <v/>
      </c>
    </row>
    <row r="72">
      <c r="A72" s="149">
        <f>IFERROR(INDEX(Resources!$A:$A,ROW()-5),"")</f>
        <v/>
      </c>
      <c r="B72" s="150">
        <f>IFERROR(Resources!B67,"")</f>
        <v/>
      </c>
      <c r="C72" s="151">
        <f>IFERROR(Resources!D67,"")</f>
        <v/>
      </c>
      <c r="D72" s="150">
        <f>IFERROR(Resources!K67,"")</f>
        <v/>
      </c>
      <c r="E72" s="151">
        <f>IFERROR(VLOOKUP($C72,$N$5:$O$19,2,0),"Blended Rate")</f>
        <v/>
      </c>
      <c r="F72" s="234">
        <f>IFERROR(IF($D72="Onsite",VLOOKUP($E72,CONFIG!$A$11:$C$18,2,0),VLOOKUP($E72,CONFIG!$A$11:$C$18,3,0)),"")</f>
        <v/>
      </c>
      <c r="G72" s="153">
        <f>IFERROR(VLOOKUP($B72,$D$5:$E$9,2,0),"")</f>
        <v/>
      </c>
      <c r="H72" s="234">
        <f>$G72*$B$8/$B$5</f>
        <v/>
      </c>
      <c r="I72" s="234">
        <f>$H72/12</f>
        <v/>
      </c>
      <c r="J72" s="234">
        <f>$F72*$B$6</f>
        <v/>
      </c>
      <c r="K72" s="234">
        <f>$J72-$I72</f>
        <v/>
      </c>
      <c r="L72" s="235">
        <f>IF($J72=0,0,$K72/$J72)</f>
        <v/>
      </c>
    </row>
    <row r="73">
      <c r="A73" s="149">
        <f>IFERROR(INDEX(Resources!$A:$A,ROW()-5),"")</f>
        <v/>
      </c>
      <c r="B73" s="150">
        <f>IFERROR(Resources!B68,"")</f>
        <v/>
      </c>
      <c r="C73" s="151">
        <f>IFERROR(Resources!D68,"")</f>
        <v/>
      </c>
      <c r="D73" s="150">
        <f>IFERROR(Resources!K68,"")</f>
        <v/>
      </c>
      <c r="E73" s="151">
        <f>IFERROR(VLOOKUP($C73,$N$5:$O$19,2,0),"Blended Rate")</f>
        <v/>
      </c>
      <c r="F73" s="234">
        <f>IFERROR(IF($D73="Onsite",VLOOKUP($E73,CONFIG!$A$11:$C$18,2,0),VLOOKUP($E73,CONFIG!$A$11:$C$18,3,0)),"")</f>
        <v/>
      </c>
      <c r="G73" s="153">
        <f>IFERROR(VLOOKUP($B73,$D$5:$E$9,2,0),"")</f>
        <v/>
      </c>
      <c r="H73" s="234">
        <f>$G73*$B$8/$B$5</f>
        <v/>
      </c>
      <c r="I73" s="234">
        <f>$H73/12</f>
        <v/>
      </c>
      <c r="J73" s="234">
        <f>$F73*$B$6</f>
        <v/>
      </c>
      <c r="K73" s="234">
        <f>$J73-$I73</f>
        <v/>
      </c>
      <c r="L73" s="235">
        <f>IF($J73=0,0,$K73/$J73)</f>
        <v/>
      </c>
    </row>
    <row r="74">
      <c r="A74" s="149">
        <f>IFERROR(INDEX(Resources!$A:$A,ROW()-5),"")</f>
        <v/>
      </c>
      <c r="B74" s="150">
        <f>IFERROR(Resources!B69,"")</f>
        <v/>
      </c>
      <c r="C74" s="151">
        <f>IFERROR(Resources!D69,"")</f>
        <v/>
      </c>
      <c r="D74" s="150">
        <f>IFERROR(Resources!K69,"")</f>
        <v/>
      </c>
      <c r="E74" s="151">
        <f>IFERROR(VLOOKUP($C74,$N$5:$O$19,2,0),"Blended Rate")</f>
        <v/>
      </c>
      <c r="F74" s="234">
        <f>IFERROR(IF($D74="Onsite",VLOOKUP($E74,CONFIG!$A$11:$C$18,2,0),VLOOKUP($E74,CONFIG!$A$11:$C$18,3,0)),"")</f>
        <v/>
      </c>
      <c r="G74" s="153">
        <f>IFERROR(VLOOKUP($B74,$D$5:$E$9,2,0),"")</f>
        <v/>
      </c>
      <c r="H74" s="234">
        <f>$G74*$B$8/$B$5</f>
        <v/>
      </c>
      <c r="I74" s="234">
        <f>$H74/12</f>
        <v/>
      </c>
      <c r="J74" s="234">
        <f>$F74*$B$6</f>
        <v/>
      </c>
      <c r="K74" s="234">
        <f>$J74-$I74</f>
        <v/>
      </c>
      <c r="L74" s="235">
        <f>IF($J74=0,0,$K74/$J74)</f>
        <v/>
      </c>
    </row>
    <row r="75">
      <c r="A75" s="149">
        <f>IFERROR(INDEX(Resources!$A:$A,ROW()-5),"")</f>
        <v/>
      </c>
      <c r="B75" s="150">
        <f>IFERROR(Resources!B70,"")</f>
        <v/>
      </c>
      <c r="C75" s="151">
        <f>IFERROR(Resources!D70,"")</f>
        <v/>
      </c>
      <c r="D75" s="150">
        <f>IFERROR(Resources!K70,"")</f>
        <v/>
      </c>
      <c r="E75" s="151">
        <f>IFERROR(VLOOKUP($C75,$N$5:$O$19,2,0),"Blended Rate")</f>
        <v/>
      </c>
      <c r="F75" s="234">
        <f>IFERROR(IF($D75="Onsite",VLOOKUP($E75,CONFIG!$A$11:$C$18,2,0),VLOOKUP($E75,CONFIG!$A$11:$C$18,3,0)),"")</f>
        <v/>
      </c>
      <c r="G75" s="153">
        <f>IFERROR(VLOOKUP($B75,$D$5:$E$9,2,0),"")</f>
        <v/>
      </c>
      <c r="H75" s="234">
        <f>$G75*$B$8/$B$5</f>
        <v/>
      </c>
      <c r="I75" s="234">
        <f>$H75/12</f>
        <v/>
      </c>
      <c r="J75" s="234">
        <f>$F75*$B$6</f>
        <v/>
      </c>
      <c r="K75" s="234">
        <f>$J75-$I75</f>
        <v/>
      </c>
      <c r="L75" s="235">
        <f>IF($J75=0,0,$K75/$J75)</f>
        <v/>
      </c>
    </row>
    <row r="76">
      <c r="A76" s="149">
        <f>IFERROR(INDEX(Resources!$A:$A,ROW()-5),"")</f>
        <v/>
      </c>
      <c r="B76" s="150">
        <f>IFERROR(Resources!B71,"")</f>
        <v/>
      </c>
      <c r="C76" s="151">
        <f>IFERROR(Resources!D71,"")</f>
        <v/>
      </c>
      <c r="D76" s="150">
        <f>IFERROR(Resources!K71,"")</f>
        <v/>
      </c>
      <c r="E76" s="151">
        <f>IFERROR(VLOOKUP($C76,$N$5:$O$19,2,0),"Blended Rate")</f>
        <v/>
      </c>
      <c r="F76" s="234">
        <f>IFERROR(IF($D76="Onsite",VLOOKUP($E76,CONFIG!$A$11:$C$18,2,0),VLOOKUP($E76,CONFIG!$A$11:$C$18,3,0)),"")</f>
        <v/>
      </c>
      <c r="G76" s="153">
        <f>IFERROR(VLOOKUP($B76,$D$5:$E$9,2,0),"")</f>
        <v/>
      </c>
      <c r="H76" s="234">
        <f>$G76*$B$8/$B$5</f>
        <v/>
      </c>
      <c r="I76" s="234">
        <f>$H76/12</f>
        <v/>
      </c>
      <c r="J76" s="234">
        <f>$F76*$B$6</f>
        <v/>
      </c>
      <c r="K76" s="234">
        <f>$J76-$I76</f>
        <v/>
      </c>
      <c r="L76" s="235">
        <f>IF($J76=0,0,$K76/$J76)</f>
        <v/>
      </c>
    </row>
    <row r="77">
      <c r="A77" s="149">
        <f>IFERROR(INDEX(Resources!$A:$A,ROW()-5),"")</f>
        <v/>
      </c>
      <c r="B77" s="150">
        <f>IFERROR(Resources!B72,"")</f>
        <v/>
      </c>
      <c r="C77" s="151">
        <f>IFERROR(Resources!D72,"")</f>
        <v/>
      </c>
      <c r="D77" s="150">
        <f>IFERROR(Resources!K72,"")</f>
        <v/>
      </c>
      <c r="E77" s="151">
        <f>IFERROR(VLOOKUP($C77,$N$5:$O$19,2,0),"Blended Rate")</f>
        <v/>
      </c>
      <c r="F77" s="234">
        <f>IFERROR(IF($D77="Onsite",VLOOKUP($E77,CONFIG!$A$11:$C$18,2,0),VLOOKUP($E77,CONFIG!$A$11:$C$18,3,0)),"")</f>
        <v/>
      </c>
      <c r="G77" s="153">
        <f>IFERROR(VLOOKUP($B77,$D$5:$E$9,2,0),"")</f>
        <v/>
      </c>
      <c r="H77" s="234">
        <f>$G77*$B$8/$B$5</f>
        <v/>
      </c>
      <c r="I77" s="234">
        <f>$H77/12</f>
        <v/>
      </c>
      <c r="J77" s="234">
        <f>$F77*$B$6</f>
        <v/>
      </c>
      <c r="K77" s="234">
        <f>$J77-$I77</f>
        <v/>
      </c>
      <c r="L77" s="235">
        <f>IF($J77=0,0,$K77/$J77)</f>
        <v/>
      </c>
    </row>
    <row r="78">
      <c r="A78" s="149">
        <f>IFERROR(INDEX(Resources!$A:$A,ROW()-5),"")</f>
        <v/>
      </c>
      <c r="B78" s="150">
        <f>IFERROR(Resources!B73,"")</f>
        <v/>
      </c>
      <c r="C78" s="151">
        <f>IFERROR(Resources!D73,"")</f>
        <v/>
      </c>
      <c r="D78" s="150">
        <f>IFERROR(Resources!K73,"")</f>
        <v/>
      </c>
      <c r="E78" s="151">
        <f>IFERROR(VLOOKUP($C78,$N$5:$O$19,2,0),"Blended Rate")</f>
        <v/>
      </c>
      <c r="F78" s="234">
        <f>IFERROR(IF($D78="Onsite",VLOOKUP($E78,CONFIG!$A$11:$C$18,2,0),VLOOKUP($E78,CONFIG!$A$11:$C$18,3,0)),"")</f>
        <v/>
      </c>
      <c r="G78" s="153">
        <f>IFERROR(VLOOKUP($B78,$D$5:$E$9,2,0),"")</f>
        <v/>
      </c>
      <c r="H78" s="234">
        <f>$G78*$B$8/$B$5</f>
        <v/>
      </c>
      <c r="I78" s="234">
        <f>$H78/12</f>
        <v/>
      </c>
      <c r="J78" s="234">
        <f>$F78*$B$6</f>
        <v/>
      </c>
      <c r="K78" s="234">
        <f>$J78-$I78</f>
        <v/>
      </c>
      <c r="L78" s="235">
        <f>IF($J78=0,0,$K78/$J78)</f>
        <v/>
      </c>
    </row>
    <row r="79">
      <c r="A79" s="149">
        <f>IFERROR(INDEX(Resources!$A:$A,ROW()-5),"")</f>
        <v/>
      </c>
      <c r="B79" s="150">
        <f>IFERROR(Resources!B74,"")</f>
        <v/>
      </c>
      <c r="C79" s="151">
        <f>IFERROR(Resources!D74,"")</f>
        <v/>
      </c>
      <c r="D79" s="150">
        <f>IFERROR(Resources!K74,"")</f>
        <v/>
      </c>
      <c r="E79" s="151">
        <f>IFERROR(VLOOKUP($C79,$N$5:$O$19,2,0),"Blended Rate")</f>
        <v/>
      </c>
      <c r="F79" s="234">
        <f>IFERROR(IF($D79="Onsite",VLOOKUP($E79,CONFIG!$A$11:$C$18,2,0),VLOOKUP($E79,CONFIG!$A$11:$C$18,3,0)),"")</f>
        <v/>
      </c>
      <c r="G79" s="153">
        <f>IFERROR(VLOOKUP($B79,$D$5:$E$9,2,0),"")</f>
        <v/>
      </c>
      <c r="H79" s="234">
        <f>$G79*$B$8/$B$5</f>
        <v/>
      </c>
      <c r="I79" s="234">
        <f>$H79/12</f>
        <v/>
      </c>
      <c r="J79" s="234">
        <f>$F79*$B$6</f>
        <v/>
      </c>
      <c r="K79" s="234">
        <f>$J79-$I79</f>
        <v/>
      </c>
      <c r="L79" s="235">
        <f>IF($J79=0,0,$K79/$J79)</f>
        <v/>
      </c>
    </row>
    <row r="80">
      <c r="A80" s="149">
        <f>IFERROR(INDEX(Resources!$A:$A,ROW()-5),"")</f>
        <v/>
      </c>
      <c r="B80" s="150">
        <f>IFERROR(Resources!B75,"")</f>
        <v/>
      </c>
      <c r="C80" s="151">
        <f>IFERROR(Resources!D75,"")</f>
        <v/>
      </c>
      <c r="D80" s="150">
        <f>IFERROR(Resources!K75,"")</f>
        <v/>
      </c>
      <c r="E80" s="151">
        <f>IFERROR(VLOOKUP($C80,$N$5:$O$19,2,0),"Blended Rate")</f>
        <v/>
      </c>
      <c r="F80" s="234">
        <f>IFERROR(IF($D80="Onsite",VLOOKUP($E80,CONFIG!$A$11:$C$18,2,0),VLOOKUP($E80,CONFIG!$A$11:$C$18,3,0)),"")</f>
        <v/>
      </c>
      <c r="G80" s="153">
        <f>IFERROR(VLOOKUP($B80,$D$5:$E$9,2,0),"")</f>
        <v/>
      </c>
      <c r="H80" s="234">
        <f>$G80*$B$8/$B$5</f>
        <v/>
      </c>
      <c r="I80" s="234">
        <f>$H80/12</f>
        <v/>
      </c>
      <c r="J80" s="234">
        <f>$F80*$B$6</f>
        <v/>
      </c>
      <c r="K80" s="234">
        <f>$J80-$I80</f>
        <v/>
      </c>
      <c r="L80" s="235">
        <f>IF($J80=0,0,$K80/$J80)</f>
        <v/>
      </c>
    </row>
    <row r="81">
      <c r="A81" s="149">
        <f>IFERROR(INDEX(Resources!$A:$A,ROW()-5),"")</f>
        <v/>
      </c>
      <c r="B81" s="150">
        <f>IFERROR(Resources!B76,"")</f>
        <v/>
      </c>
      <c r="C81" s="151">
        <f>IFERROR(Resources!D76,"")</f>
        <v/>
      </c>
      <c r="D81" s="150">
        <f>IFERROR(Resources!K76,"")</f>
        <v/>
      </c>
      <c r="E81" s="151">
        <f>IFERROR(VLOOKUP($C81,$N$5:$O$19,2,0),"Blended Rate")</f>
        <v/>
      </c>
      <c r="F81" s="234">
        <f>IFERROR(IF($D81="Onsite",VLOOKUP($E81,CONFIG!$A$11:$C$18,2,0),VLOOKUP($E81,CONFIG!$A$11:$C$18,3,0)),"")</f>
        <v/>
      </c>
      <c r="G81" s="153">
        <f>IFERROR(VLOOKUP($B81,$D$5:$E$9,2,0),"")</f>
        <v/>
      </c>
      <c r="H81" s="234">
        <f>$G81*$B$8/$B$5</f>
        <v/>
      </c>
      <c r="I81" s="234">
        <f>$H81/12</f>
        <v/>
      </c>
      <c r="J81" s="234">
        <f>$F81*$B$6</f>
        <v/>
      </c>
      <c r="K81" s="234">
        <f>$J81-$I81</f>
        <v/>
      </c>
      <c r="L81" s="235">
        <f>IF($J81=0,0,$K81/$J81)</f>
        <v/>
      </c>
    </row>
    <row r="82">
      <c r="A82" s="149">
        <f>IFERROR(INDEX(Resources!$A:$A,ROW()-5),"")</f>
        <v/>
      </c>
      <c r="B82" s="150">
        <f>IFERROR(Resources!B77,"")</f>
        <v/>
      </c>
      <c r="C82" s="151">
        <f>IFERROR(Resources!D77,"")</f>
        <v/>
      </c>
      <c r="D82" s="150">
        <f>IFERROR(Resources!K77,"")</f>
        <v/>
      </c>
      <c r="E82" s="151">
        <f>IFERROR(VLOOKUP($C82,$N$5:$O$19,2,0),"Blended Rate")</f>
        <v/>
      </c>
      <c r="F82" s="234">
        <f>IFERROR(IF($D82="Onsite",VLOOKUP($E82,CONFIG!$A$11:$C$18,2,0),VLOOKUP($E82,CONFIG!$A$11:$C$18,3,0)),"")</f>
        <v/>
      </c>
      <c r="G82" s="153">
        <f>IFERROR(VLOOKUP($B82,$D$5:$E$9,2,0),"")</f>
        <v/>
      </c>
      <c r="H82" s="234">
        <f>$G82*$B$8/$B$5</f>
        <v/>
      </c>
      <c r="I82" s="234">
        <f>$H82/12</f>
        <v/>
      </c>
      <c r="J82" s="234">
        <f>$F82*$B$6</f>
        <v/>
      </c>
      <c r="K82" s="234">
        <f>$J82-$I82</f>
        <v/>
      </c>
      <c r="L82" s="235">
        <f>IF($J82=0,0,$K82/$J82)</f>
        <v/>
      </c>
    </row>
    <row r="83">
      <c r="A83" s="149">
        <f>IFERROR(INDEX(Resources!$A:$A,ROW()-5),"")</f>
        <v/>
      </c>
      <c r="B83" s="150">
        <f>IFERROR(Resources!B78,"")</f>
        <v/>
      </c>
      <c r="C83" s="151">
        <f>IFERROR(Resources!D78,"")</f>
        <v/>
      </c>
      <c r="D83" s="150">
        <f>IFERROR(Resources!K78,"")</f>
        <v/>
      </c>
      <c r="E83" s="151">
        <f>IFERROR(VLOOKUP($C83,$N$5:$O$19,2,0),"Blended Rate")</f>
        <v/>
      </c>
      <c r="F83" s="234">
        <f>IFERROR(IF($D83="Onsite",VLOOKUP($E83,CONFIG!$A$11:$C$18,2,0),VLOOKUP($E83,CONFIG!$A$11:$C$18,3,0)),"")</f>
        <v/>
      </c>
      <c r="G83" s="153">
        <f>IFERROR(VLOOKUP($B83,$D$5:$E$9,2,0),"")</f>
        <v/>
      </c>
      <c r="H83" s="234">
        <f>$G83*$B$8/$B$5</f>
        <v/>
      </c>
      <c r="I83" s="234">
        <f>$H83/12</f>
        <v/>
      </c>
      <c r="J83" s="234">
        <f>$F83*$B$6</f>
        <v/>
      </c>
      <c r="K83" s="234">
        <f>$J83-$I83</f>
        <v/>
      </c>
      <c r="L83" s="235">
        <f>IF($J83=0,0,$K83/$J83)</f>
        <v/>
      </c>
    </row>
    <row r="84">
      <c r="A84" s="149">
        <f>IFERROR(INDEX(Resources!$A:$A,ROW()-5),"")</f>
        <v/>
      </c>
      <c r="B84" s="150">
        <f>IFERROR(Resources!B79,"")</f>
        <v/>
      </c>
      <c r="C84" s="151">
        <f>IFERROR(Resources!D79,"")</f>
        <v/>
      </c>
      <c r="D84" s="150">
        <f>IFERROR(Resources!K79,"")</f>
        <v/>
      </c>
      <c r="E84" s="151">
        <f>IFERROR(VLOOKUP($C84,$N$5:$O$19,2,0),"Blended Rate")</f>
        <v/>
      </c>
      <c r="F84" s="234">
        <f>IFERROR(IF($D84="Onsite",VLOOKUP($E84,CONFIG!$A$11:$C$18,2,0),VLOOKUP($E84,CONFIG!$A$11:$C$18,3,0)),"")</f>
        <v/>
      </c>
      <c r="G84" s="153">
        <f>IFERROR(VLOOKUP($B84,$D$5:$E$9,2,0),"")</f>
        <v/>
      </c>
      <c r="H84" s="234">
        <f>$G84*$B$8/$B$5</f>
        <v/>
      </c>
      <c r="I84" s="234">
        <f>$H84/12</f>
        <v/>
      </c>
      <c r="J84" s="234">
        <f>$F84*$B$6</f>
        <v/>
      </c>
      <c r="K84" s="234">
        <f>$J84-$I84</f>
        <v/>
      </c>
      <c r="L84" s="235">
        <f>IF($J84=0,0,$K84/$J84)</f>
        <v/>
      </c>
    </row>
    <row r="85">
      <c r="A85" s="149">
        <f>IFERROR(INDEX(Resources!$A:$A,ROW()-5),"")</f>
        <v/>
      </c>
      <c r="B85" s="150">
        <f>IFERROR(Resources!B80,"")</f>
        <v/>
      </c>
      <c r="C85" s="151">
        <f>IFERROR(Resources!D80,"")</f>
        <v/>
      </c>
      <c r="D85" s="150">
        <f>IFERROR(Resources!K80,"")</f>
        <v/>
      </c>
      <c r="E85" s="151">
        <f>IFERROR(VLOOKUP($C85,$N$5:$O$19,2,0),"Blended Rate")</f>
        <v/>
      </c>
      <c r="F85" s="234">
        <f>IFERROR(IF($D85="Onsite",VLOOKUP($E85,CONFIG!$A$11:$C$18,2,0),VLOOKUP($E85,CONFIG!$A$11:$C$18,3,0)),"")</f>
        <v/>
      </c>
      <c r="G85" s="153">
        <f>IFERROR(VLOOKUP($B85,$D$5:$E$9,2,0),"")</f>
        <v/>
      </c>
      <c r="H85" s="234">
        <f>$G85*$B$8/$B$5</f>
        <v/>
      </c>
      <c r="I85" s="234">
        <f>$H85/12</f>
        <v/>
      </c>
      <c r="J85" s="234">
        <f>$F85*$B$6</f>
        <v/>
      </c>
      <c r="K85" s="234">
        <f>$J85-$I85</f>
        <v/>
      </c>
      <c r="L85" s="235">
        <f>IF($J85=0,0,$K85/$J85)</f>
        <v/>
      </c>
    </row>
    <row r="86">
      <c r="A86" s="149">
        <f>IFERROR(INDEX(Resources!$A:$A,ROW()-5),"")</f>
        <v/>
      </c>
      <c r="B86" s="150">
        <f>IFERROR(Resources!B81,"")</f>
        <v/>
      </c>
      <c r="C86" s="151">
        <f>IFERROR(Resources!D81,"")</f>
        <v/>
      </c>
      <c r="D86" s="150">
        <f>IFERROR(Resources!K81,"")</f>
        <v/>
      </c>
      <c r="E86" s="151">
        <f>IFERROR(VLOOKUP($C86,$N$5:$O$19,2,0),"Blended Rate")</f>
        <v/>
      </c>
      <c r="F86" s="234">
        <f>IFERROR(IF($D86="Onsite",VLOOKUP($E86,CONFIG!$A$11:$C$18,2,0),VLOOKUP($E86,CONFIG!$A$11:$C$18,3,0)),"")</f>
        <v/>
      </c>
      <c r="G86" s="153">
        <f>IFERROR(VLOOKUP($B86,$D$5:$E$9,2,0),"")</f>
        <v/>
      </c>
      <c r="H86" s="234">
        <f>$G86*$B$8/$B$5</f>
        <v/>
      </c>
      <c r="I86" s="234">
        <f>$H86/12</f>
        <v/>
      </c>
      <c r="J86" s="234">
        <f>$F86*$B$6</f>
        <v/>
      </c>
      <c r="K86" s="234">
        <f>$J86-$I86</f>
        <v/>
      </c>
      <c r="L86" s="235">
        <f>IF($J86=0,0,$K86/$J86)</f>
        <v/>
      </c>
    </row>
    <row r="87">
      <c r="A87" s="149">
        <f>IFERROR(INDEX(Resources!$A:$A,ROW()-5),"")</f>
        <v/>
      </c>
      <c r="B87" s="150">
        <f>IFERROR(Resources!B82,"")</f>
        <v/>
      </c>
      <c r="C87" s="151">
        <f>IFERROR(Resources!D82,"")</f>
        <v/>
      </c>
      <c r="D87" s="150">
        <f>IFERROR(Resources!K82,"")</f>
        <v/>
      </c>
      <c r="E87" s="151">
        <f>IFERROR(VLOOKUP($C87,$N$5:$O$19,2,0),"Blended Rate")</f>
        <v/>
      </c>
      <c r="F87" s="234">
        <f>IFERROR(IF($D87="Onsite",VLOOKUP($E87,CONFIG!$A$11:$C$18,2,0),VLOOKUP($E87,CONFIG!$A$11:$C$18,3,0)),"")</f>
        <v/>
      </c>
      <c r="G87" s="153">
        <f>IFERROR(VLOOKUP($B87,$D$5:$E$9,2,0),"")</f>
        <v/>
      </c>
      <c r="H87" s="234">
        <f>$G87*$B$8/$B$5</f>
        <v/>
      </c>
      <c r="I87" s="234">
        <f>$H87/12</f>
        <v/>
      </c>
      <c r="J87" s="234">
        <f>$F87*$B$6</f>
        <v/>
      </c>
      <c r="K87" s="234">
        <f>$J87-$I87</f>
        <v/>
      </c>
      <c r="L87" s="235">
        <f>IF($J87=0,0,$K87/$J87)</f>
        <v/>
      </c>
    </row>
    <row r="88">
      <c r="A88" s="149">
        <f>IFERROR(INDEX(Resources!$A:$A,ROW()-5),"")</f>
        <v/>
      </c>
      <c r="B88" s="150">
        <f>IFERROR(Resources!B83,"")</f>
        <v/>
      </c>
      <c r="C88" s="151">
        <f>IFERROR(Resources!D83,"")</f>
        <v/>
      </c>
      <c r="D88" s="150">
        <f>IFERROR(Resources!K83,"")</f>
        <v/>
      </c>
      <c r="E88" s="151">
        <f>IFERROR(VLOOKUP($C88,$N$5:$O$19,2,0),"Blended Rate")</f>
        <v/>
      </c>
      <c r="F88" s="234">
        <f>IFERROR(IF($D88="Onsite",VLOOKUP($E88,CONFIG!$A$11:$C$18,2,0),VLOOKUP($E88,CONFIG!$A$11:$C$18,3,0)),"")</f>
        <v/>
      </c>
      <c r="G88" s="153">
        <f>IFERROR(VLOOKUP($B88,$D$5:$E$9,2,0),"")</f>
        <v/>
      </c>
      <c r="H88" s="234">
        <f>$G88*$B$8/$B$5</f>
        <v/>
      </c>
      <c r="I88" s="234">
        <f>$H88/12</f>
        <v/>
      </c>
      <c r="J88" s="234">
        <f>$F88*$B$6</f>
        <v/>
      </c>
      <c r="K88" s="234">
        <f>$J88-$I88</f>
        <v/>
      </c>
      <c r="L88" s="235">
        <f>IF($J88=0,0,$K88/$J88)</f>
        <v/>
      </c>
    </row>
    <row r="89">
      <c r="A89" s="149">
        <f>IFERROR(INDEX(Resources!$A:$A,ROW()-5),"")</f>
        <v/>
      </c>
      <c r="B89" s="150">
        <f>IFERROR(Resources!B84,"")</f>
        <v/>
      </c>
      <c r="C89" s="151">
        <f>IFERROR(Resources!D84,"")</f>
        <v/>
      </c>
      <c r="D89" s="150">
        <f>IFERROR(Resources!K84,"")</f>
        <v/>
      </c>
      <c r="E89" s="151">
        <f>IFERROR(VLOOKUP($C89,$N$5:$O$19,2,0),"Blended Rate")</f>
        <v/>
      </c>
      <c r="F89" s="234">
        <f>IFERROR(IF($D89="Onsite",VLOOKUP($E89,CONFIG!$A$11:$C$18,2,0),VLOOKUP($E89,CONFIG!$A$11:$C$18,3,0)),"")</f>
        <v/>
      </c>
      <c r="G89" s="153">
        <f>IFERROR(VLOOKUP($B89,$D$5:$E$9,2,0),"")</f>
        <v/>
      </c>
      <c r="H89" s="234">
        <f>$G89*$B$8/$B$5</f>
        <v/>
      </c>
      <c r="I89" s="234">
        <f>$H89/12</f>
        <v/>
      </c>
      <c r="J89" s="234">
        <f>$F89*$B$6</f>
        <v/>
      </c>
      <c r="K89" s="234">
        <f>$J89-$I89</f>
        <v/>
      </c>
      <c r="L89" s="235">
        <f>IF($J89=0,0,$K89/$J89)</f>
        <v/>
      </c>
    </row>
    <row r="90">
      <c r="A90" s="149">
        <f>IFERROR(INDEX(Resources!$A:$A,ROW()-5),"")</f>
        <v/>
      </c>
      <c r="B90" s="150">
        <f>IFERROR(Resources!B85,"")</f>
        <v/>
      </c>
      <c r="C90" s="151">
        <f>IFERROR(Resources!D85,"")</f>
        <v/>
      </c>
      <c r="D90" s="150">
        <f>IFERROR(Resources!K85,"")</f>
        <v/>
      </c>
      <c r="E90" s="151">
        <f>IFERROR(VLOOKUP($C90,$N$5:$O$19,2,0),"Blended Rate")</f>
        <v/>
      </c>
      <c r="F90" s="234">
        <f>IFERROR(IF($D90="Onsite",VLOOKUP($E90,CONFIG!$A$11:$C$18,2,0),VLOOKUP($E90,CONFIG!$A$11:$C$18,3,0)),"")</f>
        <v/>
      </c>
      <c r="G90" s="153">
        <f>IFERROR(VLOOKUP($B90,$D$5:$E$9,2,0),"")</f>
        <v/>
      </c>
      <c r="H90" s="234">
        <f>$G90*$B$8/$B$5</f>
        <v/>
      </c>
      <c r="I90" s="234">
        <f>$H90/12</f>
        <v/>
      </c>
      <c r="J90" s="234">
        <f>$F90*$B$6</f>
        <v/>
      </c>
      <c r="K90" s="234">
        <f>$J90-$I90</f>
        <v/>
      </c>
      <c r="L90" s="235">
        <f>IF($J90=0,0,$K90/$J90)</f>
        <v/>
      </c>
    </row>
    <row r="91">
      <c r="A91" s="149">
        <f>IFERROR(INDEX(Resources!$A:$A,ROW()-5),"")</f>
        <v/>
      </c>
      <c r="B91" s="150">
        <f>IFERROR(Resources!B86,"")</f>
        <v/>
      </c>
      <c r="C91" s="151">
        <f>IFERROR(Resources!D86,"")</f>
        <v/>
      </c>
      <c r="D91" s="150">
        <f>IFERROR(Resources!K86,"")</f>
        <v/>
      </c>
      <c r="E91" s="151">
        <f>IFERROR(VLOOKUP($C91,$N$5:$O$19,2,0),"Blended Rate")</f>
        <v/>
      </c>
      <c r="F91" s="234">
        <f>IFERROR(IF($D91="Onsite",VLOOKUP($E91,CONFIG!$A$11:$C$18,2,0),VLOOKUP($E91,CONFIG!$A$11:$C$18,3,0)),"")</f>
        <v/>
      </c>
      <c r="G91" s="153">
        <f>IFERROR(VLOOKUP($B91,$D$5:$E$9,2,0),"")</f>
        <v/>
      </c>
      <c r="H91" s="234">
        <f>$G91*$B$8/$B$5</f>
        <v/>
      </c>
      <c r="I91" s="234">
        <f>$H91/12</f>
        <v/>
      </c>
      <c r="J91" s="234">
        <f>$F91*$B$6</f>
        <v/>
      </c>
      <c r="K91" s="234">
        <f>$J91-$I91</f>
        <v/>
      </c>
      <c r="L91" s="235">
        <f>IF($J91=0,0,$K91/$J91)</f>
        <v/>
      </c>
    </row>
    <row r="92">
      <c r="A92" s="149">
        <f>IFERROR(INDEX(Resources!$A:$A,ROW()-5),"")</f>
        <v/>
      </c>
      <c r="B92" s="150">
        <f>IFERROR(Resources!B87,"")</f>
        <v/>
      </c>
      <c r="C92" s="151">
        <f>IFERROR(Resources!D87,"")</f>
        <v/>
      </c>
      <c r="D92" s="150">
        <f>IFERROR(Resources!K87,"")</f>
        <v/>
      </c>
      <c r="E92" s="151">
        <f>IFERROR(VLOOKUP($C92,$N$5:$O$19,2,0),"Blended Rate")</f>
        <v/>
      </c>
      <c r="F92" s="234">
        <f>IFERROR(IF($D92="Onsite",VLOOKUP($E92,CONFIG!$A$11:$C$18,2,0),VLOOKUP($E92,CONFIG!$A$11:$C$18,3,0)),"")</f>
        <v/>
      </c>
      <c r="G92" s="153">
        <f>IFERROR(VLOOKUP($B92,$D$5:$E$9,2,0),"")</f>
        <v/>
      </c>
      <c r="H92" s="234">
        <f>$G92*$B$8/$B$5</f>
        <v/>
      </c>
      <c r="I92" s="234">
        <f>$H92/12</f>
        <v/>
      </c>
      <c r="J92" s="234">
        <f>$F92*$B$6</f>
        <v/>
      </c>
      <c r="K92" s="234">
        <f>$J92-$I92</f>
        <v/>
      </c>
      <c r="L92" s="235">
        <f>IF($J92=0,0,$K92/$J92)</f>
        <v/>
      </c>
    </row>
    <row r="93">
      <c r="A93" s="149">
        <f>IFERROR(INDEX(Resources!$A:$A,ROW()-5),"")</f>
        <v/>
      </c>
      <c r="B93" s="150">
        <f>IFERROR(Resources!B88,"")</f>
        <v/>
      </c>
      <c r="C93" s="151">
        <f>IFERROR(Resources!D88,"")</f>
        <v/>
      </c>
      <c r="D93" s="150">
        <f>IFERROR(Resources!K88,"")</f>
        <v/>
      </c>
      <c r="E93" s="151">
        <f>IFERROR(VLOOKUP($C93,$N$5:$O$19,2,0),"Blended Rate")</f>
        <v/>
      </c>
      <c r="F93" s="234">
        <f>IFERROR(IF($D93="Onsite",VLOOKUP($E93,CONFIG!$A$11:$C$18,2,0),VLOOKUP($E93,CONFIG!$A$11:$C$18,3,0)),"")</f>
        <v/>
      </c>
      <c r="G93" s="153">
        <f>IFERROR(VLOOKUP($B93,$D$5:$E$9,2,0),"")</f>
        <v/>
      </c>
      <c r="H93" s="234">
        <f>$G93*$B$8/$B$5</f>
        <v/>
      </c>
      <c r="I93" s="234">
        <f>$H93/12</f>
        <v/>
      </c>
      <c r="J93" s="234">
        <f>$F93*$B$6</f>
        <v/>
      </c>
      <c r="K93" s="234">
        <f>$J93-$I93</f>
        <v/>
      </c>
      <c r="L93" s="235">
        <f>IF($J93=0,0,$K93/$J93)</f>
        <v/>
      </c>
    </row>
    <row r="94">
      <c r="A94" s="149">
        <f>IFERROR(INDEX(Resources!$A:$A,ROW()-5),"")</f>
        <v/>
      </c>
      <c r="B94" s="150">
        <f>IFERROR(Resources!B89,"")</f>
        <v/>
      </c>
      <c r="C94" s="151">
        <f>IFERROR(Resources!D89,"")</f>
        <v/>
      </c>
      <c r="D94" s="150">
        <f>IFERROR(Resources!K89,"")</f>
        <v/>
      </c>
      <c r="E94" s="151">
        <f>IFERROR(VLOOKUP($C94,$N$5:$O$19,2,0),"Blended Rate")</f>
        <v/>
      </c>
      <c r="F94" s="234">
        <f>IFERROR(IF($D94="Onsite",VLOOKUP($E94,CONFIG!$A$11:$C$18,2,0),VLOOKUP($E94,CONFIG!$A$11:$C$18,3,0)),"")</f>
        <v/>
      </c>
      <c r="G94" s="153">
        <f>IFERROR(VLOOKUP($B94,$D$5:$E$9,2,0),"")</f>
        <v/>
      </c>
      <c r="H94" s="234">
        <f>$G94*$B$8/$B$5</f>
        <v/>
      </c>
      <c r="I94" s="234">
        <f>$H94/12</f>
        <v/>
      </c>
      <c r="J94" s="234">
        <f>$F94*$B$6</f>
        <v/>
      </c>
      <c r="K94" s="234">
        <f>$J94-$I94</f>
        <v/>
      </c>
      <c r="L94" s="235">
        <f>IF($J94=0,0,$K94/$J94)</f>
        <v/>
      </c>
    </row>
    <row r="95">
      <c r="A95" s="149">
        <f>IFERROR(INDEX(Resources!$A:$A,ROW()-5),"")</f>
        <v/>
      </c>
      <c r="B95" s="150">
        <f>IFERROR(Resources!B90,"")</f>
        <v/>
      </c>
      <c r="C95" s="151">
        <f>IFERROR(Resources!D90,"")</f>
        <v/>
      </c>
      <c r="D95" s="150">
        <f>IFERROR(Resources!K90,"")</f>
        <v/>
      </c>
      <c r="E95" s="151">
        <f>IFERROR(VLOOKUP($C95,$N$5:$O$19,2,0),"Blended Rate")</f>
        <v/>
      </c>
      <c r="F95" s="234">
        <f>IFERROR(IF($D95="Onsite",VLOOKUP($E95,CONFIG!$A$11:$C$18,2,0),VLOOKUP($E95,CONFIG!$A$11:$C$18,3,0)),"")</f>
        <v/>
      </c>
      <c r="G95" s="153">
        <f>IFERROR(VLOOKUP($B95,$D$5:$E$9,2,0),"")</f>
        <v/>
      </c>
      <c r="H95" s="234">
        <f>$G95*$B$8/$B$5</f>
        <v/>
      </c>
      <c r="I95" s="234">
        <f>$H95/12</f>
        <v/>
      </c>
      <c r="J95" s="234">
        <f>$F95*$B$6</f>
        <v/>
      </c>
      <c r="K95" s="234">
        <f>$J95-$I95</f>
        <v/>
      </c>
      <c r="L95" s="235">
        <f>IF($J95=0,0,$K95/$J95)</f>
        <v/>
      </c>
    </row>
    <row r="96">
      <c r="A96" s="149">
        <f>IFERROR(INDEX(Resources!$A:$A,ROW()-5),"")</f>
        <v/>
      </c>
      <c r="B96" s="150">
        <f>IFERROR(Resources!B91,"")</f>
        <v/>
      </c>
      <c r="C96" s="151">
        <f>IFERROR(Resources!D91,"")</f>
        <v/>
      </c>
      <c r="D96" s="150">
        <f>IFERROR(Resources!K91,"")</f>
        <v/>
      </c>
      <c r="E96" s="151">
        <f>IFERROR(VLOOKUP($C96,$N$5:$O$19,2,0),"Blended Rate")</f>
        <v/>
      </c>
      <c r="F96" s="234">
        <f>IFERROR(IF($D96="Onsite",VLOOKUP($E96,CONFIG!$A$11:$C$18,2,0),VLOOKUP($E96,CONFIG!$A$11:$C$18,3,0)),"")</f>
        <v/>
      </c>
      <c r="G96" s="153">
        <f>IFERROR(VLOOKUP($B96,$D$5:$E$9,2,0),"")</f>
        <v/>
      </c>
      <c r="H96" s="234">
        <f>$G96*$B$8/$B$5</f>
        <v/>
      </c>
      <c r="I96" s="234">
        <f>$H96/12</f>
        <v/>
      </c>
      <c r="J96" s="234">
        <f>$F96*$B$6</f>
        <v/>
      </c>
      <c r="K96" s="234">
        <f>$J96-$I96</f>
        <v/>
      </c>
      <c r="L96" s="235">
        <f>IF($J96=0,0,$K96/$J96)</f>
        <v/>
      </c>
    </row>
    <row r="97">
      <c r="A97" s="149">
        <f>IFERROR(INDEX(Resources!$A:$A,ROW()-5),"")</f>
        <v/>
      </c>
      <c r="B97" s="150">
        <f>IFERROR(Resources!B92,"")</f>
        <v/>
      </c>
      <c r="C97" s="151">
        <f>IFERROR(Resources!D92,"")</f>
        <v/>
      </c>
      <c r="D97" s="150">
        <f>IFERROR(Resources!K92,"")</f>
        <v/>
      </c>
      <c r="E97" s="151">
        <f>IFERROR(VLOOKUP($C97,$N$5:$O$19,2,0),"Blended Rate")</f>
        <v/>
      </c>
      <c r="F97" s="234">
        <f>IFERROR(IF($D97="Onsite",VLOOKUP($E97,CONFIG!$A$11:$C$18,2,0),VLOOKUP($E97,CONFIG!$A$11:$C$18,3,0)),"")</f>
        <v/>
      </c>
      <c r="G97" s="153">
        <f>IFERROR(VLOOKUP($B97,$D$5:$E$9,2,0),"")</f>
        <v/>
      </c>
      <c r="H97" s="234">
        <f>$G97*$B$8/$B$5</f>
        <v/>
      </c>
      <c r="I97" s="234">
        <f>$H97/12</f>
        <v/>
      </c>
      <c r="J97" s="234">
        <f>$F97*$B$6</f>
        <v/>
      </c>
      <c r="K97" s="234">
        <f>$J97-$I97</f>
        <v/>
      </c>
      <c r="L97" s="235">
        <f>IF($J97=0,0,$K97/$J97)</f>
        <v/>
      </c>
    </row>
    <row r="98">
      <c r="A98" s="149">
        <f>IFERROR(INDEX(Resources!$A:$A,ROW()-5),"")</f>
        <v/>
      </c>
      <c r="B98" s="150">
        <f>IFERROR(Resources!B93,"")</f>
        <v/>
      </c>
      <c r="C98" s="151">
        <f>IFERROR(Resources!D93,"")</f>
        <v/>
      </c>
      <c r="D98" s="150">
        <f>IFERROR(Resources!K93,"")</f>
        <v/>
      </c>
      <c r="E98" s="151">
        <f>IFERROR(VLOOKUP($C98,$N$5:$O$19,2,0),"Blended Rate")</f>
        <v/>
      </c>
      <c r="F98" s="234">
        <f>IFERROR(IF($D98="Onsite",VLOOKUP($E98,CONFIG!$A$11:$C$18,2,0),VLOOKUP($E98,CONFIG!$A$11:$C$18,3,0)),"")</f>
        <v/>
      </c>
      <c r="G98" s="153">
        <f>IFERROR(VLOOKUP($B98,$D$5:$E$9,2,0),"")</f>
        <v/>
      </c>
      <c r="H98" s="234">
        <f>$G98*$B$8/$B$5</f>
        <v/>
      </c>
      <c r="I98" s="234">
        <f>$H98/12</f>
        <v/>
      </c>
      <c r="J98" s="234">
        <f>$F98*$B$6</f>
        <v/>
      </c>
      <c r="K98" s="234">
        <f>$J98-$I98</f>
        <v/>
      </c>
      <c r="L98" s="235">
        <f>IF($J98=0,0,$K98/$J98)</f>
        <v/>
      </c>
    </row>
    <row r="99">
      <c r="A99" s="149">
        <f>IFERROR(INDEX(Resources!$A:$A,ROW()-5),"")</f>
        <v/>
      </c>
      <c r="B99" s="150">
        <f>IFERROR(Resources!B94,"")</f>
        <v/>
      </c>
      <c r="C99" s="151">
        <f>IFERROR(Resources!D94,"")</f>
        <v/>
      </c>
      <c r="D99" s="150">
        <f>IFERROR(Resources!K94,"")</f>
        <v/>
      </c>
      <c r="E99" s="151">
        <f>IFERROR(VLOOKUP($C99,$N$5:$O$19,2,0),"Blended Rate")</f>
        <v/>
      </c>
      <c r="F99" s="234">
        <f>IFERROR(IF($D99="Onsite",VLOOKUP($E99,CONFIG!$A$11:$C$18,2,0),VLOOKUP($E99,CONFIG!$A$11:$C$18,3,0)),"")</f>
        <v/>
      </c>
      <c r="G99" s="153">
        <f>IFERROR(VLOOKUP($B99,$D$5:$E$9,2,0),"")</f>
        <v/>
      </c>
      <c r="H99" s="234">
        <f>$G99*$B$8/$B$5</f>
        <v/>
      </c>
      <c r="I99" s="234">
        <f>$H99/12</f>
        <v/>
      </c>
      <c r="J99" s="234">
        <f>$F99*$B$6</f>
        <v/>
      </c>
      <c r="K99" s="234">
        <f>$J99-$I99</f>
        <v/>
      </c>
      <c r="L99" s="235">
        <f>IF($J99=0,0,$K99/$J99)</f>
        <v/>
      </c>
    </row>
    <row r="100">
      <c r="A100" s="149">
        <f>IFERROR(INDEX(Resources!$A:$A,ROW()-5),"")</f>
        <v/>
      </c>
      <c r="B100" s="150">
        <f>IFERROR(Resources!B95,"")</f>
        <v/>
      </c>
      <c r="C100" s="151">
        <f>IFERROR(Resources!D95,"")</f>
        <v/>
      </c>
      <c r="D100" s="150">
        <f>IFERROR(Resources!K95,"")</f>
        <v/>
      </c>
      <c r="E100" s="151">
        <f>IFERROR(VLOOKUP($C100,$N$5:$O$19,2,0),"Blended Rate")</f>
        <v/>
      </c>
      <c r="F100" s="234">
        <f>IFERROR(IF($D100="Onsite",VLOOKUP($E100,CONFIG!$A$11:$C$18,2,0),VLOOKUP($E100,CONFIG!$A$11:$C$18,3,0)),"")</f>
        <v/>
      </c>
      <c r="G100" s="153">
        <f>IFERROR(VLOOKUP($B100,$D$5:$E$9,2,0),"")</f>
        <v/>
      </c>
      <c r="H100" s="234">
        <f>$G100*$B$8/$B$5</f>
        <v/>
      </c>
      <c r="I100" s="234">
        <f>$H100/12</f>
        <v/>
      </c>
      <c r="J100" s="234">
        <f>$F100*$B$6</f>
        <v/>
      </c>
      <c r="K100" s="234">
        <f>$J100-$I100</f>
        <v/>
      </c>
      <c r="L100" s="235">
        <f>IF($J100=0,0,$K100/$J100)</f>
        <v/>
      </c>
    </row>
    <row r="101">
      <c r="A101" s="149">
        <f>IFERROR(INDEX(Resources!$A:$A,ROW()-5),"")</f>
        <v/>
      </c>
      <c r="B101" s="150">
        <f>IFERROR(Resources!B96,"")</f>
        <v/>
      </c>
      <c r="C101" s="151">
        <f>IFERROR(Resources!D96,"")</f>
        <v/>
      </c>
      <c r="D101" s="150">
        <f>IFERROR(Resources!K96,"")</f>
        <v/>
      </c>
      <c r="E101" s="151">
        <f>IFERROR(VLOOKUP($C101,$N$5:$O$19,2,0),"Blended Rate")</f>
        <v/>
      </c>
      <c r="F101" s="234">
        <f>IFERROR(IF($D101="Onsite",VLOOKUP($E101,CONFIG!$A$11:$C$18,2,0),VLOOKUP($E101,CONFIG!$A$11:$C$18,3,0)),"")</f>
        <v/>
      </c>
      <c r="G101" s="153">
        <f>IFERROR(VLOOKUP($B101,$D$5:$E$9,2,0),"")</f>
        <v/>
      </c>
      <c r="H101" s="234">
        <f>$G101*$B$8/$B$5</f>
        <v/>
      </c>
      <c r="I101" s="234">
        <f>$H101/12</f>
        <v/>
      </c>
      <c r="J101" s="234">
        <f>$F101*$B$6</f>
        <v/>
      </c>
      <c r="K101" s="234">
        <f>$J101-$I101</f>
        <v/>
      </c>
      <c r="L101" s="235">
        <f>IF($J101=0,0,$K101/$J101)</f>
        <v/>
      </c>
    </row>
    <row r="102">
      <c r="A102" s="149">
        <f>IFERROR(INDEX(Resources!$A:$A,ROW()-5),"")</f>
        <v/>
      </c>
      <c r="B102" s="150">
        <f>IFERROR(Resources!B97,"")</f>
        <v/>
      </c>
      <c r="C102" s="151">
        <f>IFERROR(Resources!D97,"")</f>
        <v/>
      </c>
      <c r="D102" s="150">
        <f>IFERROR(Resources!K97,"")</f>
        <v/>
      </c>
      <c r="E102" s="151">
        <f>IFERROR(VLOOKUP($C102,$N$5:$O$19,2,0),"Blended Rate")</f>
        <v/>
      </c>
      <c r="F102" s="234">
        <f>IFERROR(IF($D102="Onsite",VLOOKUP($E102,CONFIG!$A$11:$C$18,2,0),VLOOKUP($E102,CONFIG!$A$11:$C$18,3,0)),"")</f>
        <v/>
      </c>
      <c r="G102" s="153">
        <f>IFERROR(VLOOKUP($B102,$D$5:$E$9,2,0),"")</f>
        <v/>
      </c>
      <c r="H102" s="234">
        <f>$G102*$B$8/$B$5</f>
        <v/>
      </c>
      <c r="I102" s="234">
        <f>$H102/12</f>
        <v/>
      </c>
      <c r="J102" s="234">
        <f>$F102*$B$6</f>
        <v/>
      </c>
      <c r="K102" s="234">
        <f>$J102-$I102</f>
        <v/>
      </c>
      <c r="L102" s="235">
        <f>IF($J102=0,0,$K102/$J102)</f>
        <v/>
      </c>
    </row>
    <row r="103">
      <c r="A103" s="149">
        <f>IFERROR(INDEX(Resources!$A:$A,ROW()-5),"")</f>
        <v/>
      </c>
      <c r="B103" s="150">
        <f>IFERROR(Resources!B98,"")</f>
        <v/>
      </c>
      <c r="C103" s="151">
        <f>IFERROR(Resources!D98,"")</f>
        <v/>
      </c>
      <c r="D103" s="150">
        <f>IFERROR(Resources!K98,"")</f>
        <v/>
      </c>
      <c r="E103" s="151">
        <f>IFERROR(VLOOKUP($C103,$N$5:$O$19,2,0),"Blended Rate")</f>
        <v/>
      </c>
      <c r="F103" s="234">
        <f>IFERROR(IF($D103="Onsite",VLOOKUP($E103,CONFIG!$A$11:$C$18,2,0),VLOOKUP($E103,CONFIG!$A$11:$C$18,3,0)),"")</f>
        <v/>
      </c>
      <c r="G103" s="153">
        <f>IFERROR(VLOOKUP($B103,$D$5:$E$9,2,0),"")</f>
        <v/>
      </c>
      <c r="H103" s="234">
        <f>$G103*$B$8/$B$5</f>
        <v/>
      </c>
      <c r="I103" s="234">
        <f>$H103/12</f>
        <v/>
      </c>
      <c r="J103" s="234">
        <f>$F103*$B$6</f>
        <v/>
      </c>
      <c r="K103" s="234">
        <f>$J103-$I103</f>
        <v/>
      </c>
      <c r="L103" s="235">
        <f>IF($J103=0,0,$K103/$J103)</f>
        <v/>
      </c>
    </row>
    <row r="104">
      <c r="A104" s="149">
        <f>IFERROR(INDEX(Resources!$A:$A,ROW()-5),"")</f>
        <v/>
      </c>
      <c r="B104" s="150">
        <f>IFERROR(Resources!B99,"")</f>
        <v/>
      </c>
      <c r="C104" s="151">
        <f>IFERROR(Resources!D99,"")</f>
        <v/>
      </c>
      <c r="D104" s="150">
        <f>IFERROR(Resources!K99,"")</f>
        <v/>
      </c>
      <c r="E104" s="151">
        <f>IFERROR(VLOOKUP($C104,$N$5:$O$19,2,0),"Blended Rate")</f>
        <v/>
      </c>
      <c r="F104" s="234">
        <f>IFERROR(IF($D104="Onsite",VLOOKUP($E104,CONFIG!$A$11:$C$18,2,0),VLOOKUP($E104,CONFIG!$A$11:$C$18,3,0)),"")</f>
        <v/>
      </c>
      <c r="G104" s="153">
        <f>IFERROR(VLOOKUP($B104,$D$5:$E$9,2,0),"")</f>
        <v/>
      </c>
      <c r="H104" s="234">
        <f>$G104*$B$8/$B$5</f>
        <v/>
      </c>
      <c r="I104" s="234">
        <f>$H104/12</f>
        <v/>
      </c>
      <c r="J104" s="234">
        <f>$F104*$B$6</f>
        <v/>
      </c>
      <c r="K104" s="234">
        <f>$J104-$I104</f>
        <v/>
      </c>
      <c r="L104" s="235">
        <f>IF($J104=0,0,$K104/$J104)</f>
        <v/>
      </c>
    </row>
    <row r="105">
      <c r="A105" s="149">
        <f>IFERROR(INDEX(Resources!$A:$A,ROW()-5),"")</f>
        <v/>
      </c>
      <c r="B105" s="150">
        <f>IFERROR(Resources!B100,"")</f>
        <v/>
      </c>
      <c r="C105" s="151">
        <f>IFERROR(Resources!D100,"")</f>
        <v/>
      </c>
      <c r="D105" s="150">
        <f>IFERROR(Resources!K100,"")</f>
        <v/>
      </c>
      <c r="E105" s="151">
        <f>IFERROR(VLOOKUP($C105,$N$5:$O$19,2,0),"Blended Rate")</f>
        <v/>
      </c>
      <c r="F105" s="234">
        <f>IFERROR(IF($D105="Onsite",VLOOKUP($E105,CONFIG!$A$11:$C$18,2,0),VLOOKUP($E105,CONFIG!$A$11:$C$18,3,0)),"")</f>
        <v/>
      </c>
      <c r="G105" s="153">
        <f>IFERROR(VLOOKUP($B105,$D$5:$E$9,2,0),"")</f>
        <v/>
      </c>
      <c r="H105" s="234">
        <f>$G105*$B$8/$B$5</f>
        <v/>
      </c>
      <c r="I105" s="234">
        <f>$H105/12</f>
        <v/>
      </c>
      <c r="J105" s="234">
        <f>$F105*$B$6</f>
        <v/>
      </c>
      <c r="K105" s="234">
        <f>$J105-$I105</f>
        <v/>
      </c>
      <c r="L105" s="235">
        <f>IF($J105=0,0,$K105/$J105)</f>
        <v/>
      </c>
    </row>
    <row r="106">
      <c r="A106" s="149">
        <f>IFERROR(INDEX(Resources!$A:$A,ROW()-5),"")</f>
        <v/>
      </c>
      <c r="B106" s="150">
        <f>IFERROR(Resources!B101,"")</f>
        <v/>
      </c>
      <c r="C106" s="151">
        <f>IFERROR(Resources!D101,"")</f>
        <v/>
      </c>
      <c r="D106" s="150">
        <f>IFERROR(Resources!K101,"")</f>
        <v/>
      </c>
      <c r="E106" s="151">
        <f>IFERROR(VLOOKUP($C106,$N$5:$O$19,2,0),"Blended Rate")</f>
        <v/>
      </c>
      <c r="F106" s="234">
        <f>IFERROR(IF($D106="Onsite",VLOOKUP($E106,CONFIG!$A$11:$C$18,2,0),VLOOKUP($E106,CONFIG!$A$11:$C$18,3,0)),"")</f>
        <v/>
      </c>
      <c r="G106" s="153">
        <f>IFERROR(VLOOKUP($B106,$D$5:$E$9,2,0),"")</f>
        <v/>
      </c>
      <c r="H106" s="234">
        <f>$G106*$B$8/$B$5</f>
        <v/>
      </c>
      <c r="I106" s="234">
        <f>$H106/12</f>
        <v/>
      </c>
      <c r="J106" s="234">
        <f>$F106*$B$6</f>
        <v/>
      </c>
      <c r="K106" s="234">
        <f>$J106-$I106</f>
        <v/>
      </c>
      <c r="L106" s="235">
        <f>IF($J106=0,0,$K106/$J106)</f>
        <v/>
      </c>
    </row>
    <row r="107">
      <c r="A107" s="149">
        <f>IFERROR(INDEX(Resources!$A:$A,ROW()-5),"")</f>
        <v/>
      </c>
      <c r="B107" s="150">
        <f>IFERROR(Resources!B102,"")</f>
        <v/>
      </c>
      <c r="C107" s="151">
        <f>IFERROR(Resources!D102,"")</f>
        <v/>
      </c>
      <c r="D107" s="150">
        <f>IFERROR(Resources!K102,"")</f>
        <v/>
      </c>
      <c r="E107" s="151">
        <f>IFERROR(VLOOKUP($C107,$N$5:$O$19,2,0),"Blended Rate")</f>
        <v/>
      </c>
      <c r="F107" s="234">
        <f>IFERROR(IF($D107="Onsite",VLOOKUP($E107,CONFIG!$A$11:$C$18,2,0),VLOOKUP($E107,CONFIG!$A$11:$C$18,3,0)),"")</f>
        <v/>
      </c>
      <c r="G107" s="153">
        <f>IFERROR(VLOOKUP($B107,$D$5:$E$9,2,0),"")</f>
        <v/>
      </c>
      <c r="H107" s="234">
        <f>$G107*$B$8/$B$5</f>
        <v/>
      </c>
      <c r="I107" s="234">
        <f>$H107/12</f>
        <v/>
      </c>
      <c r="J107" s="234">
        <f>$F107*$B$6</f>
        <v/>
      </c>
      <c r="K107" s="234">
        <f>$J107-$I107</f>
        <v/>
      </c>
      <c r="L107" s="235">
        <f>IF($J107=0,0,$K107/$J107)</f>
        <v/>
      </c>
    </row>
    <row r="108">
      <c r="A108" s="149">
        <f>IFERROR(INDEX(Resources!$A:$A,ROW()-5),"")</f>
        <v/>
      </c>
      <c r="B108" s="150">
        <f>IFERROR(Resources!B103,"")</f>
        <v/>
      </c>
      <c r="C108" s="151">
        <f>IFERROR(Resources!D103,"")</f>
        <v/>
      </c>
      <c r="D108" s="150">
        <f>IFERROR(Resources!K103,"")</f>
        <v/>
      </c>
      <c r="E108" s="151">
        <f>IFERROR(VLOOKUP($C108,$N$5:$O$19,2,0),"Blended Rate")</f>
        <v/>
      </c>
      <c r="F108" s="234">
        <f>IFERROR(IF($D108="Onsite",VLOOKUP($E108,CONFIG!$A$11:$C$18,2,0),VLOOKUP($E108,CONFIG!$A$11:$C$18,3,0)),"")</f>
        <v/>
      </c>
      <c r="G108" s="153">
        <f>IFERROR(VLOOKUP($B108,$D$5:$E$9,2,0),"")</f>
        <v/>
      </c>
      <c r="H108" s="234">
        <f>$G108*$B$8/$B$5</f>
        <v/>
      </c>
      <c r="I108" s="234">
        <f>$H108/12</f>
        <v/>
      </c>
      <c r="J108" s="234">
        <f>$F108*$B$6</f>
        <v/>
      </c>
      <c r="K108" s="234">
        <f>$J108-$I108</f>
        <v/>
      </c>
      <c r="L108" s="235">
        <f>IF($J108=0,0,$K108/$J108)</f>
        <v/>
      </c>
    </row>
    <row r="109">
      <c r="A109" s="149">
        <f>IFERROR(INDEX(Resources!$A:$A,ROW()-5),"")</f>
        <v/>
      </c>
      <c r="B109" s="150">
        <f>IFERROR(Resources!B104,"")</f>
        <v/>
      </c>
      <c r="C109" s="151">
        <f>IFERROR(Resources!D104,"")</f>
        <v/>
      </c>
      <c r="D109" s="150">
        <f>IFERROR(Resources!K104,"")</f>
        <v/>
      </c>
      <c r="E109" s="151">
        <f>IFERROR(VLOOKUP($C109,$N$5:$O$19,2,0),"Blended Rate")</f>
        <v/>
      </c>
      <c r="F109" s="234">
        <f>IFERROR(IF($D109="Onsite",VLOOKUP($E109,CONFIG!$A$11:$C$18,2,0),VLOOKUP($E109,CONFIG!$A$11:$C$18,3,0)),"")</f>
        <v/>
      </c>
      <c r="G109" s="153">
        <f>IFERROR(VLOOKUP($B109,$D$5:$E$9,2,0),"")</f>
        <v/>
      </c>
      <c r="H109" s="234">
        <f>$G109*$B$8/$B$5</f>
        <v/>
      </c>
      <c r="I109" s="234">
        <f>$H109/12</f>
        <v/>
      </c>
      <c r="J109" s="234">
        <f>$F109*$B$6</f>
        <v/>
      </c>
      <c r="K109" s="234">
        <f>$J109-$I109</f>
        <v/>
      </c>
      <c r="L109" s="235">
        <f>IF($J109=0,0,$K109/$J109)</f>
        <v/>
      </c>
    </row>
    <row r="110">
      <c r="A110" s="149">
        <f>IFERROR(INDEX(Resources!$A:$A,ROW()-5),"")</f>
        <v/>
      </c>
      <c r="B110" s="150">
        <f>IFERROR(Resources!B105,"")</f>
        <v/>
      </c>
      <c r="C110" s="151">
        <f>IFERROR(Resources!D105,"")</f>
        <v/>
      </c>
      <c r="D110" s="150">
        <f>IFERROR(Resources!K105,"")</f>
        <v/>
      </c>
      <c r="E110" s="151">
        <f>IFERROR(VLOOKUP($C110,$N$5:$O$19,2,0),"Blended Rate")</f>
        <v/>
      </c>
      <c r="F110" s="234">
        <f>IFERROR(IF($D110="Onsite",VLOOKUP($E110,CONFIG!$A$11:$C$18,2,0),VLOOKUP($E110,CONFIG!$A$11:$C$18,3,0)),"")</f>
        <v/>
      </c>
      <c r="G110" s="153">
        <f>IFERROR(VLOOKUP($B110,$D$5:$E$9,2,0),"")</f>
        <v/>
      </c>
      <c r="H110" s="234">
        <f>$G110*$B$8/$B$5</f>
        <v/>
      </c>
      <c r="I110" s="234">
        <f>$H110/12</f>
        <v/>
      </c>
      <c r="J110" s="234">
        <f>$F110*$B$6</f>
        <v/>
      </c>
      <c r="K110" s="234">
        <f>$J110-$I110</f>
        <v/>
      </c>
      <c r="L110" s="235">
        <f>IF($J110=0,0,$K110/$J110)</f>
        <v/>
      </c>
    </row>
    <row r="111">
      <c r="A111" s="149">
        <f>IFERROR(INDEX(Resources!$A:$A,ROW()-5),"")</f>
        <v/>
      </c>
      <c r="B111" s="150">
        <f>IFERROR(Resources!B106,"")</f>
        <v/>
      </c>
      <c r="C111" s="151">
        <f>IFERROR(Resources!D106,"")</f>
        <v/>
      </c>
      <c r="D111" s="150">
        <f>IFERROR(Resources!K106,"")</f>
        <v/>
      </c>
      <c r="E111" s="151">
        <f>IFERROR(VLOOKUP($C111,$N$5:$O$19,2,0),"Blended Rate")</f>
        <v/>
      </c>
      <c r="F111" s="234">
        <f>IFERROR(IF($D111="Onsite",VLOOKUP($E111,CONFIG!$A$11:$C$18,2,0),VLOOKUP($E111,CONFIG!$A$11:$C$18,3,0)),"")</f>
        <v/>
      </c>
      <c r="G111" s="153">
        <f>IFERROR(VLOOKUP($B111,$D$5:$E$9,2,0),"")</f>
        <v/>
      </c>
      <c r="H111" s="234">
        <f>$G111*$B$8/$B$5</f>
        <v/>
      </c>
      <c r="I111" s="234">
        <f>$H111/12</f>
        <v/>
      </c>
      <c r="J111" s="234">
        <f>$F111*$B$6</f>
        <v/>
      </c>
      <c r="K111" s="234">
        <f>$J111-$I111</f>
        <v/>
      </c>
      <c r="L111" s="235">
        <f>IF($J111=0,0,$K111/$J111)</f>
        <v/>
      </c>
    </row>
    <row r="112">
      <c r="A112" s="149">
        <f>IFERROR(INDEX(Resources!$A:$A,ROW()-5),"")</f>
        <v/>
      </c>
      <c r="B112" s="150">
        <f>IFERROR(Resources!B107,"")</f>
        <v/>
      </c>
      <c r="C112" s="151">
        <f>IFERROR(Resources!D107,"")</f>
        <v/>
      </c>
      <c r="D112" s="150">
        <f>IFERROR(Resources!K107,"")</f>
        <v/>
      </c>
      <c r="E112" s="151">
        <f>IFERROR(VLOOKUP($C112,$N$5:$O$19,2,0),"Blended Rate")</f>
        <v/>
      </c>
      <c r="F112" s="234">
        <f>IFERROR(IF($D112="Onsite",VLOOKUP($E112,CONFIG!$A$11:$C$18,2,0),VLOOKUP($E112,CONFIG!$A$11:$C$18,3,0)),"")</f>
        <v/>
      </c>
      <c r="G112" s="153">
        <f>IFERROR(VLOOKUP($B112,$D$5:$E$9,2,0),"")</f>
        <v/>
      </c>
      <c r="H112" s="234">
        <f>$G112*$B$8/$B$5</f>
        <v/>
      </c>
      <c r="I112" s="234">
        <f>$H112/12</f>
        <v/>
      </c>
      <c r="J112" s="234">
        <f>$F112*$B$6</f>
        <v/>
      </c>
      <c r="K112" s="234">
        <f>$J112-$I112</f>
        <v/>
      </c>
      <c r="L112" s="235">
        <f>IF($J112=0,0,$K112/$J112)</f>
        <v/>
      </c>
    </row>
    <row r="113">
      <c r="A113" s="149">
        <f>IFERROR(INDEX(Resources!$A:$A,ROW()-5),"")</f>
        <v/>
      </c>
      <c r="B113" s="150">
        <f>IFERROR(Resources!B108,"")</f>
        <v/>
      </c>
      <c r="C113" s="151">
        <f>IFERROR(Resources!D108,"")</f>
        <v/>
      </c>
      <c r="D113" s="150">
        <f>IFERROR(Resources!K108,"")</f>
        <v/>
      </c>
      <c r="E113" s="151">
        <f>IFERROR(VLOOKUP($C113,$N$5:$O$19,2,0),"Blended Rate")</f>
        <v/>
      </c>
      <c r="F113" s="234">
        <f>IFERROR(IF($D113="Onsite",VLOOKUP($E113,CONFIG!$A$11:$C$18,2,0),VLOOKUP($E113,CONFIG!$A$11:$C$18,3,0)),"")</f>
        <v/>
      </c>
      <c r="G113" s="153">
        <f>IFERROR(VLOOKUP($B113,$D$5:$E$9,2,0),"")</f>
        <v/>
      </c>
      <c r="H113" s="234">
        <f>$G113*$B$8/$B$5</f>
        <v/>
      </c>
      <c r="I113" s="234">
        <f>$H113/12</f>
        <v/>
      </c>
      <c r="J113" s="234">
        <f>$F113*$B$6</f>
        <v/>
      </c>
      <c r="K113" s="234">
        <f>$J113-$I113</f>
        <v/>
      </c>
      <c r="L113" s="235">
        <f>IF($J113=0,0,$K113/$J113)</f>
        <v/>
      </c>
    </row>
    <row r="114">
      <c r="A114" s="149">
        <f>IFERROR(INDEX(Resources!$A:$A,ROW()-5),"")</f>
        <v/>
      </c>
      <c r="B114" s="150">
        <f>IFERROR(Resources!B109,"")</f>
        <v/>
      </c>
      <c r="C114" s="151">
        <f>IFERROR(Resources!D109,"")</f>
        <v/>
      </c>
      <c r="D114" s="150">
        <f>IFERROR(Resources!K109,"")</f>
        <v/>
      </c>
      <c r="E114" s="151">
        <f>IFERROR(VLOOKUP($C114,$N$5:$O$19,2,0),"Blended Rate")</f>
        <v/>
      </c>
      <c r="F114" s="234">
        <f>IFERROR(IF($D114="Onsite",VLOOKUP($E114,CONFIG!$A$11:$C$18,2,0),VLOOKUP($E114,CONFIG!$A$11:$C$18,3,0)),"")</f>
        <v/>
      </c>
      <c r="G114" s="153">
        <f>IFERROR(VLOOKUP($B114,$D$5:$E$9,2,0),"")</f>
        <v/>
      </c>
      <c r="H114" s="234">
        <f>$G114*$B$8/$B$5</f>
        <v/>
      </c>
      <c r="I114" s="234">
        <f>$H114/12</f>
        <v/>
      </c>
      <c r="J114" s="234">
        <f>$F114*$B$6</f>
        <v/>
      </c>
      <c r="K114" s="234">
        <f>$J114-$I114</f>
        <v/>
      </c>
      <c r="L114" s="235">
        <f>IF($J114=0,0,$K114/$J114)</f>
        <v/>
      </c>
    </row>
    <row r="115">
      <c r="A115" s="149">
        <f>IFERROR(INDEX(Resources!$A:$A,ROW()-5),"")</f>
        <v/>
      </c>
      <c r="B115" s="150">
        <f>IFERROR(Resources!B110,"")</f>
        <v/>
      </c>
      <c r="C115" s="151">
        <f>IFERROR(Resources!D110,"")</f>
        <v/>
      </c>
      <c r="D115" s="150">
        <f>IFERROR(Resources!K110,"")</f>
        <v/>
      </c>
      <c r="E115" s="151">
        <f>IFERROR(VLOOKUP($C115,$N$5:$O$19,2,0),"Blended Rate")</f>
        <v/>
      </c>
      <c r="F115" s="234">
        <f>IFERROR(IF($D115="Onsite",VLOOKUP($E115,CONFIG!$A$11:$C$18,2,0),VLOOKUP($E115,CONFIG!$A$11:$C$18,3,0)),"")</f>
        <v/>
      </c>
      <c r="G115" s="153">
        <f>IFERROR(VLOOKUP($B115,$D$5:$E$9,2,0),"")</f>
        <v/>
      </c>
      <c r="H115" s="234">
        <f>$G115*$B$8/$B$5</f>
        <v/>
      </c>
      <c r="I115" s="234">
        <f>$H115/12</f>
        <v/>
      </c>
      <c r="J115" s="234">
        <f>$F115*$B$6</f>
        <v/>
      </c>
      <c r="K115" s="234">
        <f>$J115-$I115</f>
        <v/>
      </c>
      <c r="L115" s="235">
        <f>IF($J115=0,0,$K115/$J115)</f>
        <v/>
      </c>
    </row>
    <row r="116">
      <c r="A116" s="149">
        <f>IFERROR(INDEX(Resources!$A:$A,ROW()-5),"")</f>
        <v/>
      </c>
      <c r="B116" s="150">
        <f>IFERROR(Resources!B111,"")</f>
        <v/>
      </c>
      <c r="C116" s="151">
        <f>IFERROR(Resources!D111,"")</f>
        <v/>
      </c>
      <c r="D116" s="150">
        <f>IFERROR(Resources!K111,"")</f>
        <v/>
      </c>
      <c r="E116" s="151">
        <f>IFERROR(VLOOKUP($C116,$N$5:$O$19,2,0),"Blended Rate")</f>
        <v/>
      </c>
      <c r="F116" s="234">
        <f>IFERROR(IF($D116="Onsite",VLOOKUP($E116,CONFIG!$A$11:$C$18,2,0),VLOOKUP($E116,CONFIG!$A$11:$C$18,3,0)),"")</f>
        <v/>
      </c>
      <c r="G116" s="153">
        <f>IFERROR(VLOOKUP($B116,$D$5:$E$9,2,0),"")</f>
        <v/>
      </c>
      <c r="H116" s="234">
        <f>$G116*$B$8/$B$5</f>
        <v/>
      </c>
      <c r="I116" s="234">
        <f>$H116/12</f>
        <v/>
      </c>
      <c r="J116" s="234">
        <f>$F116*$B$6</f>
        <v/>
      </c>
      <c r="K116" s="234">
        <f>$J116-$I116</f>
        <v/>
      </c>
      <c r="L116" s="235">
        <f>IF($J116=0,0,$K116/$J116)</f>
        <v/>
      </c>
    </row>
    <row r="117">
      <c r="A117" s="149">
        <f>IFERROR(INDEX(Resources!$A:$A,ROW()-5),"")</f>
        <v/>
      </c>
      <c r="B117" s="150">
        <f>IFERROR(Resources!B112,"")</f>
        <v/>
      </c>
      <c r="C117" s="151">
        <f>IFERROR(Resources!D112,"")</f>
        <v/>
      </c>
      <c r="D117" s="150">
        <f>IFERROR(Resources!K112,"")</f>
        <v/>
      </c>
      <c r="E117" s="151">
        <f>IFERROR(VLOOKUP($C117,$N$5:$O$19,2,0),"Blended Rate")</f>
        <v/>
      </c>
      <c r="F117" s="234">
        <f>IFERROR(IF($D117="Onsite",VLOOKUP($E117,CONFIG!$A$11:$C$18,2,0),VLOOKUP($E117,CONFIG!$A$11:$C$18,3,0)),"")</f>
        <v/>
      </c>
      <c r="G117" s="153">
        <f>IFERROR(VLOOKUP($B117,$D$5:$E$9,2,0),"")</f>
        <v/>
      </c>
      <c r="H117" s="234">
        <f>$G117*$B$8/$B$5</f>
        <v/>
      </c>
      <c r="I117" s="234">
        <f>$H117/12</f>
        <v/>
      </c>
      <c r="J117" s="234">
        <f>$F117*$B$6</f>
        <v/>
      </c>
      <c r="K117" s="234">
        <f>$J117-$I117</f>
        <v/>
      </c>
      <c r="L117" s="235">
        <f>IF($J117=0,0,$K117/$J117)</f>
        <v/>
      </c>
    </row>
    <row r="118">
      <c r="A118" s="149">
        <f>IFERROR(INDEX(Resources!$A:$A,ROW()-5),"")</f>
        <v/>
      </c>
      <c r="B118" s="150">
        <f>IFERROR(Resources!B113,"")</f>
        <v/>
      </c>
      <c r="C118" s="151">
        <f>IFERROR(Resources!D113,"")</f>
        <v/>
      </c>
      <c r="D118" s="150">
        <f>IFERROR(Resources!K113,"")</f>
        <v/>
      </c>
      <c r="E118" s="151">
        <f>IFERROR(VLOOKUP($C118,$N$5:$O$19,2,0),"Blended Rate")</f>
        <v/>
      </c>
      <c r="F118" s="234">
        <f>IFERROR(IF($D118="Onsite",VLOOKUP($E118,CONFIG!$A$11:$C$18,2,0),VLOOKUP($E118,CONFIG!$A$11:$C$18,3,0)),"")</f>
        <v/>
      </c>
      <c r="G118" s="153">
        <f>IFERROR(VLOOKUP($B118,$D$5:$E$9,2,0),"")</f>
        <v/>
      </c>
      <c r="H118" s="234">
        <f>$G118*$B$8/$B$5</f>
        <v/>
      </c>
      <c r="I118" s="234">
        <f>$H118/12</f>
        <v/>
      </c>
      <c r="J118" s="234">
        <f>$F118*$B$6</f>
        <v/>
      </c>
      <c r="K118" s="234">
        <f>$J118-$I118</f>
        <v/>
      </c>
      <c r="L118" s="235">
        <f>IF($J118=0,0,$K118/$J118)</f>
        <v/>
      </c>
    </row>
    <row r="119">
      <c r="A119" s="149">
        <f>IFERROR(INDEX(Resources!$A:$A,ROW()-5),"")</f>
        <v/>
      </c>
      <c r="B119" s="150">
        <f>IFERROR(Resources!B114,"")</f>
        <v/>
      </c>
      <c r="C119" s="151">
        <f>IFERROR(Resources!D114,"")</f>
        <v/>
      </c>
      <c r="D119" s="150">
        <f>IFERROR(Resources!K114,"")</f>
        <v/>
      </c>
      <c r="E119" s="151">
        <f>IFERROR(VLOOKUP($C119,$N$5:$O$19,2,0),"Blended Rate")</f>
        <v/>
      </c>
      <c r="F119" s="234">
        <f>IFERROR(IF($D119="Onsite",VLOOKUP($E119,CONFIG!$A$11:$C$18,2,0),VLOOKUP($E119,CONFIG!$A$11:$C$18,3,0)),"")</f>
        <v/>
      </c>
      <c r="G119" s="153">
        <f>IFERROR(VLOOKUP($B119,$D$5:$E$9,2,0),"")</f>
        <v/>
      </c>
      <c r="H119" s="234">
        <f>$G119*$B$8/$B$5</f>
        <v/>
      </c>
      <c r="I119" s="234">
        <f>$H119/12</f>
        <v/>
      </c>
      <c r="J119" s="234">
        <f>$F119*$B$6</f>
        <v/>
      </c>
      <c r="K119" s="234">
        <f>$J119-$I119</f>
        <v/>
      </c>
      <c r="L119" s="235">
        <f>IF($J119=0,0,$K119/$J119)</f>
        <v/>
      </c>
    </row>
    <row r="120">
      <c r="A120" s="149">
        <f>IFERROR(INDEX(Resources!$A:$A,ROW()-5),"")</f>
        <v/>
      </c>
      <c r="B120" s="150">
        <f>IFERROR(Resources!B115,"")</f>
        <v/>
      </c>
      <c r="C120" s="151">
        <f>IFERROR(Resources!D115,"")</f>
        <v/>
      </c>
      <c r="D120" s="150">
        <f>IFERROR(Resources!K115,"")</f>
        <v/>
      </c>
      <c r="E120" s="151">
        <f>IFERROR(VLOOKUP($C120,$N$5:$O$19,2,0),"Blended Rate")</f>
        <v/>
      </c>
      <c r="F120" s="234">
        <f>IFERROR(IF($D120="Onsite",VLOOKUP($E120,CONFIG!$A$11:$C$18,2,0),VLOOKUP($E120,CONFIG!$A$11:$C$18,3,0)),"")</f>
        <v/>
      </c>
      <c r="G120" s="153">
        <f>IFERROR(VLOOKUP($B120,$D$5:$E$9,2,0),"")</f>
        <v/>
      </c>
      <c r="H120" s="234">
        <f>$G120*$B$8/$B$5</f>
        <v/>
      </c>
      <c r="I120" s="234">
        <f>$H120/12</f>
        <v/>
      </c>
      <c r="J120" s="234">
        <f>$F120*$B$6</f>
        <v/>
      </c>
      <c r="K120" s="234">
        <f>$J120-$I120</f>
        <v/>
      </c>
      <c r="L120" s="235">
        <f>IF($J120=0,0,$K120/$J120)</f>
        <v/>
      </c>
    </row>
    <row r="121">
      <c r="A121" s="149">
        <f>IFERROR(INDEX(Resources!$A:$A,ROW()-5),"")</f>
        <v/>
      </c>
      <c r="B121" s="150">
        <f>IFERROR(Resources!B116,"")</f>
        <v/>
      </c>
      <c r="C121" s="151">
        <f>IFERROR(Resources!D116,"")</f>
        <v/>
      </c>
      <c r="D121" s="150">
        <f>IFERROR(Resources!K116,"")</f>
        <v/>
      </c>
      <c r="E121" s="151">
        <f>IFERROR(VLOOKUP($C121,$N$5:$O$19,2,0),"Blended Rate")</f>
        <v/>
      </c>
      <c r="F121" s="234">
        <f>IFERROR(IF($D121="Onsite",VLOOKUP($E121,CONFIG!$A$11:$C$18,2,0),VLOOKUP($E121,CONFIG!$A$11:$C$18,3,0)),"")</f>
        <v/>
      </c>
      <c r="G121" s="153">
        <f>IFERROR(VLOOKUP($B121,$D$5:$E$9,2,0),"")</f>
        <v/>
      </c>
      <c r="H121" s="234">
        <f>$G121*$B$8/$B$5</f>
        <v/>
      </c>
      <c r="I121" s="234">
        <f>$H121/12</f>
        <v/>
      </c>
      <c r="J121" s="234">
        <f>$F121*$B$6</f>
        <v/>
      </c>
      <c r="K121" s="234">
        <f>$J121-$I121</f>
        <v/>
      </c>
      <c r="L121" s="235">
        <f>IF($J121=0,0,$K121/$J121)</f>
        <v/>
      </c>
    </row>
    <row r="122">
      <c r="A122" s="149">
        <f>IFERROR(INDEX(Resources!$A:$A,ROW()-5),"")</f>
        <v/>
      </c>
      <c r="B122" s="150">
        <f>IFERROR(Resources!B117,"")</f>
        <v/>
      </c>
      <c r="C122" s="151">
        <f>IFERROR(Resources!D117,"")</f>
        <v/>
      </c>
      <c r="D122" s="150">
        <f>IFERROR(Resources!K117,"")</f>
        <v/>
      </c>
      <c r="E122" s="151">
        <f>IFERROR(VLOOKUP($C122,$N$5:$O$19,2,0),"Blended Rate")</f>
        <v/>
      </c>
      <c r="F122" s="234">
        <f>IFERROR(IF($D122="Onsite",VLOOKUP($E122,CONFIG!$A$11:$C$18,2,0),VLOOKUP($E122,CONFIG!$A$11:$C$18,3,0)),"")</f>
        <v/>
      </c>
      <c r="G122" s="153">
        <f>IFERROR(VLOOKUP($B122,$D$5:$E$9,2,0),"")</f>
        <v/>
      </c>
      <c r="H122" s="234">
        <f>$G122*$B$8/$B$5</f>
        <v/>
      </c>
      <c r="I122" s="234">
        <f>$H122/12</f>
        <v/>
      </c>
      <c r="J122" s="234">
        <f>$F122*$B$6</f>
        <v/>
      </c>
      <c r="K122" s="234">
        <f>$J122-$I122</f>
        <v/>
      </c>
      <c r="L122" s="235">
        <f>IF($J122=0,0,$K122/$J122)</f>
        <v/>
      </c>
    </row>
    <row r="123">
      <c r="A123" s="149">
        <f>IFERROR(INDEX(Resources!$A:$A,ROW()-5),"")</f>
        <v/>
      </c>
      <c r="B123" s="150">
        <f>IFERROR(Resources!B118,"")</f>
        <v/>
      </c>
      <c r="C123" s="151">
        <f>IFERROR(Resources!D118,"")</f>
        <v/>
      </c>
      <c r="D123" s="150">
        <f>IFERROR(Resources!K118,"")</f>
        <v/>
      </c>
      <c r="E123" s="151">
        <f>IFERROR(VLOOKUP($C123,$N$5:$O$19,2,0),"Blended Rate")</f>
        <v/>
      </c>
      <c r="F123" s="234">
        <f>IFERROR(IF($D123="Onsite",VLOOKUP($E123,CONFIG!$A$11:$C$18,2,0),VLOOKUP($E123,CONFIG!$A$11:$C$18,3,0)),"")</f>
        <v/>
      </c>
      <c r="G123" s="153">
        <f>IFERROR(VLOOKUP($B123,$D$5:$E$9,2,0),"")</f>
        <v/>
      </c>
      <c r="H123" s="234">
        <f>$G123*$B$8/$B$5</f>
        <v/>
      </c>
      <c r="I123" s="234">
        <f>$H123/12</f>
        <v/>
      </c>
      <c r="J123" s="234">
        <f>$F123*$B$6</f>
        <v/>
      </c>
      <c r="K123" s="234">
        <f>$J123-$I123</f>
        <v/>
      </c>
      <c r="L123" s="235">
        <f>IF($J123=0,0,$K123/$J123)</f>
        <v/>
      </c>
    </row>
    <row r="124">
      <c r="A124" s="149">
        <f>IFERROR(INDEX(Resources!$A:$A,ROW()-5),"")</f>
        <v/>
      </c>
      <c r="B124" s="150">
        <f>IFERROR(Resources!B119,"")</f>
        <v/>
      </c>
      <c r="C124" s="151">
        <f>IFERROR(Resources!D119,"")</f>
        <v/>
      </c>
      <c r="D124" s="150">
        <f>IFERROR(Resources!K119,"")</f>
        <v/>
      </c>
      <c r="E124" s="151">
        <f>IFERROR(VLOOKUP($C124,$N$5:$O$19,2,0),"Blended Rate")</f>
        <v/>
      </c>
      <c r="F124" s="234">
        <f>IFERROR(IF($D124="Onsite",VLOOKUP($E124,CONFIG!$A$11:$C$18,2,0),VLOOKUP($E124,CONFIG!$A$11:$C$18,3,0)),"")</f>
        <v/>
      </c>
      <c r="G124" s="153">
        <f>IFERROR(VLOOKUP($B124,$D$5:$E$9,2,0),"")</f>
        <v/>
      </c>
      <c r="H124" s="234">
        <f>$G124*$B$8/$B$5</f>
        <v/>
      </c>
      <c r="I124" s="234">
        <f>$H124/12</f>
        <v/>
      </c>
      <c r="J124" s="234">
        <f>$F124*$B$6</f>
        <v/>
      </c>
      <c r="K124" s="234">
        <f>$J124-$I124</f>
        <v/>
      </c>
      <c r="L124" s="235">
        <f>IF($J124=0,0,$K124/$J124)</f>
        <v/>
      </c>
    </row>
    <row r="125">
      <c r="A125" s="149">
        <f>IFERROR(INDEX(Resources!$A:$A,ROW()-5),"")</f>
        <v/>
      </c>
      <c r="B125" s="150">
        <f>IFERROR(Resources!B120,"")</f>
        <v/>
      </c>
      <c r="C125" s="151">
        <f>IFERROR(Resources!D120,"")</f>
        <v/>
      </c>
      <c r="D125" s="150">
        <f>IFERROR(Resources!K120,"")</f>
        <v/>
      </c>
      <c r="E125" s="151">
        <f>IFERROR(VLOOKUP($C125,$N$5:$O$19,2,0),"Blended Rate")</f>
        <v/>
      </c>
      <c r="F125" s="234">
        <f>IFERROR(IF($D125="Onsite",VLOOKUP($E125,CONFIG!$A$11:$C$18,2,0),VLOOKUP($E125,CONFIG!$A$11:$C$18,3,0)),"")</f>
        <v/>
      </c>
      <c r="G125" s="153">
        <f>IFERROR(VLOOKUP($B125,$D$5:$E$9,2,0),"")</f>
        <v/>
      </c>
      <c r="H125" s="234">
        <f>$G125*$B$8/$B$5</f>
        <v/>
      </c>
      <c r="I125" s="234">
        <f>$H125/12</f>
        <v/>
      </c>
      <c r="J125" s="234">
        <f>$F125*$B$6</f>
        <v/>
      </c>
      <c r="K125" s="234">
        <f>$J125-$I125</f>
        <v/>
      </c>
      <c r="L125" s="235">
        <f>IF($J125=0,0,$K125/$J125)</f>
        <v/>
      </c>
    </row>
    <row r="126">
      <c r="A126" s="149">
        <f>IFERROR(INDEX(Resources!$A:$A,ROW()-5),"")</f>
        <v/>
      </c>
      <c r="B126" s="150">
        <f>IFERROR(Resources!B121,"")</f>
        <v/>
      </c>
      <c r="C126" s="151">
        <f>IFERROR(Resources!D121,"")</f>
        <v/>
      </c>
      <c r="D126" s="150">
        <f>IFERROR(Resources!K121,"")</f>
        <v/>
      </c>
      <c r="E126" s="151">
        <f>IFERROR(VLOOKUP($C126,$N$5:$O$19,2,0),"Blended Rate")</f>
        <v/>
      </c>
      <c r="F126" s="234">
        <f>IFERROR(IF($D126="Onsite",VLOOKUP($E126,CONFIG!$A$11:$C$18,2,0),VLOOKUP($E126,CONFIG!$A$11:$C$18,3,0)),"")</f>
        <v/>
      </c>
      <c r="G126" s="153">
        <f>IFERROR(VLOOKUP($B126,$D$5:$E$9,2,0),"")</f>
        <v/>
      </c>
      <c r="H126" s="234">
        <f>$G126*$B$8/$B$5</f>
        <v/>
      </c>
      <c r="I126" s="234">
        <f>$H126/12</f>
        <v/>
      </c>
      <c r="J126" s="234">
        <f>$F126*$B$6</f>
        <v/>
      </c>
      <c r="K126" s="234">
        <f>$J126-$I126</f>
        <v/>
      </c>
      <c r="L126" s="235">
        <f>IF($J126=0,0,$K126/$J126)</f>
        <v/>
      </c>
    </row>
    <row r="127">
      <c r="A127" s="149">
        <f>IFERROR(INDEX(Resources!$A:$A,ROW()-5),"")</f>
        <v/>
      </c>
      <c r="B127" s="150">
        <f>IFERROR(Resources!B122,"")</f>
        <v/>
      </c>
      <c r="C127" s="151">
        <f>IFERROR(Resources!D122,"")</f>
        <v/>
      </c>
      <c r="D127" s="150">
        <f>IFERROR(Resources!K122,"")</f>
        <v/>
      </c>
      <c r="E127" s="151">
        <f>IFERROR(VLOOKUP($C127,$N$5:$O$19,2,0),"Blended Rate")</f>
        <v/>
      </c>
      <c r="F127" s="234">
        <f>IFERROR(IF($D127="Onsite",VLOOKUP($E127,CONFIG!$A$11:$C$18,2,0),VLOOKUP($E127,CONFIG!$A$11:$C$18,3,0)),"")</f>
        <v/>
      </c>
      <c r="G127" s="153">
        <f>IFERROR(VLOOKUP($B127,$D$5:$E$9,2,0),"")</f>
        <v/>
      </c>
      <c r="H127" s="234">
        <f>$G127*$B$8/$B$5</f>
        <v/>
      </c>
      <c r="I127" s="234">
        <f>$H127/12</f>
        <v/>
      </c>
      <c r="J127" s="234">
        <f>$F127*$B$6</f>
        <v/>
      </c>
      <c r="K127" s="234">
        <f>$J127-$I127</f>
        <v/>
      </c>
      <c r="L127" s="235">
        <f>IF($J127=0,0,$K127/$J127)</f>
        <v/>
      </c>
    </row>
    <row r="128">
      <c r="A128" s="149">
        <f>IFERROR(INDEX(Resources!$A:$A,ROW()-5),"")</f>
        <v/>
      </c>
      <c r="B128" s="150">
        <f>IFERROR(Resources!B123,"")</f>
        <v/>
      </c>
      <c r="C128" s="151">
        <f>IFERROR(Resources!D123,"")</f>
        <v/>
      </c>
      <c r="D128" s="150">
        <f>IFERROR(Resources!K123,"")</f>
        <v/>
      </c>
      <c r="E128" s="151">
        <f>IFERROR(VLOOKUP($C128,$N$5:$O$19,2,0),"Blended Rate")</f>
        <v/>
      </c>
      <c r="F128" s="234">
        <f>IFERROR(IF($D128="Onsite",VLOOKUP($E128,CONFIG!$A$11:$C$18,2,0),VLOOKUP($E128,CONFIG!$A$11:$C$18,3,0)),"")</f>
        <v/>
      </c>
      <c r="G128" s="153">
        <f>IFERROR(VLOOKUP($B128,$D$5:$E$9,2,0),"")</f>
        <v/>
      </c>
      <c r="H128" s="234">
        <f>$G128*$B$8/$B$5</f>
        <v/>
      </c>
      <c r="I128" s="234">
        <f>$H128/12</f>
        <v/>
      </c>
      <c r="J128" s="234">
        <f>$F128*$B$6</f>
        <v/>
      </c>
      <c r="K128" s="234">
        <f>$J128-$I128</f>
        <v/>
      </c>
      <c r="L128" s="235">
        <f>IF($J128=0,0,$K128/$J128)</f>
        <v/>
      </c>
    </row>
    <row r="129">
      <c r="A129" s="149">
        <f>IFERROR(INDEX(Resources!$A:$A,ROW()-5),"")</f>
        <v/>
      </c>
      <c r="B129" s="150">
        <f>IFERROR(Resources!B124,"")</f>
        <v/>
      </c>
      <c r="C129" s="151">
        <f>IFERROR(Resources!D124,"")</f>
        <v/>
      </c>
      <c r="D129" s="150">
        <f>IFERROR(Resources!K124,"")</f>
        <v/>
      </c>
      <c r="E129" s="151">
        <f>IFERROR(VLOOKUP($C129,$N$5:$O$19,2,0),"Blended Rate")</f>
        <v/>
      </c>
      <c r="F129" s="234">
        <f>IFERROR(IF($D129="Onsite",VLOOKUP($E129,CONFIG!$A$11:$C$18,2,0),VLOOKUP($E129,CONFIG!$A$11:$C$18,3,0)),"")</f>
        <v/>
      </c>
      <c r="G129" s="153">
        <f>IFERROR(VLOOKUP($B129,$D$5:$E$9,2,0),"")</f>
        <v/>
      </c>
      <c r="H129" s="234">
        <f>$G129*$B$8/$B$5</f>
        <v/>
      </c>
      <c r="I129" s="234">
        <f>$H129/12</f>
        <v/>
      </c>
      <c r="J129" s="234">
        <f>$F129*$B$6</f>
        <v/>
      </c>
      <c r="K129" s="234">
        <f>$J129-$I129</f>
        <v/>
      </c>
      <c r="L129" s="235">
        <f>IF($J129=0,0,$K129/$J129)</f>
        <v/>
      </c>
    </row>
    <row r="130">
      <c r="A130" s="149">
        <f>IFERROR(INDEX(Resources!$A:$A,ROW()-5),"")</f>
        <v/>
      </c>
      <c r="B130" s="150">
        <f>IFERROR(Resources!B125,"")</f>
        <v/>
      </c>
      <c r="C130" s="151">
        <f>IFERROR(Resources!D125,"")</f>
        <v/>
      </c>
      <c r="D130" s="150">
        <f>IFERROR(Resources!K125,"")</f>
        <v/>
      </c>
      <c r="E130" s="151">
        <f>IFERROR(VLOOKUP($C130,$N$5:$O$19,2,0),"Blended Rate")</f>
        <v/>
      </c>
      <c r="F130" s="234">
        <f>IFERROR(IF($D130="Onsite",VLOOKUP($E130,CONFIG!$A$11:$C$18,2,0),VLOOKUP($E130,CONFIG!$A$11:$C$18,3,0)),"")</f>
        <v/>
      </c>
      <c r="G130" s="153">
        <f>IFERROR(VLOOKUP($B130,$D$5:$E$9,2,0),"")</f>
        <v/>
      </c>
      <c r="H130" s="234">
        <f>$G130*$B$8/$B$5</f>
        <v/>
      </c>
      <c r="I130" s="234">
        <f>$H130/12</f>
        <v/>
      </c>
      <c r="J130" s="234">
        <f>$F130*$B$6</f>
        <v/>
      </c>
      <c r="K130" s="234">
        <f>$J130-$I130</f>
        <v/>
      </c>
      <c r="L130" s="235">
        <f>IF($J130=0,0,$K130/$J130)</f>
        <v/>
      </c>
    </row>
    <row r="131">
      <c r="A131" s="149">
        <f>IFERROR(INDEX(Resources!$A:$A,ROW()-5),"")</f>
        <v/>
      </c>
      <c r="B131" s="150">
        <f>IFERROR(Resources!B126,"")</f>
        <v/>
      </c>
      <c r="C131" s="151">
        <f>IFERROR(Resources!D126,"")</f>
        <v/>
      </c>
      <c r="D131" s="150">
        <f>IFERROR(Resources!K126,"")</f>
        <v/>
      </c>
      <c r="E131" s="151">
        <f>IFERROR(VLOOKUP($C131,$N$5:$O$19,2,0),"Blended Rate")</f>
        <v/>
      </c>
      <c r="F131" s="234">
        <f>IFERROR(IF($D131="Onsite",VLOOKUP($E131,CONFIG!$A$11:$C$18,2,0),VLOOKUP($E131,CONFIG!$A$11:$C$18,3,0)),"")</f>
        <v/>
      </c>
      <c r="G131" s="153">
        <f>IFERROR(VLOOKUP($B131,$D$5:$E$9,2,0),"")</f>
        <v/>
      </c>
      <c r="H131" s="234">
        <f>$G131*$B$8/$B$5</f>
        <v/>
      </c>
      <c r="I131" s="234">
        <f>$H131/12</f>
        <v/>
      </c>
      <c r="J131" s="234">
        <f>$F131*$B$6</f>
        <v/>
      </c>
      <c r="K131" s="234">
        <f>$J131-$I131</f>
        <v/>
      </c>
      <c r="L131" s="235">
        <f>IF($J131=0,0,$K131/$J131)</f>
        <v/>
      </c>
    </row>
    <row r="132">
      <c r="A132" s="149">
        <f>IFERROR(INDEX(Resources!$A:$A,ROW()-5),"")</f>
        <v/>
      </c>
      <c r="B132" s="150">
        <f>IFERROR(Resources!B127,"")</f>
        <v/>
      </c>
      <c r="C132" s="151">
        <f>IFERROR(Resources!D127,"")</f>
        <v/>
      </c>
      <c r="D132" s="150">
        <f>IFERROR(Resources!K127,"")</f>
        <v/>
      </c>
      <c r="E132" s="151">
        <f>IFERROR(VLOOKUP($C132,$N$5:$O$19,2,0),"Blended Rate")</f>
        <v/>
      </c>
      <c r="F132" s="234">
        <f>IFERROR(IF($D132="Onsite",VLOOKUP($E132,CONFIG!$A$11:$C$18,2,0),VLOOKUP($E132,CONFIG!$A$11:$C$18,3,0)),"")</f>
        <v/>
      </c>
      <c r="G132" s="153">
        <f>IFERROR(VLOOKUP($B132,$D$5:$E$9,2,0),"")</f>
        <v/>
      </c>
      <c r="H132" s="234">
        <f>$G132*$B$8/$B$5</f>
        <v/>
      </c>
      <c r="I132" s="234">
        <f>$H132/12</f>
        <v/>
      </c>
      <c r="J132" s="234">
        <f>$F132*$B$6</f>
        <v/>
      </c>
      <c r="K132" s="234">
        <f>$J132-$I132</f>
        <v/>
      </c>
      <c r="L132" s="235">
        <f>IF($J132=0,0,$K132/$J132)</f>
        <v/>
      </c>
    </row>
    <row r="133">
      <c r="A133" s="149">
        <f>IFERROR(INDEX(Resources!$A:$A,ROW()-5),"")</f>
        <v/>
      </c>
      <c r="B133" s="150">
        <f>IFERROR(Resources!B128,"")</f>
        <v/>
      </c>
      <c r="C133" s="151">
        <f>IFERROR(Resources!D128,"")</f>
        <v/>
      </c>
      <c r="D133" s="150">
        <f>IFERROR(Resources!K128,"")</f>
        <v/>
      </c>
      <c r="E133" s="151">
        <f>IFERROR(VLOOKUP($C133,$N$5:$O$19,2,0),"Blended Rate")</f>
        <v/>
      </c>
      <c r="F133" s="234">
        <f>IFERROR(IF($D133="Onsite",VLOOKUP($E133,CONFIG!$A$11:$C$18,2,0),VLOOKUP($E133,CONFIG!$A$11:$C$18,3,0)),"")</f>
        <v/>
      </c>
      <c r="G133" s="153">
        <f>IFERROR(VLOOKUP($B133,$D$5:$E$9,2,0),"")</f>
        <v/>
      </c>
      <c r="H133" s="234">
        <f>$G133*$B$8/$B$5</f>
        <v/>
      </c>
      <c r="I133" s="234">
        <f>$H133/12</f>
        <v/>
      </c>
      <c r="J133" s="234">
        <f>$F133*$B$6</f>
        <v/>
      </c>
      <c r="K133" s="234">
        <f>$J133-$I133</f>
        <v/>
      </c>
      <c r="L133" s="235">
        <f>IF($J133=0,0,$K133/$J133)</f>
        <v/>
      </c>
    </row>
    <row r="134">
      <c r="A134" s="149">
        <f>IFERROR(INDEX(Resources!$A:$A,ROW()-5),"")</f>
        <v/>
      </c>
      <c r="B134" s="150">
        <f>IFERROR(Resources!B129,"")</f>
        <v/>
      </c>
      <c r="C134" s="151">
        <f>IFERROR(Resources!D129,"")</f>
        <v/>
      </c>
      <c r="D134" s="150">
        <f>IFERROR(Resources!K129,"")</f>
        <v/>
      </c>
      <c r="E134" s="151">
        <f>IFERROR(VLOOKUP($C134,$N$5:$O$19,2,0),"Blended Rate")</f>
        <v/>
      </c>
      <c r="F134" s="234">
        <f>IFERROR(IF($D134="Onsite",VLOOKUP($E134,CONFIG!$A$11:$C$18,2,0),VLOOKUP($E134,CONFIG!$A$11:$C$18,3,0)),"")</f>
        <v/>
      </c>
      <c r="G134" s="153">
        <f>IFERROR(VLOOKUP($B134,$D$5:$E$9,2,0),"")</f>
        <v/>
      </c>
      <c r="H134" s="234">
        <f>$G134*$B$8/$B$5</f>
        <v/>
      </c>
      <c r="I134" s="234">
        <f>$H134/12</f>
        <v/>
      </c>
      <c r="J134" s="234">
        <f>$F134*$B$6</f>
        <v/>
      </c>
      <c r="K134" s="234">
        <f>$J134-$I134</f>
        <v/>
      </c>
      <c r="L134" s="235">
        <f>IF($J134=0,0,$K134/$J134)</f>
        <v/>
      </c>
    </row>
    <row r="135">
      <c r="A135" s="149">
        <f>IFERROR(INDEX(Resources!$A:$A,ROW()-5),"")</f>
        <v/>
      </c>
      <c r="B135" s="150">
        <f>IFERROR(Resources!B130,"")</f>
        <v/>
      </c>
      <c r="C135" s="151">
        <f>IFERROR(Resources!D130,"")</f>
        <v/>
      </c>
      <c r="D135" s="150">
        <f>IFERROR(Resources!K130,"")</f>
        <v/>
      </c>
      <c r="E135" s="151">
        <f>IFERROR(VLOOKUP($C135,$N$5:$O$19,2,0),"Blended Rate")</f>
        <v/>
      </c>
      <c r="F135" s="234">
        <f>IFERROR(IF($D135="Onsite",VLOOKUP($E135,CONFIG!$A$11:$C$18,2,0),VLOOKUP($E135,CONFIG!$A$11:$C$18,3,0)),"")</f>
        <v/>
      </c>
      <c r="G135" s="153">
        <f>IFERROR(VLOOKUP($B135,$D$5:$E$9,2,0),"")</f>
        <v/>
      </c>
      <c r="H135" s="234">
        <f>$G135*$B$8/$B$5</f>
        <v/>
      </c>
      <c r="I135" s="234">
        <f>$H135/12</f>
        <v/>
      </c>
      <c r="J135" s="234">
        <f>$F135*$B$6</f>
        <v/>
      </c>
      <c r="K135" s="234">
        <f>$J135-$I135</f>
        <v/>
      </c>
      <c r="L135" s="235">
        <f>IF($J135=0,0,$K135/$J135)</f>
        <v/>
      </c>
    </row>
    <row r="136">
      <c r="A136" s="149">
        <f>IFERROR(INDEX(Resources!$A:$A,ROW()-5),"")</f>
        <v/>
      </c>
      <c r="B136" s="150">
        <f>IFERROR(Resources!B131,"")</f>
        <v/>
      </c>
      <c r="C136" s="151">
        <f>IFERROR(Resources!D131,"")</f>
        <v/>
      </c>
      <c r="D136" s="150">
        <f>IFERROR(Resources!K131,"")</f>
        <v/>
      </c>
      <c r="E136" s="151">
        <f>IFERROR(VLOOKUP($C136,$N$5:$O$19,2,0),"Blended Rate")</f>
        <v/>
      </c>
      <c r="F136" s="234">
        <f>IFERROR(IF($D136="Onsite",VLOOKUP($E136,CONFIG!$A$11:$C$18,2,0),VLOOKUP($E136,CONFIG!$A$11:$C$18,3,0)),"")</f>
        <v/>
      </c>
      <c r="G136" s="153">
        <f>IFERROR(VLOOKUP($B136,$D$5:$E$9,2,0),"")</f>
        <v/>
      </c>
      <c r="H136" s="234">
        <f>$G136*$B$8/$B$5</f>
        <v/>
      </c>
      <c r="I136" s="234">
        <f>$H136/12</f>
        <v/>
      </c>
      <c r="J136" s="234">
        <f>$F136*$B$6</f>
        <v/>
      </c>
      <c r="K136" s="234">
        <f>$J136-$I136</f>
        <v/>
      </c>
      <c r="L136" s="235">
        <f>IF($J136=0,0,$K136/$J136)</f>
        <v/>
      </c>
    </row>
    <row r="137">
      <c r="A137" s="149">
        <f>IFERROR(INDEX(Resources!$A:$A,ROW()-5),"")</f>
        <v/>
      </c>
      <c r="B137" s="150">
        <f>IFERROR(Resources!B132,"")</f>
        <v/>
      </c>
      <c r="C137" s="151">
        <f>IFERROR(Resources!D132,"")</f>
        <v/>
      </c>
      <c r="D137" s="150">
        <f>IFERROR(Resources!K132,"")</f>
        <v/>
      </c>
      <c r="E137" s="151">
        <f>IFERROR(VLOOKUP($C137,$N$5:$O$19,2,0),"Blended Rate")</f>
        <v/>
      </c>
      <c r="F137" s="234">
        <f>IFERROR(IF($D137="Onsite",VLOOKUP($E137,CONFIG!$A$11:$C$18,2,0),VLOOKUP($E137,CONFIG!$A$11:$C$18,3,0)),"")</f>
        <v/>
      </c>
      <c r="G137" s="153">
        <f>IFERROR(VLOOKUP($B137,$D$5:$E$9,2,0),"")</f>
        <v/>
      </c>
      <c r="H137" s="234">
        <f>$G137*$B$8/$B$5</f>
        <v/>
      </c>
      <c r="I137" s="234">
        <f>$H137/12</f>
        <v/>
      </c>
      <c r="J137" s="234">
        <f>$F137*$B$6</f>
        <v/>
      </c>
      <c r="K137" s="234">
        <f>$J137-$I137</f>
        <v/>
      </c>
      <c r="L137" s="235">
        <f>IF($J137=0,0,$K137/$J137)</f>
        <v/>
      </c>
    </row>
    <row r="138">
      <c r="A138" s="149">
        <f>IFERROR(INDEX(Resources!$A:$A,ROW()-5),"")</f>
        <v/>
      </c>
      <c r="B138" s="150">
        <f>IFERROR(Resources!B133,"")</f>
        <v/>
      </c>
      <c r="C138" s="151">
        <f>IFERROR(Resources!D133,"")</f>
        <v/>
      </c>
      <c r="D138" s="150">
        <f>IFERROR(Resources!K133,"")</f>
        <v/>
      </c>
      <c r="E138" s="151">
        <f>IFERROR(VLOOKUP($C138,$N$5:$O$19,2,0),"Blended Rate")</f>
        <v/>
      </c>
      <c r="F138" s="234">
        <f>IFERROR(IF($D138="Onsite",VLOOKUP($E138,CONFIG!$A$11:$C$18,2,0),VLOOKUP($E138,CONFIG!$A$11:$C$18,3,0)),"")</f>
        <v/>
      </c>
      <c r="G138" s="153">
        <f>IFERROR(VLOOKUP($B138,$D$5:$E$9,2,0),"")</f>
        <v/>
      </c>
      <c r="H138" s="234">
        <f>$G138*$B$8/$B$5</f>
        <v/>
      </c>
      <c r="I138" s="234">
        <f>$H138/12</f>
        <v/>
      </c>
      <c r="J138" s="234">
        <f>$F138*$B$6</f>
        <v/>
      </c>
      <c r="K138" s="234">
        <f>$J138-$I138</f>
        <v/>
      </c>
      <c r="L138" s="235">
        <f>IF($J138=0,0,$K138/$J138)</f>
        <v/>
      </c>
    </row>
    <row r="139">
      <c r="A139" s="149">
        <f>IFERROR(INDEX(Resources!$A:$A,ROW()-5),"")</f>
        <v/>
      </c>
      <c r="B139" s="150">
        <f>IFERROR(Resources!B134,"")</f>
        <v/>
      </c>
      <c r="C139" s="151">
        <f>IFERROR(Resources!D134,"")</f>
        <v/>
      </c>
      <c r="D139" s="150">
        <f>IFERROR(Resources!K134,"")</f>
        <v/>
      </c>
      <c r="E139" s="151">
        <f>IFERROR(VLOOKUP($C139,$N$5:$O$19,2,0),"Blended Rate")</f>
        <v/>
      </c>
      <c r="F139" s="234">
        <f>IFERROR(IF($D139="Onsite",VLOOKUP($E139,CONFIG!$A$11:$C$18,2,0),VLOOKUP($E139,CONFIG!$A$11:$C$18,3,0)),"")</f>
        <v/>
      </c>
      <c r="G139" s="153">
        <f>IFERROR(VLOOKUP($B139,$D$5:$E$9,2,0),"")</f>
        <v/>
      </c>
      <c r="H139" s="234">
        <f>$G139*$B$8/$B$5</f>
        <v/>
      </c>
      <c r="I139" s="234">
        <f>$H139/12</f>
        <v/>
      </c>
      <c r="J139" s="234">
        <f>$F139*$B$6</f>
        <v/>
      </c>
      <c r="K139" s="234">
        <f>$J139-$I139</f>
        <v/>
      </c>
      <c r="L139" s="235">
        <f>IF($J139=0,0,$K139/$J139)</f>
        <v/>
      </c>
    </row>
    <row r="140">
      <c r="A140" s="149">
        <f>IFERROR(INDEX(Resources!$A:$A,ROW()-5),"")</f>
        <v/>
      </c>
      <c r="B140" s="150">
        <f>IFERROR(Resources!B135,"")</f>
        <v/>
      </c>
      <c r="C140" s="151">
        <f>IFERROR(Resources!D135,"")</f>
        <v/>
      </c>
      <c r="D140" s="150">
        <f>IFERROR(Resources!K135,"")</f>
        <v/>
      </c>
      <c r="E140" s="151">
        <f>IFERROR(VLOOKUP($C140,$N$5:$O$19,2,0),"Blended Rate")</f>
        <v/>
      </c>
      <c r="F140" s="234">
        <f>IFERROR(IF($D140="Onsite",VLOOKUP($E140,CONFIG!$A$11:$C$18,2,0),VLOOKUP($E140,CONFIG!$A$11:$C$18,3,0)),"")</f>
        <v/>
      </c>
      <c r="G140" s="153">
        <f>IFERROR(VLOOKUP($B140,$D$5:$E$9,2,0),"")</f>
        <v/>
      </c>
      <c r="H140" s="234">
        <f>$G140*$B$8/$B$5</f>
        <v/>
      </c>
      <c r="I140" s="234">
        <f>$H140/12</f>
        <v/>
      </c>
      <c r="J140" s="234">
        <f>$F140*$B$6</f>
        <v/>
      </c>
      <c r="K140" s="234">
        <f>$J140-$I140</f>
        <v/>
      </c>
      <c r="L140" s="235">
        <f>IF($J140=0,0,$K140/$J140)</f>
        <v/>
      </c>
    </row>
    <row r="141">
      <c r="A141" s="149">
        <f>IFERROR(INDEX(Resources!$A:$A,ROW()-5),"")</f>
        <v/>
      </c>
      <c r="B141" s="150">
        <f>IFERROR(Resources!B136,"")</f>
        <v/>
      </c>
      <c r="C141" s="151">
        <f>IFERROR(Resources!D136,"")</f>
        <v/>
      </c>
      <c r="D141" s="150">
        <f>IFERROR(Resources!K136,"")</f>
        <v/>
      </c>
      <c r="E141" s="151">
        <f>IFERROR(VLOOKUP($C141,$N$5:$O$19,2,0),"Blended Rate")</f>
        <v/>
      </c>
      <c r="F141" s="234">
        <f>IFERROR(IF($D141="Onsite",VLOOKUP($E141,CONFIG!$A$11:$C$18,2,0),VLOOKUP($E141,CONFIG!$A$11:$C$18,3,0)),"")</f>
        <v/>
      </c>
      <c r="G141" s="153">
        <f>IFERROR(VLOOKUP($B141,$D$5:$E$9,2,0),"")</f>
        <v/>
      </c>
      <c r="H141" s="234">
        <f>$G141*$B$8/$B$5</f>
        <v/>
      </c>
      <c r="I141" s="234">
        <f>$H141/12</f>
        <v/>
      </c>
      <c r="J141" s="234">
        <f>$F141*$B$6</f>
        <v/>
      </c>
      <c r="K141" s="234">
        <f>$J141-$I141</f>
        <v/>
      </c>
      <c r="L141" s="235">
        <f>IF($J141=0,0,$K141/$J141)</f>
        <v/>
      </c>
    </row>
    <row r="142">
      <c r="A142" s="149">
        <f>IFERROR(INDEX(Resources!$A:$A,ROW()-5),"")</f>
        <v/>
      </c>
      <c r="B142" s="150">
        <f>IFERROR(Resources!B137,"")</f>
        <v/>
      </c>
      <c r="C142" s="151">
        <f>IFERROR(Resources!D137,"")</f>
        <v/>
      </c>
      <c r="D142" s="150">
        <f>IFERROR(Resources!K137,"")</f>
        <v/>
      </c>
      <c r="E142" s="151">
        <f>IFERROR(VLOOKUP($C142,$N$5:$O$19,2,0),"Blended Rate")</f>
        <v/>
      </c>
      <c r="F142" s="234">
        <f>IFERROR(IF($D142="Onsite",VLOOKUP($E142,CONFIG!$A$11:$C$18,2,0),VLOOKUP($E142,CONFIG!$A$11:$C$18,3,0)),"")</f>
        <v/>
      </c>
      <c r="G142" s="153">
        <f>IFERROR(VLOOKUP($B142,$D$5:$E$9,2,0),"")</f>
        <v/>
      </c>
      <c r="H142" s="234">
        <f>$G142*$B$8/$B$5</f>
        <v/>
      </c>
      <c r="I142" s="234">
        <f>$H142/12</f>
        <v/>
      </c>
      <c r="J142" s="234">
        <f>$F142*$B$6</f>
        <v/>
      </c>
      <c r="K142" s="234">
        <f>$J142-$I142</f>
        <v/>
      </c>
      <c r="L142" s="235">
        <f>IF($J142=0,0,$K142/$J142)</f>
        <v/>
      </c>
    </row>
    <row r="143">
      <c r="A143" s="149">
        <f>IFERROR(INDEX(Resources!$A:$A,ROW()-5),"")</f>
        <v/>
      </c>
      <c r="B143" s="150">
        <f>IFERROR(Resources!B138,"")</f>
        <v/>
      </c>
      <c r="C143" s="151">
        <f>IFERROR(Resources!D138,"")</f>
        <v/>
      </c>
      <c r="D143" s="150">
        <f>IFERROR(Resources!K138,"")</f>
        <v/>
      </c>
      <c r="E143" s="151">
        <f>IFERROR(VLOOKUP($C143,$N$5:$O$19,2,0),"Blended Rate")</f>
        <v/>
      </c>
      <c r="F143" s="234">
        <f>IFERROR(IF($D143="Onsite",VLOOKUP($E143,CONFIG!$A$11:$C$18,2,0),VLOOKUP($E143,CONFIG!$A$11:$C$18,3,0)),"")</f>
        <v/>
      </c>
      <c r="G143" s="153">
        <f>IFERROR(VLOOKUP($B143,$D$5:$E$9,2,0),"")</f>
        <v/>
      </c>
      <c r="H143" s="234">
        <f>$G143*$B$8/$B$5</f>
        <v/>
      </c>
      <c r="I143" s="234">
        <f>$H143/12</f>
        <v/>
      </c>
      <c r="J143" s="234">
        <f>$F143*$B$6</f>
        <v/>
      </c>
      <c r="K143" s="234">
        <f>$J143-$I143</f>
        <v/>
      </c>
      <c r="L143" s="235">
        <f>IF($J143=0,0,$K143/$J143)</f>
        <v/>
      </c>
    </row>
    <row r="144">
      <c r="A144" s="149">
        <f>IFERROR(INDEX(Resources!$A:$A,ROW()-5),"")</f>
        <v/>
      </c>
      <c r="B144" s="150">
        <f>IFERROR(Resources!B139,"")</f>
        <v/>
      </c>
      <c r="C144" s="151">
        <f>IFERROR(Resources!D139,"")</f>
        <v/>
      </c>
      <c r="D144" s="150">
        <f>IFERROR(Resources!K139,"")</f>
        <v/>
      </c>
      <c r="E144" s="151">
        <f>IFERROR(VLOOKUP($C144,$N$5:$O$19,2,0),"Blended Rate")</f>
        <v/>
      </c>
      <c r="F144" s="234">
        <f>IFERROR(IF($D144="Onsite",VLOOKUP($E144,CONFIG!$A$11:$C$18,2,0),VLOOKUP($E144,CONFIG!$A$11:$C$18,3,0)),"")</f>
        <v/>
      </c>
      <c r="G144" s="153">
        <f>IFERROR(VLOOKUP($B144,$D$5:$E$9,2,0),"")</f>
        <v/>
      </c>
      <c r="H144" s="234">
        <f>$G144*$B$8/$B$5</f>
        <v/>
      </c>
      <c r="I144" s="234">
        <f>$H144/12</f>
        <v/>
      </c>
      <c r="J144" s="234">
        <f>$F144*$B$6</f>
        <v/>
      </c>
      <c r="K144" s="234">
        <f>$J144-$I144</f>
        <v/>
      </c>
      <c r="L144" s="235">
        <f>IF($J144=0,0,$K144/$J144)</f>
        <v/>
      </c>
    </row>
    <row r="145">
      <c r="A145" s="149">
        <f>IFERROR(INDEX(Resources!$A:$A,ROW()-5),"")</f>
        <v/>
      </c>
      <c r="B145" s="150">
        <f>IFERROR(Resources!B140,"")</f>
        <v/>
      </c>
      <c r="C145" s="151">
        <f>IFERROR(Resources!D140,"")</f>
        <v/>
      </c>
      <c r="D145" s="150">
        <f>IFERROR(Resources!K140,"")</f>
        <v/>
      </c>
      <c r="E145" s="151">
        <f>IFERROR(VLOOKUP($C145,$N$5:$O$19,2,0),"Blended Rate")</f>
        <v/>
      </c>
      <c r="F145" s="234">
        <f>IFERROR(IF($D145="Onsite",VLOOKUP($E145,CONFIG!$A$11:$C$18,2,0),VLOOKUP($E145,CONFIG!$A$11:$C$18,3,0)),"")</f>
        <v/>
      </c>
      <c r="G145" s="153">
        <f>IFERROR(VLOOKUP($B145,$D$5:$E$9,2,0),"")</f>
        <v/>
      </c>
      <c r="H145" s="234">
        <f>$G145*$B$8/$B$5</f>
        <v/>
      </c>
      <c r="I145" s="234">
        <f>$H145/12</f>
        <v/>
      </c>
      <c r="J145" s="234">
        <f>$F145*$B$6</f>
        <v/>
      </c>
      <c r="K145" s="234">
        <f>$J145-$I145</f>
        <v/>
      </c>
      <c r="L145" s="235">
        <f>IF($J145=0,0,$K145/$J145)</f>
        <v/>
      </c>
    </row>
    <row r="146">
      <c r="A146" s="149">
        <f>IFERROR(INDEX(Resources!$A:$A,ROW()-5),"")</f>
        <v/>
      </c>
      <c r="B146" s="150">
        <f>IFERROR(Resources!B141,"")</f>
        <v/>
      </c>
      <c r="C146" s="151">
        <f>IFERROR(Resources!D141,"")</f>
        <v/>
      </c>
      <c r="D146" s="150">
        <f>IFERROR(Resources!K141,"")</f>
        <v/>
      </c>
      <c r="E146" s="151">
        <f>IFERROR(VLOOKUP($C146,$N$5:$O$19,2,0),"Blended Rate")</f>
        <v/>
      </c>
      <c r="F146" s="234">
        <f>IFERROR(IF($D146="Onsite",VLOOKUP($E146,CONFIG!$A$11:$C$18,2,0),VLOOKUP($E146,CONFIG!$A$11:$C$18,3,0)),"")</f>
        <v/>
      </c>
      <c r="G146" s="153">
        <f>IFERROR(VLOOKUP($B146,$D$5:$E$9,2,0),"")</f>
        <v/>
      </c>
      <c r="H146" s="234">
        <f>$G146*$B$8/$B$5</f>
        <v/>
      </c>
      <c r="I146" s="234">
        <f>$H146/12</f>
        <v/>
      </c>
      <c r="J146" s="234">
        <f>$F146*$B$6</f>
        <v/>
      </c>
      <c r="K146" s="234">
        <f>$J146-$I146</f>
        <v/>
      </c>
      <c r="L146" s="235">
        <f>IF($J146=0,0,$K146/$J146)</f>
        <v/>
      </c>
    </row>
    <row r="147">
      <c r="A147" s="149">
        <f>IFERROR(INDEX(Resources!$A:$A,ROW()-5),"")</f>
        <v/>
      </c>
      <c r="B147" s="150">
        <f>IFERROR(Resources!B142,"")</f>
        <v/>
      </c>
      <c r="C147" s="151">
        <f>IFERROR(Resources!D142,"")</f>
        <v/>
      </c>
      <c r="D147" s="150">
        <f>IFERROR(Resources!K142,"")</f>
        <v/>
      </c>
      <c r="E147" s="151">
        <f>IFERROR(VLOOKUP($C147,$N$5:$O$19,2,0),"Blended Rate")</f>
        <v/>
      </c>
      <c r="F147" s="234">
        <f>IFERROR(IF($D147="Onsite",VLOOKUP($E147,CONFIG!$A$11:$C$18,2,0),VLOOKUP($E147,CONFIG!$A$11:$C$18,3,0)),"")</f>
        <v/>
      </c>
      <c r="G147" s="153">
        <f>IFERROR(VLOOKUP($B147,$D$5:$E$9,2,0),"")</f>
        <v/>
      </c>
      <c r="H147" s="234">
        <f>$G147*$B$8/$B$5</f>
        <v/>
      </c>
      <c r="I147" s="234">
        <f>$H147/12</f>
        <v/>
      </c>
      <c r="J147" s="234">
        <f>$F147*$B$6</f>
        <v/>
      </c>
      <c r="K147" s="234">
        <f>$J147-$I147</f>
        <v/>
      </c>
      <c r="L147" s="235">
        <f>IF($J147=0,0,$K147/$J147)</f>
        <v/>
      </c>
    </row>
    <row r="148">
      <c r="A148" s="149">
        <f>IFERROR(INDEX(Resources!$A:$A,ROW()-5),"")</f>
        <v/>
      </c>
      <c r="B148" s="150">
        <f>IFERROR(Resources!B143,"")</f>
        <v/>
      </c>
      <c r="C148" s="151">
        <f>IFERROR(Resources!D143,"")</f>
        <v/>
      </c>
      <c r="D148" s="150">
        <f>IFERROR(Resources!K143,"")</f>
        <v/>
      </c>
      <c r="E148" s="151">
        <f>IFERROR(VLOOKUP($C148,$N$5:$O$19,2,0),"Blended Rate")</f>
        <v/>
      </c>
      <c r="F148" s="234">
        <f>IFERROR(IF($D148="Onsite",VLOOKUP($E148,CONFIG!$A$11:$C$18,2,0),VLOOKUP($E148,CONFIG!$A$11:$C$18,3,0)),"")</f>
        <v/>
      </c>
      <c r="G148" s="153">
        <f>IFERROR(VLOOKUP($B148,$D$5:$E$9,2,0),"")</f>
        <v/>
      </c>
      <c r="H148" s="234">
        <f>$G148*$B$8/$B$5</f>
        <v/>
      </c>
      <c r="I148" s="234">
        <f>$H148/12</f>
        <v/>
      </c>
      <c r="J148" s="234">
        <f>$F148*$B$6</f>
        <v/>
      </c>
      <c r="K148" s="234">
        <f>$J148-$I148</f>
        <v/>
      </c>
      <c r="L148" s="235">
        <f>IF($J148=0,0,$K148/$J148)</f>
        <v/>
      </c>
    </row>
    <row r="149">
      <c r="A149" s="149">
        <f>IFERROR(INDEX(Resources!$A:$A,ROW()-5),"")</f>
        <v/>
      </c>
      <c r="B149" s="150">
        <f>IFERROR(Resources!B144,"")</f>
        <v/>
      </c>
      <c r="C149" s="151">
        <f>IFERROR(Resources!D144,"")</f>
        <v/>
      </c>
      <c r="D149" s="150">
        <f>IFERROR(Resources!K144,"")</f>
        <v/>
      </c>
      <c r="E149" s="151">
        <f>IFERROR(VLOOKUP($C149,$N$5:$O$19,2,0),"Blended Rate")</f>
        <v/>
      </c>
      <c r="F149" s="234">
        <f>IFERROR(IF($D149="Onsite",VLOOKUP($E149,CONFIG!$A$11:$C$18,2,0),VLOOKUP($E149,CONFIG!$A$11:$C$18,3,0)),"")</f>
        <v/>
      </c>
      <c r="G149" s="153">
        <f>IFERROR(VLOOKUP($B149,$D$5:$E$9,2,0),"")</f>
        <v/>
      </c>
      <c r="H149" s="234">
        <f>$G149*$B$8/$B$5</f>
        <v/>
      </c>
      <c r="I149" s="234">
        <f>$H149/12</f>
        <v/>
      </c>
      <c r="J149" s="234">
        <f>$F149*$B$6</f>
        <v/>
      </c>
      <c r="K149" s="234">
        <f>$J149-$I149</f>
        <v/>
      </c>
      <c r="L149" s="235">
        <f>IF($J149=0,0,$K149/$J149)</f>
        <v/>
      </c>
    </row>
    <row r="150">
      <c r="A150" s="149">
        <f>IFERROR(INDEX(Resources!$A:$A,ROW()-5),"")</f>
        <v/>
      </c>
      <c r="B150" s="150">
        <f>IFERROR(Resources!B145,"")</f>
        <v/>
      </c>
      <c r="C150" s="151">
        <f>IFERROR(Resources!D145,"")</f>
        <v/>
      </c>
      <c r="D150" s="150">
        <f>IFERROR(Resources!K145,"")</f>
        <v/>
      </c>
      <c r="E150" s="151">
        <f>IFERROR(VLOOKUP($C150,$N$5:$O$19,2,0),"Blended Rate")</f>
        <v/>
      </c>
      <c r="F150" s="234">
        <f>IFERROR(IF($D150="Onsite",VLOOKUP($E150,CONFIG!$A$11:$C$18,2,0),VLOOKUP($E150,CONFIG!$A$11:$C$18,3,0)),"")</f>
        <v/>
      </c>
      <c r="G150" s="153">
        <f>IFERROR(VLOOKUP($B150,$D$5:$E$9,2,0),"")</f>
        <v/>
      </c>
      <c r="H150" s="234">
        <f>$G150*$B$8/$B$5</f>
        <v/>
      </c>
      <c r="I150" s="234">
        <f>$H150/12</f>
        <v/>
      </c>
      <c r="J150" s="234">
        <f>$F150*$B$6</f>
        <v/>
      </c>
      <c r="K150" s="234">
        <f>$J150-$I150</f>
        <v/>
      </c>
      <c r="L150" s="235">
        <f>IF($J150=0,0,$K150/$J150)</f>
        <v/>
      </c>
    </row>
    <row r="151">
      <c r="A151" s="149">
        <f>IFERROR(INDEX(Resources!$A:$A,ROW()-5),"")</f>
        <v/>
      </c>
      <c r="B151" s="150">
        <f>IFERROR(Resources!B146,"")</f>
        <v/>
      </c>
      <c r="C151" s="151">
        <f>IFERROR(Resources!D146,"")</f>
        <v/>
      </c>
      <c r="D151" s="150">
        <f>IFERROR(Resources!K146,"")</f>
        <v/>
      </c>
      <c r="E151" s="151">
        <f>IFERROR(VLOOKUP($C151,$N$5:$O$19,2,0),"Blended Rate")</f>
        <v/>
      </c>
      <c r="F151" s="234">
        <f>IFERROR(IF($D151="Onsite",VLOOKUP($E151,CONFIG!$A$11:$C$18,2,0),VLOOKUP($E151,CONFIG!$A$11:$C$18,3,0)),"")</f>
        <v/>
      </c>
      <c r="G151" s="153">
        <f>IFERROR(VLOOKUP($B151,$D$5:$E$9,2,0),"")</f>
        <v/>
      </c>
      <c r="H151" s="234">
        <f>$G151*$B$8/$B$5</f>
        <v/>
      </c>
      <c r="I151" s="234">
        <f>$H151/12</f>
        <v/>
      </c>
      <c r="J151" s="234">
        <f>$F151*$B$6</f>
        <v/>
      </c>
      <c r="K151" s="234">
        <f>$J151-$I151</f>
        <v/>
      </c>
      <c r="L151" s="235">
        <f>IF($J151=0,0,$K151/$J151)</f>
        <v/>
      </c>
    </row>
    <row r="152">
      <c r="A152" s="149">
        <f>IFERROR(INDEX(Resources!$A:$A,ROW()-5),"")</f>
        <v/>
      </c>
      <c r="B152" s="150">
        <f>IFERROR(Resources!B147,"")</f>
        <v/>
      </c>
      <c r="C152" s="151">
        <f>IFERROR(Resources!D147,"")</f>
        <v/>
      </c>
      <c r="D152" s="150">
        <f>IFERROR(Resources!K147,"")</f>
        <v/>
      </c>
      <c r="E152" s="151">
        <f>IFERROR(VLOOKUP($C152,$N$5:$O$19,2,0),"Blended Rate")</f>
        <v/>
      </c>
      <c r="F152" s="234">
        <f>IFERROR(IF($D152="Onsite",VLOOKUP($E152,CONFIG!$A$11:$C$18,2,0),VLOOKUP($E152,CONFIG!$A$11:$C$18,3,0)),"")</f>
        <v/>
      </c>
      <c r="G152" s="153">
        <f>IFERROR(VLOOKUP($B152,$D$5:$E$9,2,0),"")</f>
        <v/>
      </c>
      <c r="H152" s="234">
        <f>$G152*$B$8/$B$5</f>
        <v/>
      </c>
      <c r="I152" s="234">
        <f>$H152/12</f>
        <v/>
      </c>
      <c r="J152" s="234">
        <f>$F152*$B$6</f>
        <v/>
      </c>
      <c r="K152" s="234">
        <f>$J152-$I152</f>
        <v/>
      </c>
      <c r="L152" s="235">
        <f>IF($J152=0,0,$K152/$J152)</f>
        <v/>
      </c>
    </row>
    <row r="153">
      <c r="A153" s="149">
        <f>IFERROR(INDEX(Resources!$A:$A,ROW()-5),"")</f>
        <v/>
      </c>
      <c r="B153" s="150">
        <f>IFERROR(Resources!B148,"")</f>
        <v/>
      </c>
      <c r="C153" s="151">
        <f>IFERROR(Resources!D148,"")</f>
        <v/>
      </c>
      <c r="D153" s="150">
        <f>IFERROR(Resources!K148,"")</f>
        <v/>
      </c>
      <c r="E153" s="151">
        <f>IFERROR(VLOOKUP($C153,$N$5:$O$19,2,0),"Blended Rate")</f>
        <v/>
      </c>
      <c r="F153" s="234">
        <f>IFERROR(IF($D153="Onsite",VLOOKUP($E153,CONFIG!$A$11:$C$18,2,0),VLOOKUP($E153,CONFIG!$A$11:$C$18,3,0)),"")</f>
        <v/>
      </c>
      <c r="G153" s="153">
        <f>IFERROR(VLOOKUP($B153,$D$5:$E$9,2,0),"")</f>
        <v/>
      </c>
      <c r="H153" s="234">
        <f>$G153*$B$8/$B$5</f>
        <v/>
      </c>
      <c r="I153" s="234">
        <f>$H153/12</f>
        <v/>
      </c>
      <c r="J153" s="234">
        <f>$F153*$B$6</f>
        <v/>
      </c>
      <c r="K153" s="234">
        <f>$J153-$I153</f>
        <v/>
      </c>
      <c r="L153" s="235">
        <f>IF($J153=0,0,$K153/$J153)</f>
        <v/>
      </c>
    </row>
    <row r="154">
      <c r="A154" s="149">
        <f>IFERROR(INDEX(Resources!$A:$A,ROW()-5),"")</f>
        <v/>
      </c>
      <c r="B154" s="150">
        <f>IFERROR(Resources!B149,"")</f>
        <v/>
      </c>
      <c r="C154" s="151">
        <f>IFERROR(Resources!D149,"")</f>
        <v/>
      </c>
      <c r="D154" s="150">
        <f>IFERROR(Resources!K149,"")</f>
        <v/>
      </c>
      <c r="E154" s="151">
        <f>IFERROR(VLOOKUP($C154,$N$5:$O$19,2,0),"Blended Rate")</f>
        <v/>
      </c>
      <c r="F154" s="234">
        <f>IFERROR(IF($D154="Onsite",VLOOKUP($E154,CONFIG!$A$11:$C$18,2,0),VLOOKUP($E154,CONFIG!$A$11:$C$18,3,0)),"")</f>
        <v/>
      </c>
      <c r="G154" s="153">
        <f>IFERROR(VLOOKUP($B154,$D$5:$E$9,2,0),"")</f>
        <v/>
      </c>
      <c r="H154" s="234">
        <f>$G154*$B$8/$B$5</f>
        <v/>
      </c>
      <c r="I154" s="234">
        <f>$H154/12</f>
        <v/>
      </c>
      <c r="J154" s="234">
        <f>$F154*$B$6</f>
        <v/>
      </c>
      <c r="K154" s="234">
        <f>$J154-$I154</f>
        <v/>
      </c>
      <c r="L154" s="235">
        <f>IF($J154=0,0,$K154/$J154)</f>
        <v/>
      </c>
    </row>
    <row r="155">
      <c r="A155" s="149">
        <f>IFERROR(INDEX(Resources!$A:$A,ROW()-5),"")</f>
        <v/>
      </c>
      <c r="B155" s="150">
        <f>IFERROR(Resources!B150,"")</f>
        <v/>
      </c>
      <c r="C155" s="151">
        <f>IFERROR(Resources!D150,"")</f>
        <v/>
      </c>
      <c r="D155" s="150">
        <f>IFERROR(Resources!K150,"")</f>
        <v/>
      </c>
      <c r="E155" s="151">
        <f>IFERROR(VLOOKUP($C155,$N$5:$O$19,2,0),"Blended Rate")</f>
        <v/>
      </c>
      <c r="F155" s="234">
        <f>IFERROR(IF($D155="Onsite",VLOOKUP($E155,CONFIG!$A$11:$C$18,2,0),VLOOKUP($E155,CONFIG!$A$11:$C$18,3,0)),"")</f>
        <v/>
      </c>
      <c r="G155" s="153">
        <f>IFERROR(VLOOKUP($B155,$D$5:$E$9,2,0),"")</f>
        <v/>
      </c>
      <c r="H155" s="234">
        <f>$G155*$B$8/$B$5</f>
        <v/>
      </c>
      <c r="I155" s="234">
        <f>$H155/12</f>
        <v/>
      </c>
      <c r="J155" s="234">
        <f>$F155*$B$6</f>
        <v/>
      </c>
      <c r="K155" s="234">
        <f>$J155-$I155</f>
        <v/>
      </c>
      <c r="L155" s="235">
        <f>IF($J155=0,0,$K155/$J155)</f>
        <v/>
      </c>
    </row>
    <row r="156">
      <c r="A156" s="149">
        <f>IFERROR(INDEX(Resources!$A:$A,ROW()-5),"")</f>
        <v/>
      </c>
      <c r="B156" s="150">
        <f>IFERROR(Resources!B151,"")</f>
        <v/>
      </c>
      <c r="C156" s="151">
        <f>IFERROR(Resources!D151,"")</f>
        <v/>
      </c>
      <c r="D156" s="150">
        <f>IFERROR(Resources!K151,"")</f>
        <v/>
      </c>
      <c r="E156" s="151">
        <f>IFERROR(VLOOKUP($C156,$N$5:$O$19,2,0),"Blended Rate")</f>
        <v/>
      </c>
      <c r="F156" s="234">
        <f>IFERROR(IF($D156="Onsite",VLOOKUP($E156,CONFIG!$A$11:$C$18,2,0),VLOOKUP($E156,CONFIG!$A$11:$C$18,3,0)),"")</f>
        <v/>
      </c>
      <c r="G156" s="153">
        <f>IFERROR(VLOOKUP($B156,$D$5:$E$9,2,0),"")</f>
        <v/>
      </c>
      <c r="H156" s="234">
        <f>$G156*$B$8/$B$5</f>
        <v/>
      </c>
      <c r="I156" s="234">
        <f>$H156/12</f>
        <v/>
      </c>
      <c r="J156" s="234">
        <f>$F156*$B$6</f>
        <v/>
      </c>
      <c r="K156" s="234">
        <f>$J156-$I156</f>
        <v/>
      </c>
      <c r="L156" s="235">
        <f>IF($J156=0,0,$K156/$J156)</f>
        <v/>
      </c>
    </row>
    <row r="157">
      <c r="A157" s="149">
        <f>IFERROR(INDEX(Resources!$A:$A,ROW()-5),"")</f>
        <v/>
      </c>
      <c r="B157" s="150">
        <f>IFERROR(Resources!B152,"")</f>
        <v/>
      </c>
      <c r="C157" s="151">
        <f>IFERROR(Resources!D152,"")</f>
        <v/>
      </c>
      <c r="D157" s="150">
        <f>IFERROR(Resources!K152,"")</f>
        <v/>
      </c>
      <c r="E157" s="151">
        <f>IFERROR(VLOOKUP($C157,$N$5:$O$19,2,0),"Blended Rate")</f>
        <v/>
      </c>
      <c r="F157" s="234">
        <f>IFERROR(IF($D157="Onsite",VLOOKUP($E157,CONFIG!$A$11:$C$18,2,0),VLOOKUP($E157,CONFIG!$A$11:$C$18,3,0)),"")</f>
        <v/>
      </c>
      <c r="G157" s="153">
        <f>IFERROR(VLOOKUP($B157,$D$5:$E$9,2,0),"")</f>
        <v/>
      </c>
      <c r="H157" s="234">
        <f>$G157*$B$8/$B$5</f>
        <v/>
      </c>
      <c r="I157" s="234">
        <f>$H157/12</f>
        <v/>
      </c>
      <c r="J157" s="234">
        <f>$F157*$B$6</f>
        <v/>
      </c>
      <c r="K157" s="234">
        <f>$J157-$I157</f>
        <v/>
      </c>
      <c r="L157" s="235">
        <f>IF($J157=0,0,$K157/$J157)</f>
        <v/>
      </c>
    </row>
    <row r="158">
      <c r="A158" s="149">
        <f>IFERROR(INDEX(Resources!$A:$A,ROW()-5),"")</f>
        <v/>
      </c>
      <c r="B158" s="150">
        <f>IFERROR(Resources!B153,"")</f>
        <v/>
      </c>
      <c r="C158" s="151">
        <f>IFERROR(Resources!D153,"")</f>
        <v/>
      </c>
      <c r="D158" s="150">
        <f>IFERROR(Resources!K153,"")</f>
        <v/>
      </c>
      <c r="E158" s="151">
        <f>IFERROR(VLOOKUP($C158,$N$5:$O$19,2,0),"Blended Rate")</f>
        <v/>
      </c>
      <c r="F158" s="234">
        <f>IFERROR(IF($D158="Onsite",VLOOKUP($E158,CONFIG!$A$11:$C$18,2,0),VLOOKUP($E158,CONFIG!$A$11:$C$18,3,0)),"")</f>
        <v/>
      </c>
      <c r="G158" s="153">
        <f>IFERROR(VLOOKUP($B158,$D$5:$E$9,2,0),"")</f>
        <v/>
      </c>
      <c r="H158" s="234">
        <f>$G158*$B$8/$B$5</f>
        <v/>
      </c>
      <c r="I158" s="234">
        <f>$H158/12</f>
        <v/>
      </c>
      <c r="J158" s="234">
        <f>$F158*$B$6</f>
        <v/>
      </c>
      <c r="K158" s="234">
        <f>$J158-$I158</f>
        <v/>
      </c>
      <c r="L158" s="235">
        <f>IF($J158=0,0,$K158/$J158)</f>
        <v/>
      </c>
    </row>
    <row r="159">
      <c r="A159" s="149">
        <f>IFERROR(INDEX(Resources!$A:$A,ROW()-5),"")</f>
        <v/>
      </c>
      <c r="B159" s="150">
        <f>IFERROR(Resources!B154,"")</f>
        <v/>
      </c>
      <c r="C159" s="151">
        <f>IFERROR(Resources!D154,"")</f>
        <v/>
      </c>
      <c r="D159" s="150">
        <f>IFERROR(Resources!K154,"")</f>
        <v/>
      </c>
      <c r="E159" s="151">
        <f>IFERROR(VLOOKUP($C159,$N$5:$O$19,2,0),"Blended Rate")</f>
        <v/>
      </c>
      <c r="F159" s="234">
        <f>IFERROR(IF($D159="Onsite",VLOOKUP($E159,CONFIG!$A$11:$C$18,2,0),VLOOKUP($E159,CONFIG!$A$11:$C$18,3,0)),"")</f>
        <v/>
      </c>
      <c r="G159" s="153">
        <f>IFERROR(VLOOKUP($B159,$D$5:$E$9,2,0),"")</f>
        <v/>
      </c>
      <c r="H159" s="234">
        <f>$G159*$B$8/$B$5</f>
        <v/>
      </c>
      <c r="I159" s="234">
        <f>$H159/12</f>
        <v/>
      </c>
      <c r="J159" s="234">
        <f>$F159*$B$6</f>
        <v/>
      </c>
      <c r="K159" s="234">
        <f>$J159-$I159</f>
        <v/>
      </c>
      <c r="L159" s="235">
        <f>IF($J159=0,0,$K159/$J159)</f>
        <v/>
      </c>
    </row>
    <row r="160">
      <c r="A160" s="149">
        <f>IFERROR(INDEX(Resources!$A:$A,ROW()-5),"")</f>
        <v/>
      </c>
      <c r="B160" s="150">
        <f>IFERROR(Resources!B155,"")</f>
        <v/>
      </c>
      <c r="C160" s="151">
        <f>IFERROR(Resources!D155,"")</f>
        <v/>
      </c>
      <c r="D160" s="150">
        <f>IFERROR(Resources!K155,"")</f>
        <v/>
      </c>
      <c r="E160" s="151">
        <f>IFERROR(VLOOKUP($C160,$N$5:$O$19,2,0),"Blended Rate")</f>
        <v/>
      </c>
      <c r="F160" s="234">
        <f>IFERROR(IF($D160="Onsite",VLOOKUP($E160,CONFIG!$A$11:$C$18,2,0),VLOOKUP($E160,CONFIG!$A$11:$C$18,3,0)),"")</f>
        <v/>
      </c>
      <c r="G160" s="153">
        <f>IFERROR(VLOOKUP($B160,$D$5:$E$9,2,0),"")</f>
        <v/>
      </c>
      <c r="H160" s="234">
        <f>$G160*$B$8/$B$5</f>
        <v/>
      </c>
      <c r="I160" s="234">
        <f>$H160/12</f>
        <v/>
      </c>
      <c r="J160" s="234">
        <f>$F160*$B$6</f>
        <v/>
      </c>
      <c r="K160" s="234">
        <f>$J160-$I160</f>
        <v/>
      </c>
      <c r="L160" s="235">
        <f>IF($J160=0,0,$K160/$J160)</f>
        <v/>
      </c>
    </row>
    <row r="161">
      <c r="A161" s="149">
        <f>IFERROR(INDEX(Resources!$A:$A,ROW()-5),"")</f>
        <v/>
      </c>
      <c r="B161" s="150">
        <f>IFERROR(Resources!B156,"")</f>
        <v/>
      </c>
      <c r="C161" s="151">
        <f>IFERROR(Resources!D156,"")</f>
        <v/>
      </c>
      <c r="D161" s="150">
        <f>IFERROR(Resources!K156,"")</f>
        <v/>
      </c>
      <c r="E161" s="151">
        <f>IFERROR(VLOOKUP($C161,$N$5:$O$19,2,0),"Blended Rate")</f>
        <v/>
      </c>
      <c r="F161" s="234">
        <f>IFERROR(IF($D161="Onsite",VLOOKUP($E161,CONFIG!$A$11:$C$18,2,0),VLOOKUP($E161,CONFIG!$A$11:$C$18,3,0)),"")</f>
        <v/>
      </c>
      <c r="G161" s="153">
        <f>IFERROR(VLOOKUP($B161,$D$5:$E$9,2,0),"")</f>
        <v/>
      </c>
      <c r="H161" s="234">
        <f>$G161*$B$8/$B$5</f>
        <v/>
      </c>
      <c r="I161" s="234">
        <f>$H161/12</f>
        <v/>
      </c>
      <c r="J161" s="234">
        <f>$F161*$B$6</f>
        <v/>
      </c>
      <c r="K161" s="234">
        <f>$J161-$I161</f>
        <v/>
      </c>
      <c r="L161" s="235">
        <f>IF($J161=0,0,$K161/$J161)</f>
        <v/>
      </c>
    </row>
    <row r="163">
      <c r="A163" t="inlineStr">
        <is>
          <t>PROJECT COST-BENEFIT</t>
        </is>
      </c>
    </row>
    <row r="164">
      <c r="A164" t="inlineStr">
        <is>
          <t>Project</t>
        </is>
      </c>
      <c r="B164" t="inlineStr">
        <is>
          <t>SOW $ (Revenue)</t>
        </is>
      </c>
      <c r="C164" t="inlineStr">
        <is>
          <t>Actual Hrs</t>
        </is>
      </c>
      <c r="D164" t="inlineStr">
        <is>
          <t>Cost Rate ($/hr)</t>
        </is>
      </c>
    </row>
    <row r="165">
      <c r="A165">
        <f>IFERROR('Projects Master'!B5,"")</f>
        <v/>
      </c>
      <c r="B165">
        <f>IFERROR('Projects Master'!K5,"")</f>
        <v/>
      </c>
      <c r="C165">
        <f>IFERROR('Financial Tracker'!I5,"")</f>
        <v/>
      </c>
      <c r="D165">
        <f>$B$7</f>
        <v/>
      </c>
    </row>
    <row r="166">
      <c r="A166">
        <f>IFERROR('Projects Master'!B6,"")</f>
        <v/>
      </c>
      <c r="B166">
        <f>IFERROR('Projects Master'!K6,"")</f>
        <v/>
      </c>
      <c r="C166">
        <f>IFERROR('Financial Tracker'!I6,"")</f>
        <v/>
      </c>
      <c r="D166">
        <f>$B$7</f>
        <v/>
      </c>
    </row>
    <row r="167">
      <c r="A167">
        <f>IFERROR('Projects Master'!B7,"")</f>
        <v/>
      </c>
      <c r="B167">
        <f>IFERROR('Projects Master'!K7,"")</f>
        <v/>
      </c>
      <c r="C167">
        <f>IFERROR('Financial Tracker'!I7,"")</f>
        <v/>
      </c>
      <c r="D167">
        <f>$B$7</f>
        <v/>
      </c>
    </row>
    <row r="168">
      <c r="A168">
        <f>IFERROR('Projects Master'!B8,"")</f>
        <v/>
      </c>
      <c r="B168">
        <f>IFERROR('Projects Master'!K8,"")</f>
        <v/>
      </c>
      <c r="C168">
        <f>IFERROR('Financial Tracker'!I8,"")</f>
        <v/>
      </c>
      <c r="D168">
        <f>$B$7</f>
        <v/>
      </c>
    </row>
    <row r="169">
      <c r="A169">
        <f>IFERROR('Projects Master'!B9,"")</f>
        <v/>
      </c>
      <c r="B169">
        <f>IFERROR('Projects Master'!K9,"")</f>
        <v/>
      </c>
      <c r="C169">
        <f>IFERROR('Financial Tracker'!I9,"")</f>
        <v/>
      </c>
      <c r="D169">
        <f>$B$7</f>
        <v/>
      </c>
    </row>
    <row r="170">
      <c r="A170">
        <f>IFERROR('Projects Master'!B10,"")</f>
        <v/>
      </c>
      <c r="B170">
        <f>IFERROR('Projects Master'!K10,"")</f>
        <v/>
      </c>
      <c r="C170">
        <f>IFERROR('Financial Tracker'!I10,"")</f>
        <v/>
      </c>
      <c r="D170">
        <f>$B$7</f>
        <v/>
      </c>
    </row>
    <row r="171">
      <c r="A171">
        <f>IFERROR('Projects Master'!B11,"")</f>
        <v/>
      </c>
      <c r="B171">
        <f>IFERROR('Projects Master'!K11,"")</f>
        <v/>
      </c>
      <c r="C171">
        <f>IFERROR('Financial Tracker'!I11,"")</f>
        <v/>
      </c>
      <c r="D171">
        <f>$B$7</f>
        <v/>
      </c>
    </row>
    <row r="172">
      <c r="A172">
        <f>IFERROR('Projects Master'!B12,"")</f>
        <v/>
      </c>
      <c r="B172">
        <f>IFERROR('Projects Master'!K12,"")</f>
        <v/>
      </c>
      <c r="C172">
        <f>IFERROR('Financial Tracker'!I12,"")</f>
        <v/>
      </c>
      <c r="D172">
        <f>$B$7</f>
        <v/>
      </c>
    </row>
    <row r="173">
      <c r="A173">
        <f>IFERROR('Projects Master'!B13,"")</f>
        <v/>
      </c>
      <c r="B173">
        <f>IFERROR('Projects Master'!K13,"")</f>
        <v/>
      </c>
      <c r="C173">
        <f>IFERROR('Financial Tracker'!I13,"")</f>
        <v/>
      </c>
      <c r="D173">
        <f>$B$7</f>
        <v/>
      </c>
    </row>
    <row r="174">
      <c r="A174">
        <f>IFERROR('Projects Master'!B14,"")</f>
        <v/>
      </c>
      <c r="B174">
        <f>IFERROR('Projects Master'!K14,"")</f>
        <v/>
      </c>
      <c r="C174">
        <f>IFERROR('Financial Tracker'!I14,"")</f>
        <v/>
      </c>
      <c r="D174">
        <f>$B$7</f>
        <v/>
      </c>
    </row>
    <row r="175">
      <c r="A175">
        <f>IFERROR('Projects Master'!B15,"")</f>
        <v/>
      </c>
      <c r="B175">
        <f>IFERROR('Projects Master'!K15,"")</f>
        <v/>
      </c>
      <c r="C175">
        <f>IFERROR('Financial Tracker'!I15,"")</f>
        <v/>
      </c>
      <c r="D175">
        <f>$B$7</f>
        <v/>
      </c>
    </row>
    <row r="176">
      <c r="A176">
        <f>IFERROR('Projects Master'!B16,"")</f>
        <v/>
      </c>
      <c r="B176">
        <f>IFERROR('Projects Master'!K16,"")</f>
        <v/>
      </c>
      <c r="C176">
        <f>IFERROR('Financial Tracker'!I16,"")</f>
        <v/>
      </c>
      <c r="D176">
        <f>$B$7</f>
        <v/>
      </c>
    </row>
    <row r="177">
      <c r="A177">
        <f>IFERROR('Projects Master'!B17,"")</f>
        <v/>
      </c>
      <c r="B177">
        <f>IFERROR('Projects Master'!K17,"")</f>
        <v/>
      </c>
      <c r="C177">
        <f>IFERROR('Financial Tracker'!I17,"")</f>
        <v/>
      </c>
      <c r="D177">
        <f>$B$7</f>
        <v/>
      </c>
    </row>
    <row r="178">
      <c r="A178">
        <f>IFERROR('Projects Master'!B18,"")</f>
        <v/>
      </c>
      <c r="B178">
        <f>IFERROR('Projects Master'!K18,"")</f>
        <v/>
      </c>
      <c r="C178">
        <f>IFERROR('Financial Tracker'!I18,"")</f>
        <v/>
      </c>
      <c r="D178">
        <f>$B$7</f>
        <v/>
      </c>
    </row>
    <row r="179">
      <c r="A179">
        <f>IFERROR('Projects Master'!B19,"")</f>
        <v/>
      </c>
      <c r="B179">
        <f>IFERROR('Projects Master'!K19,"")</f>
        <v/>
      </c>
      <c r="C179">
        <f>IFERROR('Financial Tracker'!I19,"")</f>
        <v/>
      </c>
      <c r="D179">
        <f>$B$7</f>
        <v/>
      </c>
    </row>
    <row r="180">
      <c r="A180">
        <f>IFERROR('Projects Master'!B20,"")</f>
        <v/>
      </c>
      <c r="B180">
        <f>IFERROR('Projects Master'!K20,"")</f>
        <v/>
      </c>
      <c r="C180">
        <f>IFERROR('Financial Tracker'!I20,"")</f>
        <v/>
      </c>
      <c r="D180">
        <f>$B$7</f>
        <v/>
      </c>
    </row>
    <row r="181">
      <c r="A181">
        <f>IFERROR('Projects Master'!B21,"")</f>
        <v/>
      </c>
      <c r="B181">
        <f>IFERROR('Projects Master'!K21,"")</f>
        <v/>
      </c>
      <c r="C181">
        <f>IFERROR('Financial Tracker'!I21,"")</f>
        <v/>
      </c>
      <c r="D181">
        <f>$B$7</f>
        <v/>
      </c>
    </row>
    <row r="182">
      <c r="A182">
        <f>IFERROR('Projects Master'!B22,"")</f>
        <v/>
      </c>
      <c r="B182">
        <f>IFERROR('Projects Master'!K22,"")</f>
        <v/>
      </c>
      <c r="C182">
        <f>IFERROR('Financial Tracker'!I22,"")</f>
        <v/>
      </c>
      <c r="D182">
        <f>$B$7</f>
        <v/>
      </c>
    </row>
    <row r="183">
      <c r="A183">
        <f>IFERROR('Projects Master'!B23,"")</f>
        <v/>
      </c>
      <c r="B183">
        <f>IFERROR('Projects Master'!K23,"")</f>
        <v/>
      </c>
      <c r="C183">
        <f>IFERROR('Financial Tracker'!I23,"")</f>
        <v/>
      </c>
      <c r="D183">
        <f>$B$7</f>
        <v/>
      </c>
    </row>
    <row r="184">
      <c r="A184">
        <f>IFERROR('Projects Master'!B24,"")</f>
        <v/>
      </c>
      <c r="B184">
        <f>IFERROR('Projects Master'!K24,"")</f>
        <v/>
      </c>
      <c r="C184">
        <f>IFERROR('Financial Tracker'!I24,"")</f>
        <v/>
      </c>
      <c r="D184">
        <f>$B$7</f>
        <v/>
      </c>
    </row>
    <row r="185">
      <c r="A185">
        <f>IFERROR('Projects Master'!B25,"")</f>
        <v/>
      </c>
      <c r="B185">
        <f>IFERROR('Projects Master'!K25,"")</f>
        <v/>
      </c>
      <c r="C185">
        <f>IFERROR('Financial Tracker'!I25,"")</f>
        <v/>
      </c>
      <c r="D185">
        <f>$B$7</f>
        <v/>
      </c>
    </row>
    <row r="186">
      <c r="A186">
        <f>IFERROR('Projects Master'!B26,"")</f>
        <v/>
      </c>
      <c r="B186">
        <f>IFERROR('Projects Master'!K26,"")</f>
        <v/>
      </c>
      <c r="C186">
        <f>IFERROR('Financial Tracker'!I26,"")</f>
        <v/>
      </c>
      <c r="D186">
        <f>$B$7</f>
        <v/>
      </c>
    </row>
    <row r="187">
      <c r="A187">
        <f>IFERROR('Projects Master'!B27,"")</f>
        <v/>
      </c>
      <c r="B187">
        <f>IFERROR('Projects Master'!K27,"")</f>
        <v/>
      </c>
      <c r="C187">
        <f>IFERROR('Financial Tracker'!I27,"")</f>
        <v/>
      </c>
      <c r="D187">
        <f>$B$7</f>
        <v/>
      </c>
    </row>
    <row r="188">
      <c r="A188">
        <f>IFERROR('Projects Master'!B28,"")</f>
        <v/>
      </c>
      <c r="B188">
        <f>IFERROR('Projects Master'!K28,"")</f>
        <v/>
      </c>
      <c r="C188">
        <f>IFERROR('Financial Tracker'!I28,"")</f>
        <v/>
      </c>
      <c r="D188">
        <f>$B$7</f>
        <v/>
      </c>
    </row>
    <row r="189">
      <c r="A189">
        <f>IFERROR('Projects Master'!B29,"")</f>
        <v/>
      </c>
      <c r="B189">
        <f>IFERROR('Projects Master'!K29,"")</f>
        <v/>
      </c>
      <c r="C189">
        <f>IFERROR('Financial Tracker'!I29,"")</f>
        <v/>
      </c>
      <c r="D189">
        <f>$B$7</f>
        <v/>
      </c>
    </row>
    <row r="190">
      <c r="A190">
        <f>IFERROR('Projects Master'!B30,"")</f>
        <v/>
      </c>
      <c r="B190">
        <f>IFERROR('Projects Master'!K30,"")</f>
        <v/>
      </c>
      <c r="C190">
        <f>IFERROR('Financial Tracker'!I30,"")</f>
        <v/>
      </c>
      <c r="D190">
        <f>$B$7</f>
        <v/>
      </c>
    </row>
    <row r="191">
      <c r="A191">
        <f>IFERROR('Projects Master'!B31,"")</f>
        <v/>
      </c>
      <c r="B191">
        <f>IFERROR('Projects Master'!K31,"")</f>
        <v/>
      </c>
      <c r="C191">
        <f>IFERROR('Financial Tracker'!I31,"")</f>
        <v/>
      </c>
      <c r="D191">
        <f>$B$7</f>
        <v/>
      </c>
    </row>
    <row r="192">
      <c r="A192">
        <f>IFERROR('Projects Master'!B32,"")</f>
        <v/>
      </c>
      <c r="B192">
        <f>IFERROR('Projects Master'!K32,"")</f>
        <v/>
      </c>
      <c r="C192">
        <f>IFERROR('Financial Tracker'!I32,"")</f>
        <v/>
      </c>
      <c r="D192">
        <f>$B$7</f>
        <v/>
      </c>
    </row>
    <row r="193">
      <c r="A193">
        <f>IFERROR('Projects Master'!B33,"")</f>
        <v/>
      </c>
      <c r="B193">
        <f>IFERROR('Projects Master'!K33,"")</f>
        <v/>
      </c>
      <c r="C193">
        <f>IFERROR('Financial Tracker'!I33,"")</f>
        <v/>
      </c>
      <c r="D193">
        <f>$B$7</f>
        <v/>
      </c>
    </row>
    <row r="194">
      <c r="A194">
        <f>IFERROR('Projects Master'!B34,"")</f>
        <v/>
      </c>
      <c r="B194">
        <f>IFERROR('Projects Master'!K34,"")</f>
        <v/>
      </c>
      <c r="C194">
        <f>IFERROR('Financial Tracker'!I34,"")</f>
        <v/>
      </c>
      <c r="D194">
        <f>$B$7</f>
        <v/>
      </c>
    </row>
    <row r="195">
      <c r="A195">
        <f>IFERROR('Projects Master'!B35,"")</f>
        <v/>
      </c>
      <c r="B195">
        <f>IFERROR('Projects Master'!K35,"")</f>
        <v/>
      </c>
      <c r="C195">
        <f>IFERROR('Financial Tracker'!I35,"")</f>
        <v/>
      </c>
      <c r="D195">
        <f>$B$7</f>
        <v/>
      </c>
    </row>
    <row r="196">
      <c r="A196">
        <f>IFERROR('Projects Master'!B36,"")</f>
        <v/>
      </c>
      <c r="B196">
        <f>IFERROR('Projects Master'!K36,"")</f>
        <v/>
      </c>
      <c r="C196">
        <f>IFERROR('Financial Tracker'!I36,"")</f>
        <v/>
      </c>
      <c r="D196">
        <f>$B$7</f>
        <v/>
      </c>
    </row>
    <row r="197">
      <c r="A197">
        <f>IFERROR('Projects Master'!B37,"")</f>
        <v/>
      </c>
      <c r="B197">
        <f>IFERROR('Projects Master'!K37,"")</f>
        <v/>
      </c>
      <c r="C197">
        <f>IFERROR('Financial Tracker'!I37,"")</f>
        <v/>
      </c>
      <c r="D197">
        <f>$B$7</f>
        <v/>
      </c>
    </row>
    <row r="198">
      <c r="A198">
        <f>IFERROR('Projects Master'!B38,"")</f>
        <v/>
      </c>
      <c r="B198">
        <f>IFERROR('Projects Master'!K38,"")</f>
        <v/>
      </c>
      <c r="C198">
        <f>IFERROR('Financial Tracker'!I38,"")</f>
        <v/>
      </c>
      <c r="D198">
        <f>$B$7</f>
        <v/>
      </c>
    </row>
    <row r="199">
      <c r="A199">
        <f>IFERROR('Projects Master'!B39,"")</f>
        <v/>
      </c>
      <c r="B199">
        <f>IFERROR('Projects Master'!K39,"")</f>
        <v/>
      </c>
      <c r="C199">
        <f>IFERROR('Financial Tracker'!I39,"")</f>
        <v/>
      </c>
      <c r="D199">
        <f>$B$7</f>
        <v/>
      </c>
    </row>
    <row r="200">
      <c r="A200">
        <f>IFERROR('Projects Master'!B40,"")</f>
        <v/>
      </c>
      <c r="B200">
        <f>IFERROR('Projects Master'!K40,"")</f>
        <v/>
      </c>
      <c r="C200">
        <f>IFERROR('Financial Tracker'!I40,"")</f>
        <v/>
      </c>
      <c r="D200">
        <f>$B$7</f>
        <v/>
      </c>
    </row>
    <row r="201">
      <c r="A201">
        <f>IFERROR('Projects Master'!B41,"")</f>
        <v/>
      </c>
      <c r="B201">
        <f>IFERROR('Projects Master'!K41,"")</f>
        <v/>
      </c>
      <c r="C201">
        <f>IFERROR('Financial Tracker'!I41,"")</f>
        <v/>
      </c>
      <c r="D201">
        <f>$B$7</f>
        <v/>
      </c>
    </row>
    <row r="202">
      <c r="A202">
        <f>IFERROR('Projects Master'!B42,"")</f>
        <v/>
      </c>
      <c r="B202">
        <f>IFERROR('Projects Master'!K42,"")</f>
        <v/>
      </c>
      <c r="C202">
        <f>IFERROR('Financial Tracker'!I42,"")</f>
        <v/>
      </c>
      <c r="D202">
        <f>$B$7</f>
        <v/>
      </c>
    </row>
    <row r="203">
      <c r="A203">
        <f>IFERROR('Projects Master'!B43,"")</f>
        <v/>
      </c>
      <c r="B203">
        <f>IFERROR('Projects Master'!K43,"")</f>
        <v/>
      </c>
      <c r="C203">
        <f>IFERROR('Financial Tracker'!I43,"")</f>
        <v/>
      </c>
      <c r="D203">
        <f>$B$7</f>
        <v/>
      </c>
    </row>
    <row r="204">
      <c r="A204">
        <f>IFERROR('Projects Master'!B44,"")</f>
        <v/>
      </c>
      <c r="B204">
        <f>IFERROR('Projects Master'!K44,"")</f>
        <v/>
      </c>
      <c r="C204">
        <f>IFERROR('Financial Tracker'!I44,"")</f>
        <v/>
      </c>
      <c r="D204">
        <f>$B$7</f>
        <v/>
      </c>
    </row>
    <row r="205">
      <c r="A205">
        <f>IFERROR('Projects Master'!B45,"")</f>
        <v/>
      </c>
      <c r="B205">
        <f>IFERROR('Projects Master'!K45,"")</f>
        <v/>
      </c>
      <c r="C205">
        <f>IFERROR('Financial Tracker'!I45,"")</f>
        <v/>
      </c>
      <c r="D205">
        <f>$B$7</f>
        <v/>
      </c>
    </row>
    <row r="206">
      <c r="A206">
        <f>IFERROR('Projects Master'!B46,"")</f>
        <v/>
      </c>
      <c r="B206">
        <f>IFERROR('Projects Master'!K46,"")</f>
        <v/>
      </c>
      <c r="C206">
        <f>IFERROR('Financial Tracker'!I46,"")</f>
        <v/>
      </c>
      <c r="D206">
        <f>$B$7</f>
        <v/>
      </c>
    </row>
    <row r="207">
      <c r="A207">
        <f>IFERROR('Projects Master'!B47,"")</f>
        <v/>
      </c>
      <c r="B207">
        <f>IFERROR('Projects Master'!K47,"")</f>
        <v/>
      </c>
      <c r="C207">
        <f>IFERROR('Financial Tracker'!I47,"")</f>
        <v/>
      </c>
      <c r="D207">
        <f>$B$7</f>
        <v/>
      </c>
    </row>
    <row r="208">
      <c r="A208">
        <f>IFERROR('Projects Master'!B48,"")</f>
        <v/>
      </c>
      <c r="B208">
        <f>IFERROR('Projects Master'!K48,"")</f>
        <v/>
      </c>
      <c r="C208">
        <f>IFERROR('Financial Tracker'!I48,"")</f>
        <v/>
      </c>
      <c r="D208">
        <f>$B$7</f>
        <v/>
      </c>
    </row>
    <row r="209">
      <c r="A209">
        <f>IFERROR('Projects Master'!B49,"")</f>
        <v/>
      </c>
      <c r="B209">
        <f>IFERROR('Projects Master'!K49,"")</f>
        <v/>
      </c>
      <c r="C209">
        <f>IFERROR('Financial Tracker'!I49,"")</f>
        <v/>
      </c>
      <c r="D209">
        <f>$B$7</f>
        <v/>
      </c>
    </row>
    <row r="210">
      <c r="A210">
        <f>IFERROR('Projects Master'!B50,"")</f>
        <v/>
      </c>
      <c r="B210">
        <f>IFERROR('Projects Master'!K50,"")</f>
        <v/>
      </c>
      <c r="C210">
        <f>IFERROR('Financial Tracker'!I50,"")</f>
        <v/>
      </c>
      <c r="D210">
        <f>$B$7</f>
        <v/>
      </c>
    </row>
    <row r="211">
      <c r="A211">
        <f>IFERROR('Projects Master'!B51,"")</f>
        <v/>
      </c>
      <c r="B211">
        <f>IFERROR('Projects Master'!K51,"")</f>
        <v/>
      </c>
      <c r="C211">
        <f>IFERROR('Financial Tracker'!I51,"")</f>
        <v/>
      </c>
      <c r="D211">
        <f>$B$7</f>
        <v/>
      </c>
    </row>
    <row r="212">
      <c r="A212">
        <f>IFERROR('Projects Master'!B52,"")</f>
        <v/>
      </c>
      <c r="B212">
        <f>IFERROR('Projects Master'!K52,"")</f>
        <v/>
      </c>
      <c r="C212">
        <f>IFERROR('Financial Tracker'!I52,"")</f>
        <v/>
      </c>
      <c r="D212">
        <f>$B$7</f>
        <v/>
      </c>
    </row>
    <row r="213">
      <c r="A213">
        <f>IFERROR('Projects Master'!B53,"")</f>
        <v/>
      </c>
      <c r="B213">
        <f>IFERROR('Projects Master'!K53,"")</f>
        <v/>
      </c>
      <c r="C213">
        <f>IFERROR('Financial Tracker'!I53,"")</f>
        <v/>
      </c>
      <c r="D213">
        <f>$B$7</f>
        <v/>
      </c>
    </row>
    <row r="214">
      <c r="A214">
        <f>IFERROR('Projects Master'!B54,"")</f>
        <v/>
      </c>
      <c r="B214">
        <f>IFERROR('Projects Master'!K54,"")</f>
        <v/>
      </c>
      <c r="C214">
        <f>IFERROR('Financial Tracker'!I54,"")</f>
        <v/>
      </c>
      <c r="D214">
        <f>$B$7</f>
        <v/>
      </c>
    </row>
    <row r="215">
      <c r="A215">
        <f>IFERROR('Projects Master'!B55,"")</f>
        <v/>
      </c>
      <c r="B215">
        <f>IFERROR('Projects Master'!K55,"")</f>
        <v/>
      </c>
      <c r="C215">
        <f>IFERROR('Financial Tracker'!I55,"")</f>
        <v/>
      </c>
      <c r="D215">
        <f>$B$7</f>
        <v/>
      </c>
    </row>
    <row r="216">
      <c r="A216">
        <f>IFERROR('Projects Master'!B56,"")</f>
        <v/>
      </c>
      <c r="B216">
        <f>IFERROR('Projects Master'!K56,"")</f>
        <v/>
      </c>
      <c r="C216">
        <f>IFERROR('Financial Tracker'!I56,"")</f>
        <v/>
      </c>
      <c r="D216">
        <f>$B$7</f>
        <v/>
      </c>
    </row>
    <row r="217">
      <c r="A217">
        <f>IFERROR('Projects Master'!B57,"")</f>
        <v/>
      </c>
      <c r="B217">
        <f>IFERROR('Projects Master'!K57,"")</f>
        <v/>
      </c>
      <c r="C217">
        <f>IFERROR('Financial Tracker'!I57,"")</f>
        <v/>
      </c>
      <c r="D217">
        <f>$B$7</f>
        <v/>
      </c>
    </row>
    <row r="218">
      <c r="A218">
        <f>IFERROR('Projects Master'!B58,"")</f>
        <v/>
      </c>
      <c r="B218">
        <f>IFERROR('Projects Master'!K58,"")</f>
        <v/>
      </c>
      <c r="C218">
        <f>IFERROR('Financial Tracker'!I58,"")</f>
        <v/>
      </c>
      <c r="D218">
        <f>$B$7</f>
        <v/>
      </c>
    </row>
    <row r="219">
      <c r="A219">
        <f>IFERROR('Projects Master'!B59,"")</f>
        <v/>
      </c>
      <c r="B219">
        <f>IFERROR('Projects Master'!K59,"")</f>
        <v/>
      </c>
      <c r="C219">
        <f>IFERROR('Financial Tracker'!I59,"")</f>
        <v/>
      </c>
      <c r="D219">
        <f>$B$7</f>
        <v/>
      </c>
    </row>
    <row r="220">
      <c r="A220">
        <f>IFERROR('Projects Master'!B60,"")</f>
        <v/>
      </c>
      <c r="B220">
        <f>IFERROR('Projects Master'!K60,"")</f>
        <v/>
      </c>
      <c r="C220">
        <f>IFERROR('Financial Tracker'!I60,"")</f>
        <v/>
      </c>
      <c r="D220">
        <f>$B$7</f>
        <v/>
      </c>
    </row>
    <row r="221">
      <c r="A221">
        <f>IFERROR('Projects Master'!B61,"")</f>
        <v/>
      </c>
      <c r="B221">
        <f>IFERROR('Projects Master'!K61,"")</f>
        <v/>
      </c>
      <c r="C221">
        <f>IFERROR('Financial Tracker'!I61,"")</f>
        <v/>
      </c>
      <c r="D221">
        <f>$B$7</f>
        <v/>
      </c>
    </row>
    <row r="222">
      <c r="A222">
        <f>IFERROR('Projects Master'!B62,"")</f>
        <v/>
      </c>
      <c r="B222">
        <f>IFERROR('Projects Master'!K62,"")</f>
        <v/>
      </c>
      <c r="C222">
        <f>IFERROR('Financial Tracker'!I62,"")</f>
        <v/>
      </c>
      <c r="D222">
        <f>$B$7</f>
        <v/>
      </c>
    </row>
    <row r="223">
      <c r="A223">
        <f>IFERROR('Projects Master'!B63,"")</f>
        <v/>
      </c>
      <c r="B223">
        <f>IFERROR('Projects Master'!K63,"")</f>
        <v/>
      </c>
      <c r="C223">
        <f>IFERROR('Financial Tracker'!I63,"")</f>
        <v/>
      </c>
      <c r="D223">
        <f>$B$7</f>
        <v/>
      </c>
    </row>
    <row r="224">
      <c r="A224">
        <f>IFERROR('Projects Master'!B64,"")</f>
        <v/>
      </c>
      <c r="B224">
        <f>IFERROR('Projects Master'!K64,"")</f>
        <v/>
      </c>
      <c r="C224">
        <f>IFERROR('Financial Tracker'!I64,"")</f>
        <v/>
      </c>
      <c r="D224">
        <f>$B$7</f>
        <v/>
      </c>
    </row>
    <row r="225">
      <c r="A225">
        <f>IFERROR('Projects Master'!B65,"")</f>
        <v/>
      </c>
      <c r="B225">
        <f>IFERROR('Projects Master'!K65,"")</f>
        <v/>
      </c>
      <c r="C225">
        <f>IFERROR('Financial Tracker'!I65,"")</f>
        <v/>
      </c>
      <c r="D225">
        <f>$B$7</f>
        <v/>
      </c>
    </row>
    <row r="226">
      <c r="A226">
        <f>IFERROR('Projects Master'!B66,"")</f>
        <v/>
      </c>
      <c r="B226">
        <f>IFERROR('Projects Master'!K66,"")</f>
        <v/>
      </c>
      <c r="C226">
        <f>IFERROR('Financial Tracker'!I66,"")</f>
        <v/>
      </c>
      <c r="D226">
        <f>$B$7</f>
        <v/>
      </c>
    </row>
    <row r="227">
      <c r="A227">
        <f>IFERROR('Projects Master'!B67,"")</f>
        <v/>
      </c>
      <c r="B227">
        <f>IFERROR('Projects Master'!K67,"")</f>
        <v/>
      </c>
      <c r="C227">
        <f>IFERROR('Financial Tracker'!I67,"")</f>
        <v/>
      </c>
      <c r="D227">
        <f>$B$7</f>
        <v/>
      </c>
    </row>
    <row r="228">
      <c r="A228">
        <f>IFERROR('Projects Master'!B68,"")</f>
        <v/>
      </c>
      <c r="B228">
        <f>IFERROR('Projects Master'!K68,"")</f>
        <v/>
      </c>
      <c r="C228">
        <f>IFERROR('Financial Tracker'!I68,"")</f>
        <v/>
      </c>
      <c r="D228">
        <f>$B$7</f>
        <v/>
      </c>
    </row>
    <row r="229">
      <c r="A229">
        <f>IFERROR('Projects Master'!B69,"")</f>
        <v/>
      </c>
      <c r="B229">
        <f>IFERROR('Projects Master'!K69,"")</f>
        <v/>
      </c>
      <c r="C229">
        <f>IFERROR('Financial Tracker'!I69,"")</f>
        <v/>
      </c>
      <c r="D229">
        <f>$B$7</f>
        <v/>
      </c>
    </row>
    <row r="230">
      <c r="A230">
        <f>IFERROR('Projects Master'!B70,"")</f>
        <v/>
      </c>
      <c r="B230">
        <f>IFERROR('Projects Master'!K70,"")</f>
        <v/>
      </c>
      <c r="C230">
        <f>IFERROR('Financial Tracker'!I70,"")</f>
        <v/>
      </c>
      <c r="D230">
        <f>$B$7</f>
        <v/>
      </c>
    </row>
    <row r="231">
      <c r="A231">
        <f>IFERROR('Projects Master'!B71,"")</f>
        <v/>
      </c>
      <c r="B231">
        <f>IFERROR('Projects Master'!K71,"")</f>
        <v/>
      </c>
      <c r="C231">
        <f>IFERROR('Financial Tracker'!I71,"")</f>
        <v/>
      </c>
      <c r="D231">
        <f>$B$7</f>
        <v/>
      </c>
    </row>
    <row r="232">
      <c r="A232">
        <f>IFERROR('Projects Master'!B72,"")</f>
        <v/>
      </c>
      <c r="B232">
        <f>IFERROR('Projects Master'!K72,"")</f>
        <v/>
      </c>
      <c r="C232">
        <f>IFERROR('Financial Tracker'!I72,"")</f>
        <v/>
      </c>
      <c r="D232">
        <f>$B$7</f>
        <v/>
      </c>
    </row>
    <row r="233">
      <c r="A233">
        <f>IFERROR('Projects Master'!B73,"")</f>
        <v/>
      </c>
      <c r="B233">
        <f>IFERROR('Projects Master'!K73,"")</f>
        <v/>
      </c>
      <c r="C233">
        <f>IFERROR('Financial Tracker'!I73,"")</f>
        <v/>
      </c>
      <c r="D233">
        <f>$B$7</f>
        <v/>
      </c>
    </row>
    <row r="234">
      <c r="A234">
        <f>IFERROR('Projects Master'!B74,"")</f>
        <v/>
      </c>
      <c r="B234">
        <f>IFERROR('Projects Master'!K74,"")</f>
        <v/>
      </c>
      <c r="C234">
        <f>IFERROR('Financial Tracker'!I74,"")</f>
        <v/>
      </c>
      <c r="D234">
        <f>$B$7</f>
        <v/>
      </c>
    </row>
    <row r="235">
      <c r="A235">
        <f>IFERROR('Projects Master'!B75,"")</f>
        <v/>
      </c>
      <c r="B235">
        <f>IFERROR('Projects Master'!K75,"")</f>
        <v/>
      </c>
      <c r="C235">
        <f>IFERROR('Financial Tracker'!I75,"")</f>
        <v/>
      </c>
      <c r="D235">
        <f>$B$7</f>
        <v/>
      </c>
    </row>
    <row r="236">
      <c r="A236">
        <f>IFERROR('Projects Master'!B76,"")</f>
        <v/>
      </c>
      <c r="B236">
        <f>IFERROR('Projects Master'!K76,"")</f>
        <v/>
      </c>
      <c r="C236">
        <f>IFERROR('Financial Tracker'!I76,"")</f>
        <v/>
      </c>
      <c r="D236">
        <f>$B$7</f>
        <v/>
      </c>
    </row>
    <row r="237">
      <c r="A237">
        <f>IFERROR('Projects Master'!B77,"")</f>
        <v/>
      </c>
      <c r="B237">
        <f>IFERROR('Projects Master'!K77,"")</f>
        <v/>
      </c>
      <c r="C237">
        <f>IFERROR('Financial Tracker'!I77,"")</f>
        <v/>
      </c>
      <c r="D237">
        <f>$B$7</f>
        <v/>
      </c>
    </row>
    <row r="238">
      <c r="A238">
        <f>IFERROR('Projects Master'!B78,"")</f>
        <v/>
      </c>
      <c r="B238">
        <f>IFERROR('Projects Master'!K78,"")</f>
        <v/>
      </c>
      <c r="C238">
        <f>IFERROR('Financial Tracker'!I78,"")</f>
        <v/>
      </c>
      <c r="D238">
        <f>$B$7</f>
        <v/>
      </c>
    </row>
    <row r="239">
      <c r="A239">
        <f>IFERROR('Projects Master'!B79,"")</f>
        <v/>
      </c>
      <c r="B239">
        <f>IFERROR('Projects Master'!K79,"")</f>
        <v/>
      </c>
      <c r="C239">
        <f>IFERROR('Financial Tracker'!I79,"")</f>
        <v/>
      </c>
      <c r="D239">
        <f>$B$7</f>
        <v/>
      </c>
    </row>
    <row r="240">
      <c r="A240">
        <f>IFERROR('Projects Master'!B80,"")</f>
        <v/>
      </c>
      <c r="B240">
        <f>IFERROR('Projects Master'!K80,"")</f>
        <v/>
      </c>
      <c r="C240">
        <f>IFERROR('Financial Tracker'!I80,"")</f>
        <v/>
      </c>
      <c r="D240">
        <f>$B$7</f>
        <v/>
      </c>
    </row>
    <row r="241">
      <c r="A241">
        <f>IFERROR('Projects Master'!B81,"")</f>
        <v/>
      </c>
      <c r="B241">
        <f>IFERROR('Projects Master'!K81,"")</f>
        <v/>
      </c>
      <c r="C241">
        <f>IFERROR('Financial Tracker'!I81,"")</f>
        <v/>
      </c>
      <c r="D241">
        <f>$B$7</f>
        <v/>
      </c>
    </row>
    <row r="242">
      <c r="A242">
        <f>IFERROR('Projects Master'!B82,"")</f>
        <v/>
      </c>
      <c r="B242">
        <f>IFERROR('Projects Master'!K82,"")</f>
        <v/>
      </c>
      <c r="C242">
        <f>IFERROR('Financial Tracker'!I82,"")</f>
        <v/>
      </c>
      <c r="D242">
        <f>$B$7</f>
        <v/>
      </c>
    </row>
    <row r="243">
      <c r="A243">
        <f>IFERROR('Projects Master'!B83,"")</f>
        <v/>
      </c>
      <c r="B243">
        <f>IFERROR('Projects Master'!K83,"")</f>
        <v/>
      </c>
      <c r="C243">
        <f>IFERROR('Financial Tracker'!I83,"")</f>
        <v/>
      </c>
      <c r="D243">
        <f>$B$7</f>
        <v/>
      </c>
    </row>
    <row r="244">
      <c r="A244">
        <f>IFERROR('Projects Master'!B84,"")</f>
        <v/>
      </c>
      <c r="B244">
        <f>IFERROR('Projects Master'!K84,"")</f>
        <v/>
      </c>
      <c r="C244">
        <f>IFERROR('Financial Tracker'!I84,"")</f>
        <v/>
      </c>
      <c r="D244">
        <f>$B$7</f>
        <v/>
      </c>
    </row>
    <row r="245">
      <c r="A245">
        <f>IFERROR('Projects Master'!B85,"")</f>
        <v/>
      </c>
      <c r="B245">
        <f>IFERROR('Projects Master'!K85,"")</f>
        <v/>
      </c>
      <c r="C245">
        <f>IFERROR('Financial Tracker'!I85,"")</f>
        <v/>
      </c>
      <c r="D245">
        <f>$B$7</f>
        <v/>
      </c>
    </row>
    <row r="246">
      <c r="A246">
        <f>IFERROR('Projects Master'!B86,"")</f>
        <v/>
      </c>
      <c r="B246">
        <f>IFERROR('Projects Master'!K86,"")</f>
        <v/>
      </c>
      <c r="C246">
        <f>IFERROR('Financial Tracker'!I86,"")</f>
        <v/>
      </c>
      <c r="D246">
        <f>$B$7</f>
        <v/>
      </c>
    </row>
    <row r="247">
      <c r="A247">
        <f>IFERROR('Projects Master'!B87,"")</f>
        <v/>
      </c>
      <c r="B247">
        <f>IFERROR('Projects Master'!K87,"")</f>
        <v/>
      </c>
      <c r="C247">
        <f>IFERROR('Financial Tracker'!I87,"")</f>
        <v/>
      </c>
      <c r="D247">
        <f>$B$7</f>
        <v/>
      </c>
    </row>
    <row r="248">
      <c r="A248">
        <f>IFERROR('Projects Master'!B88,"")</f>
        <v/>
      </c>
      <c r="B248">
        <f>IFERROR('Projects Master'!K88,"")</f>
        <v/>
      </c>
      <c r="C248">
        <f>IFERROR('Financial Tracker'!I88,"")</f>
        <v/>
      </c>
      <c r="D248">
        <f>$B$7</f>
        <v/>
      </c>
    </row>
    <row r="249">
      <c r="A249">
        <f>IFERROR('Projects Master'!B89,"")</f>
        <v/>
      </c>
      <c r="B249">
        <f>IFERROR('Projects Master'!K89,"")</f>
        <v/>
      </c>
      <c r="C249">
        <f>IFERROR('Financial Tracker'!I89,"")</f>
        <v/>
      </c>
      <c r="D249">
        <f>$B$7</f>
        <v/>
      </c>
    </row>
    <row r="250">
      <c r="A250">
        <f>IFERROR('Projects Master'!B90,"")</f>
        <v/>
      </c>
      <c r="B250">
        <f>IFERROR('Projects Master'!K90,"")</f>
        <v/>
      </c>
      <c r="C250">
        <f>IFERROR('Financial Tracker'!I90,"")</f>
        <v/>
      </c>
      <c r="D250">
        <f>$B$7</f>
        <v/>
      </c>
    </row>
    <row r="251">
      <c r="A251">
        <f>IFERROR('Projects Master'!B91,"")</f>
        <v/>
      </c>
      <c r="B251">
        <f>IFERROR('Projects Master'!K91,"")</f>
        <v/>
      </c>
      <c r="C251">
        <f>IFERROR('Financial Tracker'!I91,"")</f>
        <v/>
      </c>
      <c r="D251">
        <f>$B$7</f>
        <v/>
      </c>
    </row>
    <row r="252">
      <c r="A252">
        <f>IFERROR('Projects Master'!B92,"")</f>
        <v/>
      </c>
      <c r="B252">
        <f>IFERROR('Projects Master'!K92,"")</f>
        <v/>
      </c>
      <c r="C252">
        <f>IFERROR('Financial Tracker'!I92,"")</f>
        <v/>
      </c>
      <c r="D252">
        <f>$B$7</f>
        <v/>
      </c>
    </row>
    <row r="253">
      <c r="A253">
        <f>IFERROR('Projects Master'!B93,"")</f>
        <v/>
      </c>
      <c r="B253">
        <f>IFERROR('Projects Master'!K93,"")</f>
        <v/>
      </c>
      <c r="C253">
        <f>IFERROR('Financial Tracker'!I93,"")</f>
        <v/>
      </c>
      <c r="D253">
        <f>$B$7</f>
        <v/>
      </c>
    </row>
    <row r="254">
      <c r="A254">
        <f>IFERROR('Projects Master'!B94,"")</f>
        <v/>
      </c>
      <c r="B254">
        <f>IFERROR('Projects Master'!K94,"")</f>
        <v/>
      </c>
      <c r="C254">
        <f>IFERROR('Financial Tracker'!I94,"")</f>
        <v/>
      </c>
      <c r="D254">
        <f>$B$7</f>
        <v/>
      </c>
    </row>
    <row r="255">
      <c r="A255">
        <f>IFERROR('Projects Master'!B95,"")</f>
        <v/>
      </c>
      <c r="B255">
        <f>IFERROR('Projects Master'!K95,"")</f>
        <v/>
      </c>
      <c r="C255">
        <f>IFERROR('Financial Tracker'!I95,"")</f>
        <v/>
      </c>
      <c r="D255">
        <f>$B$7</f>
        <v/>
      </c>
    </row>
    <row r="256">
      <c r="A256">
        <f>IFERROR('Projects Master'!B96,"")</f>
        <v/>
      </c>
      <c r="B256">
        <f>IFERROR('Projects Master'!K96,"")</f>
        <v/>
      </c>
      <c r="C256">
        <f>IFERROR('Financial Tracker'!I96,"")</f>
        <v/>
      </c>
      <c r="D256">
        <f>$B$7</f>
        <v/>
      </c>
    </row>
    <row r="257">
      <c r="A257">
        <f>IFERROR('Projects Master'!B97,"")</f>
        <v/>
      </c>
      <c r="B257">
        <f>IFERROR('Projects Master'!K97,"")</f>
        <v/>
      </c>
      <c r="C257">
        <f>IFERROR('Financial Tracker'!I97,"")</f>
        <v/>
      </c>
      <c r="D257">
        <f>$B$7</f>
        <v/>
      </c>
    </row>
    <row r="258">
      <c r="A258">
        <f>IFERROR('Projects Master'!B98,"")</f>
        <v/>
      </c>
      <c r="B258">
        <f>IFERROR('Projects Master'!K98,"")</f>
        <v/>
      </c>
      <c r="C258">
        <f>IFERROR('Financial Tracker'!I98,"")</f>
        <v/>
      </c>
      <c r="D258">
        <f>$B$7</f>
        <v/>
      </c>
    </row>
    <row r="259">
      <c r="A259">
        <f>IFERROR('Projects Master'!B99,"")</f>
        <v/>
      </c>
      <c r="B259">
        <f>IFERROR('Projects Master'!K99,"")</f>
        <v/>
      </c>
      <c r="C259">
        <f>IFERROR('Financial Tracker'!I99,"")</f>
        <v/>
      </c>
      <c r="D259">
        <f>$B$7</f>
        <v/>
      </c>
    </row>
    <row r="260">
      <c r="A260">
        <f>IFERROR('Projects Master'!B100,"")</f>
        <v/>
      </c>
      <c r="B260">
        <f>IFERROR('Projects Master'!K100,"")</f>
        <v/>
      </c>
      <c r="C260">
        <f>IFERROR('Financial Tracker'!I100,"")</f>
        <v/>
      </c>
      <c r="D260">
        <f>$B$7</f>
        <v/>
      </c>
    </row>
    <row r="261">
      <c r="A261">
        <f>IFERROR('Projects Master'!B101,"")</f>
        <v/>
      </c>
      <c r="B261">
        <f>IFERROR('Projects Master'!K101,"")</f>
        <v/>
      </c>
      <c r="C261">
        <f>IFERROR('Financial Tracker'!I101,"")</f>
        <v/>
      </c>
      <c r="D261">
        <f>$B$7</f>
        <v/>
      </c>
    </row>
    <row r="262">
      <c r="A262">
        <f>IFERROR('Projects Master'!B102,"")</f>
        <v/>
      </c>
      <c r="B262">
        <f>IFERROR('Projects Master'!K102,"")</f>
        <v/>
      </c>
      <c r="C262">
        <f>IFERROR('Financial Tracker'!I102,"")</f>
        <v/>
      </c>
      <c r="D262">
        <f>$B$7</f>
        <v/>
      </c>
    </row>
    <row r="263">
      <c r="A263">
        <f>IFERROR('Projects Master'!B103,"")</f>
        <v/>
      </c>
      <c r="B263">
        <f>IFERROR('Projects Master'!K103,"")</f>
        <v/>
      </c>
      <c r="C263">
        <f>IFERROR('Financial Tracker'!I103,"")</f>
        <v/>
      </c>
      <c r="D263">
        <f>$B$7</f>
        <v/>
      </c>
    </row>
    <row r="264">
      <c r="A264">
        <f>IFERROR('Projects Master'!B104,"")</f>
        <v/>
      </c>
      <c r="B264">
        <f>IFERROR('Projects Master'!K104,"")</f>
        <v/>
      </c>
      <c r="C264">
        <f>IFERROR('Financial Tracker'!I104,"")</f>
        <v/>
      </c>
      <c r="D264">
        <f>$B$7</f>
        <v/>
      </c>
    </row>
    <row r="265">
      <c r="A265">
        <f>IFERROR('Projects Master'!B105,"")</f>
        <v/>
      </c>
      <c r="B265">
        <f>IFERROR('Projects Master'!K105,"")</f>
        <v/>
      </c>
      <c r="C265">
        <f>IFERROR('Financial Tracker'!I105,"")</f>
        <v/>
      </c>
      <c r="D265">
        <f>$B$7</f>
        <v/>
      </c>
    </row>
    <row r="266">
      <c r="A266">
        <f>IFERROR('Projects Master'!B106,"")</f>
        <v/>
      </c>
      <c r="B266">
        <f>IFERROR('Projects Master'!K106,"")</f>
        <v/>
      </c>
      <c r="C266">
        <f>IFERROR('Financial Tracker'!I106,"")</f>
        <v/>
      </c>
      <c r="D266">
        <f>$B$7</f>
        <v/>
      </c>
    </row>
    <row r="267">
      <c r="A267">
        <f>IFERROR('Projects Master'!B107,"")</f>
        <v/>
      </c>
      <c r="B267">
        <f>IFERROR('Projects Master'!K107,"")</f>
        <v/>
      </c>
      <c r="C267">
        <f>IFERROR('Financial Tracker'!I107,"")</f>
        <v/>
      </c>
      <c r="D267">
        <f>$B$7</f>
        <v/>
      </c>
    </row>
    <row r="268">
      <c r="A268">
        <f>IFERROR('Projects Master'!B108,"")</f>
        <v/>
      </c>
      <c r="B268">
        <f>IFERROR('Projects Master'!K108,"")</f>
        <v/>
      </c>
      <c r="C268">
        <f>IFERROR('Financial Tracker'!I108,"")</f>
        <v/>
      </c>
      <c r="D268">
        <f>$B$7</f>
        <v/>
      </c>
    </row>
    <row r="269">
      <c r="A269">
        <f>IFERROR('Projects Master'!B109,"")</f>
        <v/>
      </c>
      <c r="B269">
        <f>IFERROR('Projects Master'!K109,"")</f>
        <v/>
      </c>
      <c r="C269">
        <f>IFERROR('Financial Tracker'!I109,"")</f>
        <v/>
      </c>
      <c r="D269">
        <f>$B$7</f>
        <v/>
      </c>
    </row>
    <row r="270">
      <c r="A270">
        <f>IFERROR('Projects Master'!B110,"")</f>
        <v/>
      </c>
      <c r="B270">
        <f>IFERROR('Projects Master'!K110,"")</f>
        <v/>
      </c>
      <c r="C270">
        <f>IFERROR('Financial Tracker'!I110,"")</f>
        <v/>
      </c>
      <c r="D270">
        <f>$B$7</f>
        <v/>
      </c>
    </row>
    <row r="271">
      <c r="A271">
        <f>IFERROR('Projects Master'!B111,"")</f>
        <v/>
      </c>
      <c r="B271">
        <f>IFERROR('Projects Master'!K111,"")</f>
        <v/>
      </c>
      <c r="C271">
        <f>IFERROR('Financial Tracker'!I111,"")</f>
        <v/>
      </c>
      <c r="D271">
        <f>$B$7</f>
        <v/>
      </c>
    </row>
    <row r="272">
      <c r="A272">
        <f>IFERROR('Projects Master'!B112,"")</f>
        <v/>
      </c>
      <c r="B272">
        <f>IFERROR('Projects Master'!K112,"")</f>
        <v/>
      </c>
      <c r="C272">
        <f>IFERROR('Financial Tracker'!I112,"")</f>
        <v/>
      </c>
      <c r="D272">
        <f>$B$7</f>
        <v/>
      </c>
    </row>
    <row r="273">
      <c r="A273">
        <f>IFERROR('Projects Master'!B113,"")</f>
        <v/>
      </c>
      <c r="B273">
        <f>IFERROR('Projects Master'!K113,"")</f>
        <v/>
      </c>
      <c r="C273">
        <f>IFERROR('Financial Tracker'!I113,"")</f>
        <v/>
      </c>
      <c r="D273">
        <f>$B$7</f>
        <v/>
      </c>
    </row>
    <row r="274">
      <c r="A274">
        <f>IFERROR('Projects Master'!B114,"")</f>
        <v/>
      </c>
      <c r="B274">
        <f>IFERROR('Projects Master'!K114,"")</f>
        <v/>
      </c>
      <c r="C274">
        <f>IFERROR('Financial Tracker'!I114,"")</f>
        <v/>
      </c>
      <c r="D274">
        <f>$B$7</f>
        <v/>
      </c>
    </row>
    <row r="275">
      <c r="A275">
        <f>IFERROR('Projects Master'!B115,"")</f>
        <v/>
      </c>
      <c r="B275">
        <f>IFERROR('Projects Master'!K115,"")</f>
        <v/>
      </c>
      <c r="C275">
        <f>IFERROR('Financial Tracker'!I115,"")</f>
        <v/>
      </c>
      <c r="D275">
        <f>$B$7</f>
        <v/>
      </c>
    </row>
    <row r="276">
      <c r="A276">
        <f>IFERROR('Projects Master'!B116,"")</f>
        <v/>
      </c>
      <c r="B276">
        <f>IFERROR('Projects Master'!K116,"")</f>
        <v/>
      </c>
      <c r="C276">
        <f>IFERROR('Financial Tracker'!I116,"")</f>
        <v/>
      </c>
      <c r="D276">
        <f>$B$7</f>
        <v/>
      </c>
    </row>
    <row r="277">
      <c r="A277">
        <f>IFERROR('Projects Master'!B117,"")</f>
        <v/>
      </c>
      <c r="B277">
        <f>IFERROR('Projects Master'!K117,"")</f>
        <v/>
      </c>
      <c r="C277">
        <f>IFERROR('Financial Tracker'!I117,"")</f>
        <v/>
      </c>
      <c r="D277">
        <f>$B$7</f>
        <v/>
      </c>
    </row>
    <row r="278">
      <c r="A278">
        <f>IFERROR('Projects Master'!B118,"")</f>
        <v/>
      </c>
      <c r="B278">
        <f>IFERROR('Projects Master'!K118,"")</f>
        <v/>
      </c>
      <c r="C278">
        <f>IFERROR('Financial Tracker'!I118,"")</f>
        <v/>
      </c>
      <c r="D278">
        <f>$B$7</f>
        <v/>
      </c>
    </row>
    <row r="279">
      <c r="A279">
        <f>IFERROR('Projects Master'!B119,"")</f>
        <v/>
      </c>
      <c r="B279">
        <f>IFERROR('Projects Master'!K119,"")</f>
        <v/>
      </c>
      <c r="C279">
        <f>IFERROR('Financial Tracker'!I119,"")</f>
        <v/>
      </c>
      <c r="D279">
        <f>$B$7</f>
        <v/>
      </c>
    </row>
    <row r="280">
      <c r="A280">
        <f>IFERROR('Projects Master'!B120,"")</f>
        <v/>
      </c>
      <c r="B280">
        <f>IFERROR('Projects Master'!K120,"")</f>
        <v/>
      </c>
      <c r="C280">
        <f>IFERROR('Financial Tracker'!I120,"")</f>
        <v/>
      </c>
      <c r="D280">
        <f>$B$7</f>
        <v/>
      </c>
    </row>
    <row r="281">
      <c r="A281">
        <f>IFERROR('Projects Master'!B121,"")</f>
        <v/>
      </c>
      <c r="B281">
        <f>IFERROR('Projects Master'!K121,"")</f>
        <v/>
      </c>
      <c r="C281">
        <f>IFERROR('Financial Tracker'!I121,"")</f>
        <v/>
      </c>
      <c r="D281">
        <f>$B$7</f>
        <v/>
      </c>
    </row>
    <row r="282">
      <c r="A282">
        <f>IFERROR('Projects Master'!B122,"")</f>
        <v/>
      </c>
      <c r="B282">
        <f>IFERROR('Projects Master'!K122,"")</f>
        <v/>
      </c>
      <c r="C282">
        <f>IFERROR('Financial Tracker'!I122,"")</f>
        <v/>
      </c>
      <c r="D282">
        <f>$B$7</f>
        <v/>
      </c>
    </row>
    <row r="283">
      <c r="A283">
        <f>IFERROR('Projects Master'!B123,"")</f>
        <v/>
      </c>
      <c r="B283">
        <f>IFERROR('Projects Master'!K123,"")</f>
        <v/>
      </c>
      <c r="C283">
        <f>IFERROR('Financial Tracker'!I123,"")</f>
        <v/>
      </c>
      <c r="D283">
        <f>$B$7</f>
        <v/>
      </c>
    </row>
    <row r="284">
      <c r="A284">
        <f>IFERROR('Projects Master'!B124,"")</f>
        <v/>
      </c>
      <c r="B284">
        <f>IFERROR('Projects Master'!K124,"")</f>
        <v/>
      </c>
      <c r="C284">
        <f>IFERROR('Financial Tracker'!I124,"")</f>
        <v/>
      </c>
      <c r="D284">
        <f>$B$7</f>
        <v/>
      </c>
    </row>
    <row r="285">
      <c r="A285">
        <f>IFERROR('Projects Master'!B125,"")</f>
        <v/>
      </c>
      <c r="B285">
        <f>IFERROR('Projects Master'!K125,"")</f>
        <v/>
      </c>
      <c r="C285">
        <f>IFERROR('Financial Tracker'!I125,"")</f>
        <v/>
      </c>
      <c r="D285">
        <f>$B$7</f>
        <v/>
      </c>
    </row>
    <row r="286">
      <c r="A286">
        <f>IFERROR('Projects Master'!B126,"")</f>
        <v/>
      </c>
      <c r="B286">
        <f>IFERROR('Projects Master'!K126,"")</f>
        <v/>
      </c>
      <c r="C286">
        <f>IFERROR('Financial Tracker'!I126,"")</f>
        <v/>
      </c>
      <c r="D286">
        <f>$B$7</f>
        <v/>
      </c>
    </row>
    <row r="287">
      <c r="A287">
        <f>IFERROR('Projects Master'!B127,"")</f>
        <v/>
      </c>
      <c r="B287">
        <f>IFERROR('Projects Master'!K127,"")</f>
        <v/>
      </c>
      <c r="C287">
        <f>IFERROR('Financial Tracker'!I127,"")</f>
        <v/>
      </c>
      <c r="D287">
        <f>$B$7</f>
        <v/>
      </c>
    </row>
    <row r="288">
      <c r="A288">
        <f>IFERROR('Projects Master'!B128,"")</f>
        <v/>
      </c>
      <c r="B288">
        <f>IFERROR('Projects Master'!K128,"")</f>
        <v/>
      </c>
      <c r="C288">
        <f>IFERROR('Financial Tracker'!I128,"")</f>
        <v/>
      </c>
      <c r="D288">
        <f>$B$7</f>
        <v/>
      </c>
    </row>
    <row r="289">
      <c r="A289">
        <f>IFERROR('Projects Master'!B129,"")</f>
        <v/>
      </c>
      <c r="B289">
        <f>IFERROR('Projects Master'!K129,"")</f>
        <v/>
      </c>
      <c r="C289">
        <f>IFERROR('Financial Tracker'!I129,"")</f>
        <v/>
      </c>
      <c r="D289">
        <f>$B$7</f>
        <v/>
      </c>
    </row>
    <row r="290">
      <c r="A290">
        <f>IFERROR('Projects Master'!B130,"")</f>
        <v/>
      </c>
      <c r="B290">
        <f>IFERROR('Projects Master'!K130,"")</f>
        <v/>
      </c>
      <c r="C290">
        <f>IFERROR('Financial Tracker'!I130,"")</f>
        <v/>
      </c>
      <c r="D290">
        <f>$B$7</f>
        <v/>
      </c>
    </row>
    <row r="291">
      <c r="A291">
        <f>IFERROR('Projects Master'!B131,"")</f>
        <v/>
      </c>
      <c r="B291">
        <f>IFERROR('Projects Master'!K131,"")</f>
        <v/>
      </c>
      <c r="C291">
        <f>IFERROR('Financial Tracker'!I131,"")</f>
        <v/>
      </c>
      <c r="D291">
        <f>$B$7</f>
        <v/>
      </c>
    </row>
    <row r="292">
      <c r="A292">
        <f>IFERROR('Projects Master'!B132,"")</f>
        <v/>
      </c>
      <c r="B292">
        <f>IFERROR('Projects Master'!K132,"")</f>
        <v/>
      </c>
      <c r="C292">
        <f>IFERROR('Financial Tracker'!I132,"")</f>
        <v/>
      </c>
      <c r="D292">
        <f>$B$7</f>
        <v/>
      </c>
    </row>
    <row r="293">
      <c r="A293">
        <f>IFERROR('Projects Master'!B133,"")</f>
        <v/>
      </c>
      <c r="B293">
        <f>IFERROR('Projects Master'!K133,"")</f>
        <v/>
      </c>
      <c r="C293">
        <f>IFERROR('Financial Tracker'!I133,"")</f>
        <v/>
      </c>
      <c r="D293">
        <f>$B$7</f>
        <v/>
      </c>
    </row>
    <row r="294">
      <c r="A294">
        <f>IFERROR('Projects Master'!B134,"")</f>
        <v/>
      </c>
      <c r="B294">
        <f>IFERROR('Projects Master'!K134,"")</f>
        <v/>
      </c>
      <c r="C294">
        <f>IFERROR('Financial Tracker'!I134,"")</f>
        <v/>
      </c>
      <c r="D294">
        <f>$B$7</f>
        <v/>
      </c>
    </row>
    <row r="295">
      <c r="A295">
        <f>IFERROR('Projects Master'!B135,"")</f>
        <v/>
      </c>
      <c r="B295">
        <f>IFERROR('Projects Master'!K135,"")</f>
        <v/>
      </c>
      <c r="C295">
        <f>IFERROR('Financial Tracker'!I135,"")</f>
        <v/>
      </c>
      <c r="D295">
        <f>$B$7</f>
        <v/>
      </c>
    </row>
    <row r="296">
      <c r="A296">
        <f>IFERROR('Projects Master'!B136,"")</f>
        <v/>
      </c>
      <c r="B296">
        <f>IFERROR('Projects Master'!K136,"")</f>
        <v/>
      </c>
      <c r="C296">
        <f>IFERROR('Financial Tracker'!I136,"")</f>
        <v/>
      </c>
      <c r="D296">
        <f>$B$7</f>
        <v/>
      </c>
    </row>
    <row r="297">
      <c r="A297">
        <f>IFERROR('Projects Master'!B137,"")</f>
        <v/>
      </c>
      <c r="B297">
        <f>IFERROR('Projects Master'!K137,"")</f>
        <v/>
      </c>
      <c r="C297">
        <f>IFERROR('Financial Tracker'!I137,"")</f>
        <v/>
      </c>
      <c r="D297">
        <f>$B$7</f>
        <v/>
      </c>
    </row>
    <row r="298">
      <c r="A298">
        <f>IFERROR('Projects Master'!B138,"")</f>
        <v/>
      </c>
      <c r="B298">
        <f>IFERROR('Projects Master'!K138,"")</f>
        <v/>
      </c>
      <c r="C298">
        <f>IFERROR('Financial Tracker'!I138,"")</f>
        <v/>
      </c>
      <c r="D298">
        <f>$B$7</f>
        <v/>
      </c>
    </row>
    <row r="299">
      <c r="A299">
        <f>IFERROR('Projects Master'!B139,"")</f>
        <v/>
      </c>
      <c r="B299">
        <f>IFERROR('Projects Master'!K139,"")</f>
        <v/>
      </c>
      <c r="C299">
        <f>IFERROR('Financial Tracker'!I139,"")</f>
        <v/>
      </c>
      <c r="D299">
        <f>$B$7</f>
        <v/>
      </c>
    </row>
    <row r="300">
      <c r="A300">
        <f>IFERROR('Projects Master'!B140,"")</f>
        <v/>
      </c>
      <c r="B300">
        <f>IFERROR('Projects Master'!K140,"")</f>
        <v/>
      </c>
      <c r="C300">
        <f>IFERROR('Financial Tracker'!I140,"")</f>
        <v/>
      </c>
      <c r="D300">
        <f>$B$7</f>
        <v/>
      </c>
    </row>
    <row r="301">
      <c r="A301">
        <f>IFERROR('Projects Master'!B141,"")</f>
        <v/>
      </c>
      <c r="B301">
        <f>IFERROR('Projects Master'!K141,"")</f>
        <v/>
      </c>
      <c r="C301">
        <f>IFERROR('Financial Tracker'!I141,"")</f>
        <v/>
      </c>
      <c r="D301">
        <f>$B$7</f>
        <v/>
      </c>
    </row>
    <row r="302">
      <c r="A302">
        <f>IFERROR('Projects Master'!B142,"")</f>
        <v/>
      </c>
      <c r="B302">
        <f>IFERROR('Projects Master'!K142,"")</f>
        <v/>
      </c>
      <c r="C302">
        <f>IFERROR('Financial Tracker'!I142,"")</f>
        <v/>
      </c>
      <c r="D302">
        <f>$B$7</f>
        <v/>
      </c>
    </row>
    <row r="303">
      <c r="A303">
        <f>IFERROR('Projects Master'!B143,"")</f>
        <v/>
      </c>
      <c r="B303">
        <f>IFERROR('Projects Master'!K143,"")</f>
        <v/>
      </c>
      <c r="C303">
        <f>IFERROR('Financial Tracker'!I143,"")</f>
        <v/>
      </c>
      <c r="D303">
        <f>$B$7</f>
        <v/>
      </c>
    </row>
    <row r="304">
      <c r="A304">
        <f>IFERROR('Projects Master'!B144,"")</f>
        <v/>
      </c>
      <c r="B304">
        <f>IFERROR('Projects Master'!K144,"")</f>
        <v/>
      </c>
      <c r="C304">
        <f>IFERROR('Financial Tracker'!I144,"")</f>
        <v/>
      </c>
      <c r="D304">
        <f>$B$7</f>
        <v/>
      </c>
    </row>
    <row r="305">
      <c r="A305">
        <f>IFERROR('Projects Master'!B145,"")</f>
        <v/>
      </c>
      <c r="B305">
        <f>IFERROR('Projects Master'!K145,"")</f>
        <v/>
      </c>
      <c r="C305">
        <f>IFERROR('Financial Tracker'!I145,"")</f>
        <v/>
      </c>
      <c r="D305">
        <f>$B$7</f>
        <v/>
      </c>
    </row>
    <row r="306">
      <c r="A306">
        <f>IFERROR('Projects Master'!B146,"")</f>
        <v/>
      </c>
      <c r="B306">
        <f>IFERROR('Projects Master'!K146,"")</f>
        <v/>
      </c>
      <c r="C306">
        <f>IFERROR('Financial Tracker'!I146,"")</f>
        <v/>
      </c>
      <c r="D306">
        <f>$B$7</f>
        <v/>
      </c>
    </row>
    <row r="307">
      <c r="A307">
        <f>IFERROR('Projects Master'!B147,"")</f>
        <v/>
      </c>
      <c r="B307">
        <f>IFERROR('Projects Master'!K147,"")</f>
        <v/>
      </c>
      <c r="C307">
        <f>IFERROR('Financial Tracker'!I147,"")</f>
        <v/>
      </c>
      <c r="D307">
        <f>$B$7</f>
        <v/>
      </c>
    </row>
    <row r="308">
      <c r="A308">
        <f>IFERROR('Projects Master'!B148,"")</f>
        <v/>
      </c>
      <c r="B308">
        <f>IFERROR('Projects Master'!K148,"")</f>
        <v/>
      </c>
      <c r="C308">
        <f>IFERROR('Financial Tracker'!I148,"")</f>
        <v/>
      </c>
      <c r="D308">
        <f>$B$7</f>
        <v/>
      </c>
    </row>
    <row r="309">
      <c r="A309">
        <f>IFERROR('Projects Master'!B149,"")</f>
        <v/>
      </c>
      <c r="B309">
        <f>IFERROR('Projects Master'!K149,"")</f>
        <v/>
      </c>
      <c r="C309">
        <f>IFERROR('Financial Tracker'!I149,"")</f>
        <v/>
      </c>
      <c r="D309">
        <f>$B$7</f>
        <v/>
      </c>
    </row>
    <row r="310">
      <c r="A310">
        <f>IFERROR('Projects Master'!B150,"")</f>
        <v/>
      </c>
      <c r="B310">
        <f>IFERROR('Projects Master'!K150,"")</f>
        <v/>
      </c>
      <c r="C310">
        <f>IFERROR('Financial Tracker'!I150,"")</f>
        <v/>
      </c>
      <c r="D310">
        <f>$B$7</f>
        <v/>
      </c>
    </row>
    <row r="311">
      <c r="A311">
        <f>IFERROR('Projects Master'!B151,"")</f>
        <v/>
      </c>
      <c r="B311">
        <f>IFERROR('Projects Master'!K151,"")</f>
        <v/>
      </c>
      <c r="C311">
        <f>IFERROR('Financial Tracker'!I151,"")</f>
        <v/>
      </c>
      <c r="D311">
        <f>$B$7</f>
        <v/>
      </c>
    </row>
    <row r="312">
      <c r="A312">
        <f>IFERROR('Projects Master'!B152,"")</f>
        <v/>
      </c>
      <c r="B312">
        <f>IFERROR('Projects Master'!K152,"")</f>
        <v/>
      </c>
      <c r="C312">
        <f>IFERROR('Financial Tracker'!I152,"")</f>
        <v/>
      </c>
      <c r="D312">
        <f>$B$7</f>
        <v/>
      </c>
    </row>
    <row r="313">
      <c r="A313">
        <f>IFERROR('Projects Master'!B153,"")</f>
        <v/>
      </c>
      <c r="B313">
        <f>IFERROR('Projects Master'!K153,"")</f>
        <v/>
      </c>
      <c r="C313">
        <f>IFERROR('Financial Tracker'!I153,"")</f>
        <v/>
      </c>
      <c r="D313">
        <f>$B$7</f>
        <v/>
      </c>
    </row>
    <row r="314">
      <c r="A314">
        <f>IFERROR('Projects Master'!B154,"")</f>
        <v/>
      </c>
      <c r="B314">
        <f>IFERROR('Projects Master'!K154,"")</f>
        <v/>
      </c>
      <c r="C314">
        <f>IFERROR('Financial Tracker'!I154,"")</f>
        <v/>
      </c>
      <c r="D314">
        <f>$B$7</f>
        <v/>
      </c>
    </row>
  </sheetData>
  <mergeCells count="2">
    <mergeCell ref="A2:L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2026-07-04T18:02:51Z</dcterms:created>
  <dcterms:modified xmlns:dcterms="http://purl.org/dc/terms/" xmlns:xsi="http://www.w3.org/2001/XMLSchema-instance" xsi:type="dcterms:W3CDTF">2026-07-06T07:50:50Z</dcterms:modified>
  <cp:lastModifiedBy>Gopikrishna Vemuri</cp:lastModifiedBy>
</cp:coreProperties>
</file>